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e8063996a8ec421e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927" codeName="{DF908ECD-C663-F43C-BE37-009161E90720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E:\모두의 오피스\"/>
    </mc:Choice>
  </mc:AlternateContent>
  <bookViews>
    <workbookView xWindow="19185" yWindow="-15" windowWidth="5745" windowHeight="11460" firstSheet="1" activeTab="3"/>
  </bookViews>
  <sheets>
    <sheet name="종합_Ver2" sheetId="2" state="veryHidden" r:id="rId1"/>
    <sheet name="설정" sheetId="6" r:id="rId2"/>
    <sheet name="포트트렌치" sheetId="15" r:id="rId3"/>
    <sheet name="멀티전략" sheetId="13" r:id="rId4"/>
    <sheet name="메이플1" sheetId="12" r:id="rId5"/>
    <sheet name="메이플2" sheetId="11" r:id="rId6"/>
    <sheet name="메이플3" sheetId="10" r:id="rId7"/>
    <sheet name="메이플4" sheetId="9" r:id="rId8"/>
    <sheet name="넵튠6호" sheetId="8" r:id="rId9"/>
    <sheet name="새턴6호" sheetId="7" r:id="rId10"/>
    <sheet name="중립밸런스" sheetId="14" r:id="rId11"/>
  </sheets>
  <functionGroups builtInGroupCount="18"/>
  <definedNames>
    <definedName name="_xlnm._FilterDatabase" localSheetId="3" hidden="1">멀티전략!$A$1:$W$114</definedName>
    <definedName name="_xlnm._FilterDatabase" localSheetId="6" hidden="1">메이플3!$A$1:$W$103</definedName>
    <definedName name="NM_FILES">OFFSET(설정!$B$2,0,0,COUNTA(설정!$B$2:$B$101),1)</definedName>
    <definedName name="NM_SHEETS">OFFSET(설정!$C$2,0,0,COUNTA(설정!$C$2:$C$101),1)</definedName>
    <definedName name="NM_TRENCH">OFFSET(설정!$E$2,0,0,COUNTA(설정!$E$2:$E$101),1)</definedName>
    <definedName name="NM_합계서식">설정!$H$3:$AZ$3</definedName>
    <definedName name="NM_항목서식">설정!$H$2:$AZ$2</definedName>
  </definedNames>
  <calcPr calcId="171027"/>
</workbook>
</file>

<file path=xl/calcChain.xml><?xml version="1.0" encoding="utf-8"?>
<calcChain xmlns="http://schemas.openxmlformats.org/spreadsheetml/2006/main">
  <c r="C4" i="6" l="1"/>
  <c r="C2" i="6" l="1"/>
  <c r="C9" i="6" l="1"/>
  <c r="C8" i="6"/>
  <c r="C7" i="6"/>
  <c r="C6" i="6"/>
  <c r="C5" i="6"/>
  <c r="C3" i="6"/>
  <c r="L123" i="2"/>
  <c r="K123" i="2"/>
  <c r="J123" i="2"/>
  <c r="I123" i="2"/>
  <c r="H123" i="2"/>
  <c r="G123" i="2"/>
  <c r="F123" i="2"/>
  <c r="E123" i="2"/>
  <c r="D123" i="2"/>
  <c r="C123" i="2"/>
  <c r="L122" i="2"/>
  <c r="K122" i="2"/>
  <c r="J122" i="2"/>
  <c r="I122" i="2"/>
  <c r="H122" i="2"/>
  <c r="G122" i="2"/>
  <c r="F122" i="2"/>
  <c r="E122" i="2"/>
  <c r="D122" i="2"/>
  <c r="C122" i="2"/>
  <c r="L121" i="2"/>
  <c r="K121" i="2"/>
  <c r="J121" i="2"/>
  <c r="I121" i="2"/>
  <c r="H121" i="2"/>
  <c r="G121" i="2"/>
  <c r="F121" i="2"/>
  <c r="E121" i="2"/>
  <c r="D121" i="2"/>
  <c r="C121" i="2"/>
  <c r="L120" i="2"/>
  <c r="K120" i="2"/>
  <c r="J120" i="2"/>
  <c r="I120" i="2"/>
  <c r="H120" i="2"/>
  <c r="G120" i="2"/>
  <c r="F120" i="2"/>
  <c r="E120" i="2"/>
  <c r="D120" i="2"/>
  <c r="C120" i="2"/>
  <c r="L119" i="2"/>
  <c r="K119" i="2"/>
  <c r="J119" i="2"/>
  <c r="I119" i="2"/>
  <c r="H119" i="2"/>
  <c r="G119" i="2"/>
  <c r="F119" i="2"/>
  <c r="E119" i="2"/>
  <c r="D119" i="2"/>
  <c r="C119" i="2"/>
  <c r="L118" i="2"/>
  <c r="K118" i="2"/>
  <c r="J118" i="2"/>
  <c r="I118" i="2"/>
  <c r="H118" i="2"/>
  <c r="G118" i="2"/>
  <c r="F118" i="2"/>
  <c r="E118" i="2"/>
  <c r="D118" i="2"/>
  <c r="C118" i="2"/>
  <c r="L117" i="2"/>
  <c r="K117" i="2"/>
  <c r="J117" i="2"/>
  <c r="I117" i="2"/>
  <c r="H117" i="2"/>
  <c r="G117" i="2"/>
  <c r="F117" i="2"/>
  <c r="E117" i="2"/>
  <c r="D117" i="2"/>
  <c r="C117" i="2"/>
  <c r="L116" i="2"/>
  <c r="K116" i="2"/>
  <c r="J116" i="2"/>
  <c r="I116" i="2"/>
  <c r="H116" i="2"/>
  <c r="G116" i="2"/>
  <c r="F116" i="2"/>
  <c r="E116" i="2"/>
  <c r="D116" i="2"/>
  <c r="C116" i="2"/>
  <c r="L115" i="2"/>
  <c r="K115" i="2"/>
  <c r="J115" i="2"/>
  <c r="I115" i="2"/>
  <c r="H115" i="2"/>
  <c r="G115" i="2"/>
  <c r="F115" i="2"/>
  <c r="E115" i="2"/>
  <c r="D115" i="2"/>
  <c r="C115" i="2"/>
  <c r="L114" i="2"/>
  <c r="K114" i="2"/>
  <c r="J114" i="2"/>
  <c r="I114" i="2"/>
  <c r="H114" i="2"/>
  <c r="G114" i="2"/>
  <c r="F114" i="2"/>
  <c r="E114" i="2"/>
  <c r="D114" i="2"/>
  <c r="C114" i="2"/>
  <c r="L113" i="2"/>
  <c r="K113" i="2"/>
  <c r="J113" i="2"/>
  <c r="I113" i="2"/>
  <c r="H113" i="2"/>
  <c r="G113" i="2"/>
  <c r="F113" i="2"/>
  <c r="E113" i="2"/>
  <c r="D113" i="2"/>
  <c r="C113" i="2"/>
  <c r="L112" i="2"/>
  <c r="K112" i="2"/>
  <c r="J112" i="2"/>
  <c r="I112" i="2"/>
  <c r="H112" i="2"/>
  <c r="G112" i="2"/>
  <c r="F112" i="2"/>
  <c r="E112" i="2"/>
  <c r="D112" i="2"/>
  <c r="C112" i="2"/>
  <c r="L111" i="2"/>
  <c r="K111" i="2"/>
  <c r="J111" i="2"/>
  <c r="I111" i="2"/>
  <c r="H111" i="2"/>
  <c r="G111" i="2"/>
  <c r="F111" i="2"/>
  <c r="E111" i="2"/>
  <c r="D111" i="2"/>
  <c r="C111" i="2"/>
  <c r="L110" i="2"/>
  <c r="K110" i="2"/>
  <c r="J110" i="2"/>
  <c r="I110" i="2"/>
  <c r="H110" i="2"/>
  <c r="G110" i="2"/>
  <c r="F110" i="2"/>
  <c r="E110" i="2"/>
  <c r="D110" i="2"/>
  <c r="C110" i="2"/>
  <c r="L109" i="2"/>
  <c r="K109" i="2"/>
  <c r="J109" i="2"/>
  <c r="I109" i="2"/>
  <c r="H109" i="2"/>
  <c r="G109" i="2"/>
  <c r="F109" i="2"/>
  <c r="E109" i="2"/>
  <c r="D109" i="2"/>
  <c r="C109" i="2"/>
  <c r="L108" i="2"/>
  <c r="K108" i="2"/>
  <c r="J108" i="2"/>
  <c r="I108" i="2"/>
  <c r="H108" i="2"/>
  <c r="G108" i="2"/>
  <c r="F108" i="2"/>
  <c r="E108" i="2"/>
  <c r="D108" i="2"/>
  <c r="C108" i="2"/>
  <c r="L107" i="2"/>
  <c r="K107" i="2"/>
  <c r="J107" i="2"/>
  <c r="I107" i="2"/>
  <c r="H107" i="2"/>
  <c r="G107" i="2"/>
  <c r="F107" i="2"/>
  <c r="E107" i="2"/>
  <c r="D107" i="2"/>
  <c r="C107" i="2"/>
  <c r="L106" i="2"/>
  <c r="K106" i="2"/>
  <c r="J106" i="2"/>
  <c r="I106" i="2"/>
  <c r="H106" i="2"/>
  <c r="G106" i="2"/>
  <c r="F106" i="2"/>
  <c r="E106" i="2"/>
  <c r="D106" i="2"/>
  <c r="C106" i="2"/>
  <c r="L105" i="2"/>
  <c r="K105" i="2"/>
  <c r="J105" i="2"/>
  <c r="I105" i="2"/>
  <c r="H105" i="2"/>
  <c r="G105" i="2"/>
  <c r="F105" i="2"/>
  <c r="E105" i="2"/>
  <c r="D105" i="2"/>
  <c r="C105" i="2"/>
  <c r="L104" i="2"/>
  <c r="K104" i="2"/>
  <c r="J104" i="2"/>
  <c r="I104" i="2"/>
  <c r="H104" i="2"/>
  <c r="G104" i="2"/>
  <c r="F104" i="2"/>
  <c r="E104" i="2"/>
  <c r="D104" i="2"/>
  <c r="C104" i="2"/>
  <c r="L103" i="2"/>
  <c r="K103" i="2"/>
  <c r="J103" i="2"/>
  <c r="I103" i="2"/>
  <c r="H103" i="2"/>
  <c r="G103" i="2"/>
  <c r="F103" i="2"/>
  <c r="E103" i="2"/>
  <c r="D103" i="2"/>
  <c r="C103" i="2"/>
  <c r="L102" i="2"/>
  <c r="K102" i="2"/>
  <c r="J102" i="2"/>
  <c r="I102" i="2"/>
  <c r="H102" i="2"/>
  <c r="G102" i="2"/>
  <c r="F102" i="2"/>
  <c r="E102" i="2"/>
  <c r="D102" i="2"/>
  <c r="C102" i="2"/>
  <c r="L101" i="2"/>
  <c r="K101" i="2"/>
  <c r="J101" i="2"/>
  <c r="I101" i="2"/>
  <c r="H101" i="2"/>
  <c r="G101" i="2"/>
  <c r="F101" i="2"/>
  <c r="E101" i="2"/>
  <c r="D101" i="2"/>
  <c r="C101" i="2"/>
  <c r="L100" i="2"/>
  <c r="K100" i="2"/>
  <c r="J100" i="2"/>
  <c r="I100" i="2"/>
  <c r="H100" i="2"/>
  <c r="G100" i="2"/>
  <c r="F100" i="2"/>
  <c r="E100" i="2"/>
  <c r="D100" i="2"/>
  <c r="C100" i="2"/>
  <c r="L99" i="2"/>
  <c r="K99" i="2"/>
  <c r="J99" i="2"/>
  <c r="I99" i="2"/>
  <c r="H99" i="2"/>
  <c r="G99" i="2"/>
  <c r="F99" i="2"/>
  <c r="E99" i="2"/>
  <c r="D99" i="2"/>
  <c r="C99" i="2"/>
  <c r="L98" i="2"/>
  <c r="K98" i="2"/>
  <c r="J98" i="2"/>
  <c r="I98" i="2"/>
  <c r="H98" i="2"/>
  <c r="G98" i="2"/>
  <c r="F98" i="2"/>
  <c r="E98" i="2"/>
  <c r="D98" i="2"/>
  <c r="C98" i="2"/>
  <c r="L97" i="2"/>
  <c r="K97" i="2"/>
  <c r="J97" i="2"/>
  <c r="I97" i="2"/>
  <c r="H97" i="2"/>
  <c r="G97" i="2"/>
  <c r="F97" i="2"/>
  <c r="E97" i="2"/>
  <c r="D97" i="2"/>
  <c r="C97" i="2"/>
  <c r="L96" i="2"/>
  <c r="K96" i="2"/>
  <c r="J96" i="2"/>
  <c r="I96" i="2"/>
  <c r="H96" i="2"/>
  <c r="G96" i="2"/>
  <c r="F96" i="2"/>
  <c r="E96" i="2"/>
  <c r="D96" i="2"/>
  <c r="C96" i="2"/>
  <c r="L95" i="2"/>
  <c r="K95" i="2"/>
  <c r="J95" i="2"/>
  <c r="I95" i="2"/>
  <c r="H95" i="2"/>
  <c r="G95" i="2"/>
  <c r="F95" i="2"/>
  <c r="E95" i="2"/>
  <c r="D95" i="2"/>
  <c r="C95" i="2"/>
  <c r="L94" i="2"/>
  <c r="K94" i="2"/>
  <c r="J94" i="2"/>
  <c r="I94" i="2"/>
  <c r="H94" i="2"/>
  <c r="G94" i="2"/>
  <c r="F94" i="2"/>
  <c r="E94" i="2"/>
  <c r="D94" i="2"/>
  <c r="C94" i="2"/>
  <c r="L93" i="2"/>
  <c r="K93" i="2"/>
  <c r="J93" i="2"/>
  <c r="I93" i="2"/>
  <c r="H93" i="2"/>
  <c r="G93" i="2"/>
  <c r="F93" i="2"/>
  <c r="E93" i="2"/>
  <c r="D93" i="2"/>
  <c r="C93" i="2"/>
  <c r="L92" i="2"/>
  <c r="K92" i="2"/>
  <c r="J92" i="2"/>
  <c r="I92" i="2"/>
  <c r="H92" i="2"/>
  <c r="G92" i="2"/>
  <c r="F92" i="2"/>
  <c r="E92" i="2"/>
  <c r="D92" i="2"/>
  <c r="C92" i="2"/>
  <c r="L91" i="2"/>
  <c r="K91" i="2"/>
  <c r="J91" i="2"/>
  <c r="I91" i="2"/>
  <c r="H91" i="2"/>
  <c r="G91" i="2"/>
  <c r="F91" i="2"/>
  <c r="E91" i="2"/>
  <c r="D91" i="2"/>
  <c r="C91" i="2"/>
  <c r="L90" i="2"/>
  <c r="K90" i="2"/>
  <c r="J90" i="2"/>
  <c r="I90" i="2"/>
  <c r="H90" i="2"/>
  <c r="G90" i="2"/>
  <c r="F90" i="2"/>
  <c r="E90" i="2"/>
  <c r="D90" i="2"/>
  <c r="C90" i="2"/>
  <c r="L89" i="2"/>
  <c r="K89" i="2"/>
  <c r="J89" i="2"/>
  <c r="I89" i="2"/>
  <c r="H89" i="2"/>
  <c r="G89" i="2"/>
  <c r="F89" i="2"/>
  <c r="E89" i="2"/>
  <c r="D89" i="2"/>
  <c r="C89" i="2"/>
  <c r="L88" i="2"/>
  <c r="K88" i="2"/>
  <c r="J88" i="2"/>
  <c r="I88" i="2"/>
  <c r="H88" i="2"/>
  <c r="G88" i="2"/>
  <c r="F88" i="2"/>
  <c r="E88" i="2"/>
  <c r="D88" i="2"/>
  <c r="C88" i="2"/>
  <c r="L87" i="2"/>
  <c r="K87" i="2"/>
  <c r="J87" i="2"/>
  <c r="I87" i="2"/>
  <c r="H87" i="2"/>
  <c r="G87" i="2"/>
  <c r="F87" i="2"/>
  <c r="E87" i="2"/>
  <c r="D87" i="2"/>
  <c r="C87" i="2"/>
  <c r="L86" i="2"/>
  <c r="K86" i="2"/>
  <c r="J86" i="2"/>
  <c r="I86" i="2"/>
  <c r="H86" i="2"/>
  <c r="G86" i="2"/>
  <c r="F86" i="2"/>
  <c r="E86" i="2"/>
  <c r="D86" i="2"/>
  <c r="C86" i="2"/>
  <c r="L85" i="2"/>
  <c r="K85" i="2"/>
  <c r="J85" i="2"/>
  <c r="I85" i="2"/>
  <c r="H85" i="2"/>
  <c r="G85" i="2"/>
  <c r="F85" i="2"/>
  <c r="E85" i="2"/>
  <c r="D85" i="2"/>
  <c r="C85" i="2"/>
  <c r="L84" i="2"/>
  <c r="K84" i="2"/>
  <c r="J84" i="2"/>
  <c r="I84" i="2"/>
  <c r="H84" i="2"/>
  <c r="G84" i="2"/>
  <c r="F84" i="2"/>
  <c r="E84" i="2"/>
  <c r="D84" i="2"/>
  <c r="C84" i="2"/>
  <c r="L83" i="2"/>
  <c r="K83" i="2"/>
  <c r="J83" i="2"/>
  <c r="I83" i="2"/>
  <c r="H83" i="2"/>
  <c r="G83" i="2"/>
  <c r="F83" i="2"/>
  <c r="E83" i="2"/>
  <c r="D83" i="2"/>
  <c r="C83" i="2"/>
  <c r="L82" i="2"/>
  <c r="K82" i="2"/>
  <c r="J82" i="2"/>
  <c r="I82" i="2"/>
  <c r="H82" i="2"/>
  <c r="G82" i="2"/>
  <c r="F82" i="2"/>
  <c r="E82" i="2"/>
  <c r="D82" i="2"/>
  <c r="C82" i="2"/>
  <c r="L81" i="2"/>
  <c r="K81" i="2"/>
  <c r="J81" i="2"/>
  <c r="I81" i="2"/>
  <c r="H81" i="2"/>
  <c r="G81" i="2"/>
  <c r="F81" i="2"/>
  <c r="E81" i="2"/>
  <c r="D81" i="2"/>
  <c r="C81" i="2"/>
  <c r="L80" i="2"/>
  <c r="K80" i="2"/>
  <c r="J80" i="2"/>
  <c r="I80" i="2"/>
  <c r="H80" i="2"/>
  <c r="G80" i="2"/>
  <c r="F80" i="2"/>
  <c r="E80" i="2"/>
  <c r="D80" i="2"/>
  <c r="C80" i="2"/>
  <c r="L79" i="2"/>
  <c r="K79" i="2"/>
  <c r="J79" i="2"/>
  <c r="I79" i="2"/>
  <c r="H79" i="2"/>
  <c r="G79" i="2"/>
  <c r="F79" i="2"/>
  <c r="E79" i="2"/>
  <c r="D79" i="2"/>
  <c r="C79" i="2"/>
  <c r="L78" i="2"/>
  <c r="K78" i="2"/>
  <c r="J78" i="2"/>
  <c r="I78" i="2"/>
  <c r="H78" i="2"/>
  <c r="G78" i="2"/>
  <c r="F78" i="2"/>
  <c r="E78" i="2"/>
  <c r="D78" i="2"/>
  <c r="C78" i="2"/>
  <c r="L77" i="2"/>
  <c r="K77" i="2"/>
  <c r="J77" i="2"/>
  <c r="I77" i="2"/>
  <c r="H77" i="2"/>
  <c r="G77" i="2"/>
  <c r="F77" i="2"/>
  <c r="E77" i="2"/>
  <c r="D77" i="2"/>
  <c r="C77" i="2"/>
  <c r="L76" i="2"/>
  <c r="K76" i="2"/>
  <c r="J76" i="2"/>
  <c r="I76" i="2"/>
  <c r="H76" i="2"/>
  <c r="G76" i="2"/>
  <c r="F76" i="2"/>
  <c r="E76" i="2"/>
  <c r="D76" i="2"/>
  <c r="C76" i="2"/>
  <c r="L75" i="2"/>
  <c r="K75" i="2"/>
  <c r="J75" i="2"/>
  <c r="I75" i="2"/>
  <c r="H75" i="2"/>
  <c r="G75" i="2"/>
  <c r="F75" i="2"/>
  <c r="E75" i="2"/>
  <c r="D75" i="2"/>
  <c r="C75" i="2"/>
  <c r="L74" i="2"/>
  <c r="K74" i="2"/>
  <c r="J74" i="2"/>
  <c r="I74" i="2"/>
  <c r="H74" i="2"/>
  <c r="G74" i="2"/>
  <c r="F74" i="2"/>
  <c r="E74" i="2"/>
  <c r="D74" i="2"/>
  <c r="C74" i="2"/>
  <c r="L73" i="2"/>
  <c r="K73" i="2"/>
  <c r="J73" i="2"/>
  <c r="I73" i="2"/>
  <c r="H73" i="2"/>
  <c r="G73" i="2"/>
  <c r="F73" i="2"/>
  <c r="E73" i="2"/>
  <c r="D73" i="2"/>
  <c r="C73" i="2"/>
  <c r="L72" i="2"/>
  <c r="K72" i="2"/>
  <c r="J72" i="2"/>
  <c r="I72" i="2"/>
  <c r="H72" i="2"/>
  <c r="G72" i="2"/>
  <c r="F72" i="2"/>
  <c r="E72" i="2"/>
  <c r="D72" i="2"/>
  <c r="C72" i="2"/>
  <c r="L71" i="2"/>
  <c r="K71" i="2"/>
  <c r="J71" i="2"/>
  <c r="I71" i="2"/>
  <c r="H71" i="2"/>
  <c r="G71" i="2"/>
  <c r="F71" i="2"/>
  <c r="E71" i="2"/>
  <c r="D71" i="2"/>
  <c r="C71" i="2"/>
  <c r="L70" i="2"/>
  <c r="K70" i="2"/>
  <c r="J70" i="2"/>
  <c r="I70" i="2"/>
  <c r="H70" i="2"/>
  <c r="G70" i="2"/>
  <c r="F70" i="2"/>
  <c r="E70" i="2"/>
  <c r="D70" i="2"/>
  <c r="C70" i="2"/>
  <c r="L69" i="2"/>
  <c r="K69" i="2"/>
  <c r="J69" i="2"/>
  <c r="I69" i="2"/>
  <c r="H69" i="2"/>
  <c r="G69" i="2"/>
  <c r="F69" i="2"/>
  <c r="E69" i="2"/>
  <c r="D69" i="2"/>
  <c r="C69" i="2"/>
  <c r="L68" i="2"/>
  <c r="K68" i="2"/>
  <c r="J68" i="2"/>
  <c r="I68" i="2"/>
  <c r="H68" i="2"/>
  <c r="G68" i="2"/>
  <c r="F68" i="2"/>
  <c r="E68" i="2"/>
  <c r="D68" i="2"/>
  <c r="C68" i="2"/>
  <c r="L67" i="2"/>
  <c r="K67" i="2"/>
  <c r="J67" i="2"/>
  <c r="I67" i="2"/>
  <c r="H67" i="2"/>
  <c r="G67" i="2"/>
  <c r="F67" i="2"/>
  <c r="E67" i="2"/>
  <c r="D67" i="2"/>
  <c r="C67" i="2"/>
  <c r="L66" i="2"/>
  <c r="K66" i="2"/>
  <c r="J66" i="2"/>
  <c r="I66" i="2"/>
  <c r="H66" i="2"/>
  <c r="G66" i="2"/>
  <c r="F66" i="2"/>
  <c r="E66" i="2"/>
  <c r="D66" i="2"/>
  <c r="C66" i="2"/>
  <c r="L65" i="2"/>
  <c r="K65" i="2"/>
  <c r="J65" i="2"/>
  <c r="I65" i="2"/>
  <c r="H65" i="2"/>
  <c r="G65" i="2"/>
  <c r="F65" i="2"/>
  <c r="E65" i="2"/>
  <c r="D65" i="2"/>
  <c r="C65" i="2"/>
  <c r="L64" i="2"/>
  <c r="K64" i="2"/>
  <c r="J64" i="2"/>
  <c r="I64" i="2"/>
  <c r="H64" i="2"/>
  <c r="G64" i="2"/>
  <c r="F64" i="2"/>
  <c r="E64" i="2"/>
  <c r="D64" i="2"/>
  <c r="C64" i="2"/>
  <c r="L63" i="2"/>
  <c r="K63" i="2"/>
  <c r="J63" i="2"/>
  <c r="I63" i="2"/>
  <c r="H63" i="2"/>
  <c r="G63" i="2"/>
  <c r="F63" i="2"/>
  <c r="E63" i="2"/>
  <c r="D63" i="2"/>
  <c r="C63" i="2"/>
  <c r="L62" i="2"/>
  <c r="K62" i="2"/>
  <c r="J62" i="2"/>
  <c r="I62" i="2"/>
  <c r="H62" i="2"/>
  <c r="G62" i="2"/>
  <c r="F62" i="2"/>
  <c r="E62" i="2"/>
  <c r="D62" i="2"/>
  <c r="C62" i="2"/>
  <c r="L61" i="2"/>
  <c r="K61" i="2"/>
  <c r="J61" i="2"/>
  <c r="I61" i="2"/>
  <c r="H61" i="2"/>
  <c r="G61" i="2"/>
  <c r="F61" i="2"/>
  <c r="E61" i="2"/>
  <c r="D61" i="2"/>
  <c r="C61" i="2"/>
  <c r="L60" i="2"/>
  <c r="K60" i="2"/>
  <c r="J60" i="2"/>
  <c r="I60" i="2"/>
  <c r="H60" i="2"/>
  <c r="G60" i="2"/>
  <c r="F60" i="2"/>
  <c r="E60" i="2"/>
  <c r="D60" i="2"/>
  <c r="C60" i="2"/>
  <c r="L59" i="2"/>
  <c r="K59" i="2"/>
  <c r="J59" i="2"/>
  <c r="I59" i="2"/>
  <c r="H59" i="2"/>
  <c r="G59" i="2"/>
  <c r="F59" i="2"/>
  <c r="E59" i="2"/>
  <c r="D59" i="2"/>
  <c r="C59" i="2"/>
  <c r="L58" i="2"/>
  <c r="K58" i="2"/>
  <c r="J58" i="2"/>
  <c r="I58" i="2"/>
  <c r="H58" i="2"/>
  <c r="G58" i="2"/>
  <c r="F58" i="2"/>
  <c r="E58" i="2"/>
  <c r="D58" i="2"/>
  <c r="C58" i="2"/>
  <c r="L57" i="2"/>
  <c r="K57" i="2"/>
  <c r="J57" i="2"/>
  <c r="I57" i="2"/>
  <c r="H57" i="2"/>
  <c r="G57" i="2"/>
  <c r="F57" i="2"/>
  <c r="E57" i="2"/>
  <c r="D57" i="2"/>
  <c r="C57" i="2"/>
  <c r="L56" i="2"/>
  <c r="K56" i="2"/>
  <c r="J56" i="2"/>
  <c r="I56" i="2"/>
  <c r="H56" i="2"/>
  <c r="G56" i="2"/>
  <c r="F56" i="2"/>
  <c r="E56" i="2"/>
  <c r="D56" i="2"/>
  <c r="C56" i="2"/>
  <c r="L55" i="2"/>
  <c r="K55" i="2"/>
  <c r="J55" i="2"/>
  <c r="I55" i="2"/>
  <c r="H55" i="2"/>
  <c r="G55" i="2"/>
  <c r="F55" i="2"/>
  <c r="E55" i="2"/>
  <c r="D55" i="2"/>
  <c r="C55" i="2"/>
  <c r="L54" i="2"/>
  <c r="K54" i="2"/>
  <c r="J54" i="2"/>
  <c r="I54" i="2"/>
  <c r="H54" i="2"/>
  <c r="G54" i="2"/>
  <c r="F54" i="2"/>
  <c r="E54" i="2"/>
  <c r="D54" i="2"/>
  <c r="C54" i="2"/>
  <c r="L53" i="2"/>
  <c r="K53" i="2"/>
  <c r="J53" i="2"/>
  <c r="I53" i="2"/>
  <c r="H53" i="2"/>
  <c r="G53" i="2"/>
  <c r="F53" i="2"/>
  <c r="E53" i="2"/>
  <c r="D53" i="2"/>
  <c r="C53" i="2"/>
  <c r="L52" i="2"/>
  <c r="K52" i="2"/>
  <c r="J52" i="2"/>
  <c r="I52" i="2"/>
  <c r="H52" i="2"/>
  <c r="G52" i="2"/>
  <c r="F52" i="2"/>
  <c r="E52" i="2"/>
  <c r="D52" i="2"/>
  <c r="C52" i="2"/>
  <c r="L51" i="2"/>
  <c r="K51" i="2"/>
  <c r="J51" i="2"/>
  <c r="I51" i="2"/>
  <c r="H51" i="2"/>
  <c r="G51" i="2"/>
  <c r="F51" i="2"/>
  <c r="E51" i="2"/>
  <c r="D51" i="2"/>
  <c r="C51" i="2"/>
  <c r="L50" i="2"/>
  <c r="K50" i="2"/>
  <c r="J50" i="2"/>
  <c r="I50" i="2"/>
  <c r="H50" i="2"/>
  <c r="G50" i="2"/>
  <c r="F50" i="2"/>
  <c r="E50" i="2"/>
  <c r="D50" i="2"/>
  <c r="C50" i="2"/>
  <c r="L49" i="2"/>
  <c r="K49" i="2"/>
  <c r="J49" i="2"/>
  <c r="I49" i="2"/>
  <c r="H49" i="2"/>
  <c r="G49" i="2"/>
  <c r="F49" i="2"/>
  <c r="E49" i="2"/>
  <c r="D49" i="2"/>
  <c r="C49" i="2"/>
  <c r="L48" i="2"/>
  <c r="K48" i="2"/>
  <c r="J48" i="2"/>
  <c r="I48" i="2"/>
  <c r="H48" i="2"/>
  <c r="G48" i="2"/>
  <c r="F48" i="2"/>
  <c r="E48" i="2"/>
  <c r="D48" i="2"/>
  <c r="C48" i="2"/>
  <c r="L47" i="2"/>
  <c r="K47" i="2"/>
  <c r="J47" i="2"/>
  <c r="I47" i="2"/>
  <c r="H47" i="2"/>
  <c r="G47" i="2"/>
  <c r="F47" i="2"/>
  <c r="E47" i="2"/>
  <c r="D47" i="2"/>
  <c r="C47" i="2"/>
  <c r="L46" i="2"/>
  <c r="K46" i="2"/>
  <c r="J46" i="2"/>
  <c r="I46" i="2"/>
  <c r="H46" i="2"/>
  <c r="G46" i="2"/>
  <c r="F46" i="2"/>
  <c r="E46" i="2"/>
  <c r="D46" i="2"/>
  <c r="C46" i="2"/>
  <c r="L45" i="2"/>
  <c r="K45" i="2"/>
  <c r="J45" i="2"/>
  <c r="I45" i="2"/>
  <c r="H45" i="2"/>
  <c r="G45" i="2"/>
  <c r="F45" i="2"/>
  <c r="E45" i="2"/>
  <c r="D45" i="2"/>
  <c r="C45" i="2"/>
  <c r="L44" i="2"/>
  <c r="K44" i="2"/>
  <c r="J44" i="2"/>
  <c r="I44" i="2"/>
  <c r="H44" i="2"/>
  <c r="G44" i="2"/>
  <c r="F44" i="2"/>
  <c r="E44" i="2"/>
  <c r="D44" i="2"/>
  <c r="C44" i="2"/>
  <c r="L43" i="2"/>
  <c r="K43" i="2"/>
  <c r="J43" i="2"/>
  <c r="I43" i="2"/>
  <c r="H43" i="2"/>
  <c r="G43" i="2"/>
  <c r="F43" i="2"/>
  <c r="E43" i="2"/>
  <c r="D43" i="2"/>
  <c r="C43" i="2"/>
  <c r="L42" i="2"/>
  <c r="K42" i="2"/>
  <c r="J42" i="2"/>
  <c r="I42" i="2"/>
  <c r="H42" i="2"/>
  <c r="G42" i="2"/>
  <c r="F42" i="2"/>
  <c r="E42" i="2"/>
  <c r="D42" i="2"/>
  <c r="C42" i="2"/>
  <c r="L41" i="2"/>
  <c r="K41" i="2"/>
  <c r="J41" i="2"/>
  <c r="I41" i="2"/>
  <c r="H41" i="2"/>
  <c r="G41" i="2"/>
  <c r="F41" i="2"/>
  <c r="E41" i="2"/>
  <c r="D41" i="2"/>
  <c r="C41" i="2"/>
  <c r="L40" i="2"/>
  <c r="K40" i="2"/>
  <c r="J40" i="2"/>
  <c r="I40" i="2"/>
  <c r="H40" i="2"/>
  <c r="G40" i="2"/>
  <c r="F40" i="2"/>
  <c r="E40" i="2"/>
  <c r="D40" i="2"/>
  <c r="C40" i="2"/>
  <c r="L39" i="2"/>
  <c r="K39" i="2"/>
  <c r="J39" i="2"/>
  <c r="I39" i="2"/>
  <c r="H39" i="2"/>
  <c r="G39" i="2"/>
  <c r="F39" i="2"/>
  <c r="E39" i="2"/>
  <c r="D39" i="2"/>
  <c r="C39" i="2"/>
  <c r="L38" i="2"/>
  <c r="K38" i="2"/>
  <c r="J38" i="2"/>
  <c r="I38" i="2"/>
  <c r="H38" i="2"/>
  <c r="G38" i="2"/>
  <c r="F38" i="2"/>
  <c r="E38" i="2"/>
  <c r="D38" i="2"/>
  <c r="C38" i="2"/>
  <c r="L37" i="2"/>
  <c r="K37" i="2"/>
  <c r="J37" i="2"/>
  <c r="I37" i="2"/>
  <c r="H37" i="2"/>
  <c r="G37" i="2"/>
  <c r="F37" i="2"/>
  <c r="E37" i="2"/>
  <c r="D37" i="2"/>
  <c r="C37" i="2"/>
  <c r="L36" i="2"/>
  <c r="K36" i="2"/>
  <c r="J36" i="2"/>
  <c r="I36" i="2"/>
  <c r="H36" i="2"/>
  <c r="G36" i="2"/>
  <c r="F36" i="2"/>
  <c r="E36" i="2"/>
  <c r="D36" i="2"/>
  <c r="C36" i="2"/>
  <c r="L35" i="2"/>
  <c r="K35" i="2"/>
  <c r="J35" i="2"/>
  <c r="I35" i="2"/>
  <c r="H35" i="2"/>
  <c r="G35" i="2"/>
  <c r="F35" i="2"/>
  <c r="E35" i="2"/>
  <c r="D35" i="2"/>
  <c r="C35" i="2"/>
  <c r="L34" i="2"/>
  <c r="K34" i="2"/>
  <c r="J34" i="2"/>
  <c r="I34" i="2"/>
  <c r="H34" i="2"/>
  <c r="G34" i="2"/>
  <c r="F34" i="2"/>
  <c r="E34" i="2"/>
  <c r="D34" i="2"/>
  <c r="C34" i="2"/>
  <c r="L33" i="2"/>
  <c r="K33" i="2"/>
  <c r="J33" i="2"/>
  <c r="I33" i="2"/>
  <c r="H33" i="2"/>
  <c r="G33" i="2"/>
  <c r="F33" i="2"/>
  <c r="E33" i="2"/>
  <c r="D33" i="2"/>
  <c r="C33" i="2"/>
  <c r="L32" i="2"/>
  <c r="K32" i="2"/>
  <c r="J32" i="2"/>
  <c r="I32" i="2"/>
  <c r="H32" i="2"/>
  <c r="G32" i="2"/>
  <c r="F32" i="2"/>
  <c r="E32" i="2"/>
  <c r="D32" i="2"/>
  <c r="C32" i="2"/>
  <c r="L31" i="2"/>
  <c r="K31" i="2"/>
  <c r="J31" i="2"/>
  <c r="I31" i="2"/>
  <c r="H31" i="2"/>
  <c r="G31" i="2"/>
  <c r="F31" i="2"/>
  <c r="E31" i="2"/>
  <c r="D31" i="2"/>
  <c r="C31" i="2"/>
  <c r="L30" i="2"/>
  <c r="K30" i="2"/>
  <c r="J30" i="2"/>
  <c r="I30" i="2"/>
  <c r="H30" i="2"/>
  <c r="G30" i="2"/>
  <c r="F30" i="2"/>
  <c r="E30" i="2"/>
  <c r="D30" i="2"/>
  <c r="C30" i="2"/>
  <c r="L29" i="2"/>
  <c r="K29" i="2"/>
  <c r="J29" i="2"/>
  <c r="I29" i="2"/>
  <c r="H29" i="2"/>
  <c r="G29" i="2"/>
  <c r="F29" i="2"/>
  <c r="E29" i="2"/>
  <c r="D29" i="2"/>
  <c r="C29" i="2"/>
  <c r="L28" i="2"/>
  <c r="K28" i="2"/>
  <c r="J28" i="2"/>
  <c r="I28" i="2"/>
  <c r="H28" i="2"/>
  <c r="G28" i="2"/>
  <c r="F28" i="2"/>
  <c r="E28" i="2"/>
  <c r="D28" i="2"/>
  <c r="C28" i="2"/>
  <c r="L27" i="2"/>
  <c r="K27" i="2"/>
  <c r="J27" i="2"/>
  <c r="I27" i="2"/>
  <c r="H27" i="2"/>
  <c r="G27" i="2"/>
  <c r="F27" i="2"/>
  <c r="E27" i="2"/>
  <c r="D27" i="2"/>
  <c r="C27" i="2"/>
  <c r="L26" i="2"/>
  <c r="K26" i="2"/>
  <c r="J26" i="2"/>
  <c r="I26" i="2"/>
  <c r="H26" i="2"/>
  <c r="G26" i="2"/>
  <c r="F26" i="2"/>
  <c r="E26" i="2"/>
  <c r="D26" i="2"/>
  <c r="C26" i="2"/>
  <c r="L25" i="2"/>
  <c r="K25" i="2"/>
  <c r="J25" i="2"/>
  <c r="I25" i="2"/>
  <c r="H25" i="2"/>
  <c r="G25" i="2"/>
  <c r="F25" i="2"/>
  <c r="E25" i="2"/>
  <c r="D25" i="2"/>
  <c r="C25" i="2"/>
  <c r="L24" i="2"/>
  <c r="K24" i="2"/>
  <c r="J24" i="2"/>
  <c r="I24" i="2"/>
  <c r="H24" i="2"/>
  <c r="G24" i="2"/>
  <c r="F24" i="2"/>
  <c r="E24" i="2"/>
  <c r="D24" i="2"/>
  <c r="C24" i="2"/>
  <c r="L23" i="2"/>
  <c r="K23" i="2"/>
  <c r="J23" i="2"/>
  <c r="I23" i="2"/>
  <c r="H23" i="2"/>
  <c r="G23" i="2"/>
  <c r="F23" i="2"/>
  <c r="E23" i="2"/>
  <c r="D23" i="2"/>
  <c r="C23" i="2"/>
  <c r="L22" i="2"/>
  <c r="K22" i="2"/>
  <c r="J22" i="2"/>
  <c r="I22" i="2"/>
  <c r="H22" i="2"/>
  <c r="G22" i="2"/>
  <c r="F22" i="2"/>
  <c r="E22" i="2"/>
  <c r="D22" i="2"/>
  <c r="C22" i="2"/>
  <c r="L21" i="2"/>
  <c r="K21" i="2"/>
  <c r="J21" i="2"/>
  <c r="I21" i="2"/>
  <c r="H21" i="2"/>
  <c r="G21" i="2"/>
  <c r="F21" i="2"/>
  <c r="E21" i="2"/>
  <c r="D21" i="2"/>
  <c r="C21" i="2"/>
  <c r="L20" i="2"/>
  <c r="K20" i="2"/>
  <c r="J20" i="2"/>
  <c r="I20" i="2"/>
  <c r="H20" i="2"/>
  <c r="G20" i="2"/>
  <c r="F20" i="2"/>
  <c r="E20" i="2"/>
  <c r="D20" i="2"/>
  <c r="C20" i="2"/>
  <c r="L19" i="2"/>
  <c r="K19" i="2"/>
  <c r="J19" i="2"/>
  <c r="I19" i="2"/>
  <c r="H19" i="2"/>
  <c r="G19" i="2"/>
  <c r="F19" i="2"/>
  <c r="E19" i="2"/>
  <c r="D19" i="2"/>
  <c r="C19" i="2"/>
  <c r="L18" i="2"/>
  <c r="K18" i="2"/>
  <c r="J18" i="2"/>
  <c r="I18" i="2"/>
  <c r="H18" i="2"/>
  <c r="G18" i="2"/>
  <c r="F18" i="2"/>
  <c r="E18" i="2"/>
  <c r="D18" i="2"/>
  <c r="C18" i="2"/>
  <c r="L17" i="2"/>
  <c r="K17" i="2"/>
  <c r="J17" i="2"/>
  <c r="I17" i="2"/>
  <c r="H17" i="2"/>
  <c r="G17" i="2"/>
  <c r="F17" i="2"/>
  <c r="E17" i="2"/>
  <c r="D17" i="2"/>
  <c r="C17" i="2"/>
  <c r="L16" i="2"/>
  <c r="K16" i="2"/>
  <c r="J16" i="2"/>
  <c r="I16" i="2"/>
  <c r="H16" i="2"/>
  <c r="G16" i="2"/>
  <c r="F16" i="2"/>
  <c r="E16" i="2"/>
  <c r="D16" i="2"/>
  <c r="C16" i="2"/>
  <c r="L15" i="2"/>
  <c r="K15" i="2"/>
  <c r="J15" i="2"/>
  <c r="I15" i="2"/>
  <c r="H15" i="2"/>
  <c r="G15" i="2"/>
  <c r="F15" i="2"/>
  <c r="E15" i="2"/>
  <c r="D15" i="2"/>
  <c r="C15" i="2"/>
  <c r="L14" i="2"/>
  <c r="K14" i="2"/>
  <c r="J14" i="2"/>
  <c r="I14" i="2"/>
  <c r="H14" i="2"/>
  <c r="G14" i="2"/>
  <c r="F14" i="2"/>
  <c r="E14" i="2"/>
  <c r="D14" i="2"/>
  <c r="C14" i="2"/>
  <c r="L13" i="2"/>
  <c r="K13" i="2"/>
  <c r="J13" i="2"/>
  <c r="I13" i="2"/>
  <c r="H13" i="2"/>
  <c r="G13" i="2"/>
  <c r="F13" i="2"/>
  <c r="E13" i="2"/>
  <c r="D13" i="2"/>
  <c r="C13" i="2"/>
  <c r="L12" i="2"/>
  <c r="K12" i="2"/>
  <c r="J12" i="2"/>
  <c r="I12" i="2"/>
  <c r="H12" i="2"/>
  <c r="G12" i="2"/>
  <c r="F12" i="2"/>
  <c r="E12" i="2"/>
  <c r="D12" i="2"/>
  <c r="C12" i="2"/>
  <c r="L11" i="2"/>
  <c r="K11" i="2"/>
  <c r="J11" i="2"/>
  <c r="I11" i="2"/>
  <c r="H11" i="2"/>
  <c r="G11" i="2"/>
  <c r="F11" i="2"/>
  <c r="E11" i="2"/>
  <c r="D11" i="2"/>
  <c r="C11" i="2"/>
  <c r="L10" i="2"/>
  <c r="K10" i="2"/>
  <c r="J10" i="2"/>
  <c r="I10" i="2"/>
  <c r="H10" i="2"/>
  <c r="G10" i="2"/>
  <c r="F10" i="2"/>
  <c r="E10" i="2"/>
  <c r="D10" i="2"/>
  <c r="C10" i="2"/>
  <c r="L9" i="2"/>
  <c r="K9" i="2"/>
  <c r="J9" i="2"/>
  <c r="I9" i="2"/>
  <c r="H9" i="2"/>
  <c r="G9" i="2"/>
  <c r="F9" i="2"/>
  <c r="E9" i="2"/>
  <c r="D9" i="2"/>
  <c r="C9" i="2"/>
  <c r="L8" i="2"/>
  <c r="K8" i="2"/>
  <c r="J8" i="2"/>
  <c r="I8" i="2"/>
  <c r="H8" i="2"/>
  <c r="G8" i="2"/>
  <c r="F8" i="2"/>
  <c r="E8" i="2"/>
  <c r="D8" i="2"/>
  <c r="C8" i="2"/>
  <c r="L7" i="2"/>
  <c r="K7" i="2"/>
  <c r="J7" i="2"/>
  <c r="I7" i="2"/>
  <c r="H7" i="2"/>
  <c r="G7" i="2"/>
  <c r="F7" i="2"/>
  <c r="E7" i="2"/>
  <c r="D7" i="2"/>
  <c r="C7" i="2"/>
  <c r="L6" i="2"/>
  <c r="K6" i="2"/>
  <c r="J6" i="2"/>
  <c r="I6" i="2"/>
  <c r="H6" i="2"/>
  <c r="G6" i="2"/>
  <c r="F6" i="2"/>
  <c r="E6" i="2"/>
  <c r="D6" i="2"/>
  <c r="C6" i="2"/>
  <c r="I3" i="2"/>
  <c r="H3" i="2"/>
  <c r="G3" i="2"/>
  <c r="I2" i="2"/>
  <c r="H2" i="2"/>
  <c r="G2" i="2"/>
  <c r="I1" i="2"/>
  <c r="H1" i="2"/>
  <c r="G1" i="2"/>
</calcChain>
</file>

<file path=xl/sharedStrings.xml><?xml version="1.0" encoding="utf-8"?>
<sst xmlns="http://schemas.openxmlformats.org/spreadsheetml/2006/main" count="12039" uniqueCount="771">
  <si>
    <t>000210</t>
  </si>
  <si>
    <t>대림산업</t>
  </si>
  <si>
    <t>900140</t>
  </si>
  <si>
    <t>코라오홀딩스</t>
  </si>
  <si>
    <t>000720</t>
  </si>
  <si>
    <t>현대건설</t>
  </si>
  <si>
    <t>001120</t>
  </si>
  <si>
    <t>LG상사</t>
  </si>
  <si>
    <t>001800</t>
  </si>
  <si>
    <t>오리온</t>
  </si>
  <si>
    <t>002820</t>
  </si>
  <si>
    <t>선창산업</t>
  </si>
  <si>
    <t>003570</t>
  </si>
  <si>
    <t>S&amp;T중공업</t>
  </si>
  <si>
    <t>004800</t>
  </si>
  <si>
    <t>효성</t>
  </si>
  <si>
    <t>005490</t>
  </si>
  <si>
    <t>POSCO</t>
  </si>
  <si>
    <t>005750</t>
  </si>
  <si>
    <t>대림B&amp;Co</t>
  </si>
  <si>
    <t>005930</t>
  </si>
  <si>
    <t>삼성전자</t>
  </si>
  <si>
    <t>007210</t>
  </si>
  <si>
    <t>벽산</t>
  </si>
  <si>
    <t>008770</t>
  </si>
  <si>
    <t>호텔신라</t>
  </si>
  <si>
    <t>009150</t>
  </si>
  <si>
    <t>삼성전기</t>
  </si>
  <si>
    <t>009450</t>
  </si>
  <si>
    <t>경동나비엔</t>
  </si>
  <si>
    <t>010130</t>
  </si>
  <si>
    <t>고려아연</t>
  </si>
  <si>
    <t>012510</t>
  </si>
  <si>
    <t>더존비즈온</t>
  </si>
  <si>
    <t>014100</t>
  </si>
  <si>
    <t>보령메디앙스</t>
  </si>
  <si>
    <t>014130</t>
  </si>
  <si>
    <t>한익스프레스</t>
  </si>
  <si>
    <t>015760</t>
  </si>
  <si>
    <t>한국전력</t>
  </si>
  <si>
    <t>023590</t>
  </si>
  <si>
    <t>다우기술</t>
  </si>
  <si>
    <t>028670</t>
  </si>
  <si>
    <t>팬오션</t>
  </si>
  <si>
    <t>030200</t>
  </si>
  <si>
    <t>KT</t>
  </si>
  <si>
    <t>030520</t>
  </si>
  <si>
    <t>한글과컴퓨터</t>
  </si>
  <si>
    <t>034220</t>
  </si>
  <si>
    <t>LG디스플레이</t>
  </si>
  <si>
    <t>034310</t>
  </si>
  <si>
    <t>NICE</t>
  </si>
  <si>
    <t>034730</t>
  </si>
  <si>
    <t>SK</t>
  </si>
  <si>
    <t>034830</t>
  </si>
  <si>
    <t>한국토지신탁</t>
  </si>
  <si>
    <t>035420</t>
  </si>
  <si>
    <t>NAVER</t>
  </si>
  <si>
    <t>035600</t>
  </si>
  <si>
    <t>KG이니시스</t>
  </si>
  <si>
    <t>036490</t>
  </si>
  <si>
    <t>OCI머티리얼즈</t>
  </si>
  <si>
    <t>036800</t>
  </si>
  <si>
    <t>나이스정보통신</t>
  </si>
  <si>
    <t>036830</t>
  </si>
  <si>
    <t>솔브레인</t>
  </si>
  <si>
    <t>039030</t>
  </si>
  <si>
    <t>이오테크닉스</t>
  </si>
  <si>
    <t>056190</t>
  </si>
  <si>
    <t>에스에프에이</t>
  </si>
  <si>
    <t>071320</t>
  </si>
  <si>
    <t>지역난방공사</t>
  </si>
  <si>
    <t>079550</t>
  </si>
  <si>
    <t>LIG넥스원</t>
  </si>
  <si>
    <t>084110</t>
  </si>
  <si>
    <t>휴온스</t>
  </si>
  <si>
    <t>086790</t>
  </si>
  <si>
    <t>하나금융지주</t>
  </si>
  <si>
    <t>089470</t>
  </si>
  <si>
    <t>현대EP</t>
  </si>
  <si>
    <t>089590</t>
  </si>
  <si>
    <t>제주항공</t>
  </si>
  <si>
    <t>090430</t>
  </si>
  <si>
    <t>아모레퍼시픽</t>
  </si>
  <si>
    <t>097950</t>
  </si>
  <si>
    <t>CJ제일제당</t>
  </si>
  <si>
    <t>101490</t>
  </si>
  <si>
    <t>에스앤에스텍</t>
  </si>
  <si>
    <t>103140</t>
  </si>
  <si>
    <t>풍산</t>
  </si>
  <si>
    <t>108670</t>
  </si>
  <si>
    <t>LG하우시스</t>
  </si>
  <si>
    <t>111770</t>
  </si>
  <si>
    <t>영원무역</t>
  </si>
  <si>
    <t>114120</t>
  </si>
  <si>
    <t>크루셜텍</t>
  </si>
  <si>
    <t>122990</t>
  </si>
  <si>
    <t>와이솔</t>
  </si>
  <si>
    <t>138930</t>
  </si>
  <si>
    <t>BNK금융지주</t>
  </si>
  <si>
    <t>145020</t>
  </si>
  <si>
    <t>휴젤</t>
  </si>
  <si>
    <t>192400</t>
  </si>
  <si>
    <t>쿠쿠전자</t>
  </si>
  <si>
    <t>214320</t>
  </si>
  <si>
    <t>이노션</t>
  </si>
  <si>
    <t>선창산업배당(보)</t>
  </si>
  <si>
    <t>000700</t>
  </si>
  <si>
    <t>유수홀딩스</t>
  </si>
  <si>
    <t>000060</t>
  </si>
  <si>
    <t>메리츠화재</t>
  </si>
  <si>
    <t>000080</t>
  </si>
  <si>
    <t>하이트진로</t>
  </si>
  <si>
    <t>000100</t>
  </si>
  <si>
    <t>유한양행</t>
  </si>
  <si>
    <t>000270</t>
  </si>
  <si>
    <t>기아차</t>
  </si>
  <si>
    <t>000660</t>
  </si>
  <si>
    <t>SK하이닉스</t>
  </si>
  <si>
    <t>000880</t>
  </si>
  <si>
    <t>한화</t>
  </si>
  <si>
    <t>001430</t>
  </si>
  <si>
    <t>세아베스틸</t>
  </si>
  <si>
    <t>001450</t>
  </si>
  <si>
    <t>현대해상</t>
  </si>
  <si>
    <t>001680</t>
  </si>
  <si>
    <t>대상</t>
  </si>
  <si>
    <t>005380</t>
  </si>
  <si>
    <t>현대차</t>
  </si>
  <si>
    <t>005830</t>
  </si>
  <si>
    <t>동부화재</t>
  </si>
  <si>
    <t>005940</t>
  </si>
  <si>
    <t>NH투자증권</t>
  </si>
  <si>
    <t>007070</t>
  </si>
  <si>
    <t>GS리테일</t>
  </si>
  <si>
    <t>007310</t>
  </si>
  <si>
    <t>오뚜기</t>
  </si>
  <si>
    <t>011210</t>
  </si>
  <si>
    <t>현대위아</t>
  </si>
  <si>
    <t>011780</t>
  </si>
  <si>
    <t>금호석유</t>
  </si>
  <si>
    <t>012750</t>
  </si>
  <si>
    <t>에스원</t>
  </si>
  <si>
    <t>014620</t>
  </si>
  <si>
    <t>성광벤드</t>
  </si>
  <si>
    <t>018880</t>
  </si>
  <si>
    <t>한온시스템</t>
  </si>
  <si>
    <t>027410</t>
  </si>
  <si>
    <t>BGF리테일</t>
  </si>
  <si>
    <t>033780</t>
  </si>
  <si>
    <t>KT&amp;G</t>
  </si>
  <si>
    <t>034020</t>
  </si>
  <si>
    <t>두산중공업</t>
  </si>
  <si>
    <t>035720</t>
  </si>
  <si>
    <t>카카오</t>
  </si>
  <si>
    <t>039130</t>
  </si>
  <si>
    <t>하나투어</t>
  </si>
  <si>
    <t>046140</t>
  </si>
  <si>
    <t>SBS콘텐츠허브</t>
  </si>
  <si>
    <t>047040</t>
  </si>
  <si>
    <t>대우건설</t>
  </si>
  <si>
    <t>047810</t>
  </si>
  <si>
    <t>한국항공우주</t>
  </si>
  <si>
    <t>051910</t>
  </si>
  <si>
    <t>LG화학</t>
  </si>
  <si>
    <t>052690</t>
  </si>
  <si>
    <t>한전기술</t>
  </si>
  <si>
    <t>068270</t>
  </si>
  <si>
    <t>셀트리온</t>
  </si>
  <si>
    <t>068870</t>
  </si>
  <si>
    <t>LG생명과학</t>
  </si>
  <si>
    <t>069620</t>
  </si>
  <si>
    <t>대웅제약</t>
  </si>
  <si>
    <t>071840</t>
  </si>
  <si>
    <t>롯데하이마트</t>
  </si>
  <si>
    <t>080160</t>
  </si>
  <si>
    <t>모두투어</t>
  </si>
  <si>
    <t>102940</t>
  </si>
  <si>
    <t>코오롱생명과학</t>
  </si>
  <si>
    <t>128940</t>
  </si>
  <si>
    <t>한미약품</t>
  </si>
  <si>
    <t>161890</t>
  </si>
  <si>
    <t>한국콜마</t>
  </si>
  <si>
    <t>185750</t>
  </si>
  <si>
    <t>종근당</t>
  </si>
  <si>
    <t>192820</t>
  </si>
  <si>
    <t>코스맥스</t>
  </si>
  <si>
    <t>222980</t>
  </si>
  <si>
    <t>한국맥널티</t>
  </si>
  <si>
    <t>010620</t>
  </si>
  <si>
    <t>현대미포조선</t>
  </si>
  <si>
    <t>002550</t>
  </si>
  <si>
    <t>KB손해보험</t>
  </si>
  <si>
    <t>009540</t>
  </si>
  <si>
    <t>현대중공업</t>
  </si>
  <si>
    <t>KR4106L30005</t>
  </si>
  <si>
    <t>코스닥150 F 201603</t>
  </si>
  <si>
    <t>Hedging</t>
  </si>
  <si>
    <t>KR4101L30006</t>
  </si>
  <si>
    <t>코스피200 F 201603</t>
  </si>
  <si>
    <t>KR41C8L30008</t>
  </si>
  <si>
    <t>삼성물산   F 201603 (  10)</t>
  </si>
  <si>
    <t>028260</t>
  </si>
  <si>
    <t>삼성물산</t>
  </si>
  <si>
    <t>017670</t>
  </si>
  <si>
    <t>SK텔레콤</t>
  </si>
  <si>
    <t>057050</t>
  </si>
  <si>
    <t>현대홈쇼핑</t>
  </si>
  <si>
    <t>051900</t>
  </si>
  <si>
    <t>LG생활건강</t>
  </si>
  <si>
    <t>036570</t>
  </si>
  <si>
    <t>엔씨소프트</t>
  </si>
  <si>
    <t>000670</t>
  </si>
  <si>
    <t>영풍</t>
  </si>
  <si>
    <t>002790</t>
  </si>
  <si>
    <t>아모레G</t>
  </si>
  <si>
    <t>008560</t>
  </si>
  <si>
    <t>메리츠종금증권</t>
  </si>
  <si>
    <t>079430</t>
  </si>
  <si>
    <t>현대리바트</t>
  </si>
  <si>
    <t>KR103501G596</t>
  </si>
  <si>
    <t>국고채권02000-2009</t>
  </si>
  <si>
    <t>KR1035027161</t>
  </si>
  <si>
    <t>국고0425-2106(11-3</t>
  </si>
  <si>
    <t>KR10350271C8</t>
  </si>
  <si>
    <t>국고0400-3112(11-7</t>
  </si>
  <si>
    <t>KR103501G562</t>
  </si>
  <si>
    <t>국고02250-2506(15-</t>
  </si>
  <si>
    <t>KR101501D629</t>
  </si>
  <si>
    <t>국민주택1종16-02</t>
  </si>
  <si>
    <t>KR9999990000</t>
  </si>
  <si>
    <t>예금잔고</t>
  </si>
  <si>
    <t>종목명</t>
    <phoneticPr fontId="1" type="noConversion"/>
  </si>
  <si>
    <t>종목코드</t>
    <phoneticPr fontId="1" type="noConversion"/>
  </si>
  <si>
    <t>마티니</t>
    <phoneticPr fontId="1" type="noConversion"/>
  </si>
  <si>
    <t>비앤비</t>
    <phoneticPr fontId="1" type="noConversion"/>
  </si>
  <si>
    <t>모히토</t>
    <phoneticPr fontId="1" type="noConversion"/>
  </si>
  <si>
    <t>수량</t>
    <phoneticPr fontId="1" type="noConversion"/>
  </si>
  <si>
    <t>009240</t>
  </si>
  <si>
    <t>한샘</t>
  </si>
  <si>
    <t>079160</t>
  </si>
  <si>
    <t>CJ CGV</t>
  </si>
  <si>
    <t>평가액</t>
    <phoneticPr fontId="1" type="noConversion"/>
  </si>
  <si>
    <t>롱/숏</t>
    <phoneticPr fontId="1" type="noConversion"/>
  </si>
  <si>
    <t>합계</t>
    <phoneticPr fontId="1" type="noConversion"/>
  </si>
  <si>
    <t>종목비</t>
    <phoneticPr fontId="1" type="noConversion"/>
  </si>
  <si>
    <t>수익률</t>
    <phoneticPr fontId="1" type="noConversion"/>
  </si>
  <si>
    <t>L/S</t>
    <phoneticPr fontId="1" type="noConversion"/>
  </si>
  <si>
    <t>039570</t>
  </si>
  <si>
    <t>아이콘트롤스</t>
  </si>
  <si>
    <t>KR6092201633</t>
  </si>
  <si>
    <t>IPO</t>
  </si>
  <si>
    <t>105560</t>
  </si>
  <si>
    <t>KB금융</t>
  </si>
  <si>
    <t>Governance</t>
  </si>
  <si>
    <t>Earnings</t>
  </si>
  <si>
    <t>KR6002411645</t>
  </si>
  <si>
    <t>범양건영4 CB</t>
  </si>
  <si>
    <t>017800</t>
  </si>
  <si>
    <t>현대엘리베이</t>
  </si>
  <si>
    <t>Macro</t>
  </si>
  <si>
    <t>051600</t>
  </si>
  <si>
    <t>한전KPS</t>
  </si>
  <si>
    <t>084990</t>
  </si>
  <si>
    <t>바이로메드</t>
  </si>
  <si>
    <t>097230</t>
  </si>
  <si>
    <t>한진중공업</t>
  </si>
  <si>
    <t>KR6002881656</t>
  </si>
  <si>
    <t>대유에이텍15 CB</t>
  </si>
  <si>
    <t/>
  </si>
  <si>
    <t>KR4101L90000</t>
  </si>
  <si>
    <t>코스피200 F 201609</t>
  </si>
  <si>
    <t>012450</t>
  </si>
  <si>
    <t>한화테크윈</t>
  </si>
  <si>
    <t>023530</t>
  </si>
  <si>
    <t>롯데쇼핑</t>
  </si>
  <si>
    <t>126600</t>
  </si>
  <si>
    <t>코프라</t>
  </si>
  <si>
    <t>237690</t>
  </si>
  <si>
    <t>에스티팜</t>
  </si>
  <si>
    <t>139480</t>
  </si>
  <si>
    <t>이마트</t>
  </si>
  <si>
    <t>003410</t>
  </si>
  <si>
    <t>쌍용양회</t>
  </si>
  <si>
    <t>003850</t>
  </si>
  <si>
    <t>보령제약</t>
  </si>
  <si>
    <t>005950</t>
  </si>
  <si>
    <t>이수화학</t>
  </si>
  <si>
    <t>004170</t>
  </si>
  <si>
    <t>신세계</t>
  </si>
  <si>
    <t>190510</t>
  </si>
  <si>
    <t>나무가</t>
  </si>
  <si>
    <t>삼성중공업</t>
  </si>
  <si>
    <t>001060</t>
  </si>
  <si>
    <t>JW중외제약</t>
  </si>
  <si>
    <t>073560</t>
  </si>
  <si>
    <t>200130</t>
  </si>
  <si>
    <t>콜마비앤에이치</t>
  </si>
  <si>
    <t>004000</t>
  </si>
  <si>
    <t>롯데정밀화학</t>
  </si>
  <si>
    <t>010140</t>
  </si>
  <si>
    <t>005610</t>
  </si>
  <si>
    <t>삼립식품</t>
  </si>
  <si>
    <t>008350</t>
  </si>
  <si>
    <t>남선알미늄</t>
  </si>
  <si>
    <t>204320</t>
  </si>
  <si>
    <t>만도</t>
  </si>
  <si>
    <t>우리손에프앤지</t>
  </si>
  <si>
    <t>071050</t>
  </si>
  <si>
    <t>한국금융지주</t>
  </si>
  <si>
    <t>046890</t>
  </si>
  <si>
    <t>서울반도체</t>
  </si>
  <si>
    <t>214370</t>
  </si>
  <si>
    <t>케어젠</t>
  </si>
  <si>
    <t>002990</t>
  </si>
  <si>
    <t>금호산업</t>
  </si>
  <si>
    <t>078520</t>
  </si>
  <si>
    <t>에이블씨엔씨</t>
  </si>
  <si>
    <t>사모사채</t>
  </si>
  <si>
    <t>KR205971LIME</t>
  </si>
  <si>
    <t>006400</t>
  </si>
  <si>
    <t>삼성SDI</t>
  </si>
  <si>
    <t>002380</t>
  </si>
  <si>
    <t>KCC</t>
  </si>
  <si>
    <t>000810</t>
  </si>
  <si>
    <t>삼성화재</t>
  </si>
  <si>
    <t>011070</t>
  </si>
  <si>
    <t>LG이노텍</t>
  </si>
  <si>
    <t>023410</t>
  </si>
  <si>
    <t>유진기업</t>
  </si>
  <si>
    <t>006650</t>
  </si>
  <si>
    <t>대한유화</t>
  </si>
  <si>
    <t>011170</t>
  </si>
  <si>
    <t>롯데케미칼</t>
  </si>
  <si>
    <t>130960</t>
  </si>
  <si>
    <t>CJ E&amp;M</t>
  </si>
  <si>
    <t>240810</t>
  </si>
  <si>
    <t>원익IPS</t>
  </si>
  <si>
    <t>L</t>
  </si>
  <si>
    <t>S</t>
  </si>
  <si>
    <t>입력파일</t>
    <phoneticPr fontId="1" type="noConversion"/>
  </si>
  <si>
    <t>합계</t>
  </si>
  <si>
    <t>0</t>
  </si>
  <si>
    <t>29991231</t>
  </si>
  <si>
    <t>케이엠티제일차TRS</t>
  </si>
  <si>
    <t>MS006</t>
  </si>
  <si>
    <t>103</t>
  </si>
  <si>
    <t>웨이브일렉트로닉스4CB</t>
  </si>
  <si>
    <t>KR6095271674</t>
  </si>
  <si>
    <t>MS004</t>
  </si>
  <si>
    <t>102</t>
  </si>
  <si>
    <t>디아이씨4 CB</t>
  </si>
  <si>
    <t>101</t>
  </si>
  <si>
    <t>두산건설92</t>
  </si>
  <si>
    <t>KR6011161660</t>
  </si>
  <si>
    <t>100</t>
  </si>
  <si>
    <t>태평양물산8CB</t>
  </si>
  <si>
    <t>KR6007981642</t>
  </si>
  <si>
    <t>99</t>
  </si>
  <si>
    <t>98</t>
  </si>
  <si>
    <t>97</t>
  </si>
  <si>
    <t>43</t>
  </si>
  <si>
    <t>▼</t>
  </si>
  <si>
    <t>두산건설 2WR</t>
  </si>
  <si>
    <t>162161</t>
  </si>
  <si>
    <t>96</t>
  </si>
  <si>
    <t>10</t>
  </si>
  <si>
    <t>▲</t>
  </si>
  <si>
    <t>하이소닉 7WR</t>
  </si>
  <si>
    <t>082167</t>
  </si>
  <si>
    <t>95</t>
  </si>
  <si>
    <t>300</t>
  </si>
  <si>
    <t>94</t>
  </si>
  <si>
    <t>55</t>
  </si>
  <si>
    <t>93</t>
  </si>
  <si>
    <t>70</t>
  </si>
  <si>
    <t>TIGER 농산물선물(H)</t>
  </si>
  <si>
    <t>137610</t>
  </si>
  <si>
    <t>MS002</t>
  </si>
  <si>
    <t>92</t>
  </si>
  <si>
    <t>0.7</t>
  </si>
  <si>
    <t>91</t>
  </si>
  <si>
    <t>1,500</t>
  </si>
  <si>
    <t>90</t>
  </si>
  <si>
    <t>1,000</t>
  </si>
  <si>
    <t>삼성에스디에스</t>
  </si>
  <si>
    <t>018260</t>
  </si>
  <si>
    <t>89</t>
  </si>
  <si>
    <t>88</t>
  </si>
  <si>
    <t>3,500</t>
  </si>
  <si>
    <t>87</t>
  </si>
  <si>
    <t>800</t>
  </si>
  <si>
    <t>동국제약</t>
  </si>
  <si>
    <t>086450</t>
  </si>
  <si>
    <t>86</t>
  </si>
  <si>
    <t>400</t>
  </si>
  <si>
    <t>85</t>
  </si>
  <si>
    <t>84</t>
  </si>
  <si>
    <t>2,000</t>
  </si>
  <si>
    <t>MS001</t>
  </si>
  <si>
    <t>83</t>
  </si>
  <si>
    <t>150</t>
  </si>
  <si>
    <t>82</t>
  </si>
  <si>
    <t>미래에셋대우</t>
  </si>
  <si>
    <t>006800</t>
  </si>
  <si>
    <t>81</t>
  </si>
  <si>
    <t>9,000</t>
  </si>
  <si>
    <t>80</t>
  </si>
  <si>
    <t>79</t>
  </si>
  <si>
    <t>78</t>
  </si>
  <si>
    <t>NHN엔터테인먼트</t>
  </si>
  <si>
    <t>181710</t>
  </si>
  <si>
    <t>77</t>
  </si>
  <si>
    <t>76</t>
  </si>
  <si>
    <t>200</t>
  </si>
  <si>
    <t>이녹스</t>
  </si>
  <si>
    <t>088390</t>
  </si>
  <si>
    <t>75</t>
  </si>
  <si>
    <t>74</t>
  </si>
  <si>
    <t>750</t>
  </si>
  <si>
    <t>73</t>
  </si>
  <si>
    <t>72</t>
  </si>
  <si>
    <t>71</t>
  </si>
  <si>
    <t>600</t>
  </si>
  <si>
    <t>컴투스</t>
  </si>
  <si>
    <t>078340</t>
  </si>
  <si>
    <t>1,400</t>
  </si>
  <si>
    <t>69</t>
  </si>
  <si>
    <t>500</t>
  </si>
  <si>
    <t>68</t>
  </si>
  <si>
    <t>67</t>
  </si>
  <si>
    <t>포스코대우</t>
  </si>
  <si>
    <t>047050</t>
  </si>
  <si>
    <t>66</t>
  </si>
  <si>
    <t>65</t>
  </si>
  <si>
    <t>64</t>
  </si>
  <si>
    <t>63</t>
  </si>
  <si>
    <t>5,000</t>
  </si>
  <si>
    <t>62</t>
  </si>
  <si>
    <t>61</t>
  </si>
  <si>
    <t>60</t>
  </si>
  <si>
    <t>270</t>
  </si>
  <si>
    <t>59</t>
  </si>
  <si>
    <t>250</t>
  </si>
  <si>
    <t>SKC</t>
  </si>
  <si>
    <t>011790</t>
  </si>
  <si>
    <t>58</t>
  </si>
  <si>
    <t>57</t>
  </si>
  <si>
    <t>1,100</t>
  </si>
  <si>
    <t>56</t>
  </si>
  <si>
    <t>350</t>
  </si>
  <si>
    <t>4,000</t>
  </si>
  <si>
    <t>54</t>
  </si>
  <si>
    <t>50</t>
  </si>
  <si>
    <t>일양약품</t>
  </si>
  <si>
    <t>007570</t>
  </si>
  <si>
    <t>53</t>
  </si>
  <si>
    <t>52</t>
  </si>
  <si>
    <t>2,500</t>
  </si>
  <si>
    <t>51</t>
  </si>
  <si>
    <t>3,000</t>
  </si>
  <si>
    <t>49</t>
  </si>
  <si>
    <t>농심</t>
  </si>
  <si>
    <t>004370</t>
  </si>
  <si>
    <t>48</t>
  </si>
  <si>
    <t>16,000</t>
  </si>
  <si>
    <t>47</t>
  </si>
  <si>
    <t>부광약품</t>
  </si>
  <si>
    <t>003000</t>
  </si>
  <si>
    <t>46</t>
  </si>
  <si>
    <t>17,000</t>
  </si>
  <si>
    <t>45</t>
  </si>
  <si>
    <t>1,800</t>
  </si>
  <si>
    <t>44</t>
  </si>
  <si>
    <t>CJ</t>
  </si>
  <si>
    <t>001040</t>
  </si>
  <si>
    <t>두산</t>
  </si>
  <si>
    <t>000150</t>
  </si>
  <si>
    <t>42</t>
  </si>
  <si>
    <t>450</t>
  </si>
  <si>
    <t>41</t>
  </si>
  <si>
    <t>1,900</t>
  </si>
  <si>
    <t>40</t>
  </si>
  <si>
    <t>9,900</t>
  </si>
  <si>
    <t>39</t>
  </si>
  <si>
    <t>38</t>
  </si>
  <si>
    <t>550</t>
  </si>
  <si>
    <t>GKL</t>
  </si>
  <si>
    <t>114090</t>
  </si>
  <si>
    <t>37</t>
  </si>
  <si>
    <t>36</t>
  </si>
  <si>
    <t>35</t>
  </si>
  <si>
    <t>34</t>
  </si>
  <si>
    <t>SK이노베이션</t>
  </si>
  <si>
    <t>096770</t>
  </si>
  <si>
    <t>33</t>
  </si>
  <si>
    <t>950</t>
  </si>
  <si>
    <t>테스</t>
  </si>
  <si>
    <t>095610</t>
  </si>
  <si>
    <t>32</t>
  </si>
  <si>
    <t>31</t>
  </si>
  <si>
    <t>30</t>
  </si>
  <si>
    <t>현대글로비스</t>
  </si>
  <si>
    <t>086280</t>
  </si>
  <si>
    <t>29</t>
  </si>
  <si>
    <t>티씨케이</t>
  </si>
  <si>
    <t>064760</t>
  </si>
  <si>
    <t>28</t>
  </si>
  <si>
    <t>한라홀딩스</t>
  </si>
  <si>
    <t>060980</t>
  </si>
  <si>
    <t>27</t>
  </si>
  <si>
    <t>26</t>
  </si>
  <si>
    <t>25</t>
  </si>
  <si>
    <t>7,000</t>
  </si>
  <si>
    <t>신세계푸드</t>
  </si>
  <si>
    <t>031440</t>
  </si>
  <si>
    <t>24</t>
  </si>
  <si>
    <t>3,900</t>
  </si>
  <si>
    <t>신세계인터내셔날</t>
  </si>
  <si>
    <t>031430</t>
  </si>
  <si>
    <t>23</t>
  </si>
  <si>
    <t>삼성엔지니어링</t>
  </si>
  <si>
    <t>028050</t>
  </si>
  <si>
    <t>22</t>
  </si>
  <si>
    <t>에머슨퍼시픽</t>
  </si>
  <si>
    <t>025980</t>
  </si>
  <si>
    <t>21</t>
  </si>
  <si>
    <t>20</t>
  </si>
  <si>
    <t>1,600</t>
  </si>
  <si>
    <t>19</t>
  </si>
  <si>
    <t>18</t>
  </si>
  <si>
    <t>17</t>
  </si>
  <si>
    <t>현대모비스</t>
  </si>
  <si>
    <t>012330</t>
  </si>
  <si>
    <t>16</t>
  </si>
  <si>
    <t>아이에스동서</t>
  </si>
  <si>
    <t>010780</t>
  </si>
  <si>
    <t>15</t>
  </si>
  <si>
    <t>14</t>
  </si>
  <si>
    <t>13</t>
  </si>
  <si>
    <t>900</t>
  </si>
  <si>
    <t>12</t>
  </si>
  <si>
    <t>GS건설</t>
  </si>
  <si>
    <t>006360</t>
  </si>
  <si>
    <t>11</t>
  </si>
  <si>
    <t>27,000</t>
  </si>
  <si>
    <t>9</t>
  </si>
  <si>
    <t>8</t>
  </si>
  <si>
    <t>7</t>
  </si>
  <si>
    <t>6</t>
  </si>
  <si>
    <t>5</t>
  </si>
  <si>
    <t>4</t>
  </si>
  <si>
    <t>3</t>
  </si>
  <si>
    <t>2</t>
  </si>
  <si>
    <t>1</t>
  </si>
  <si>
    <t>순번</t>
  </si>
  <si>
    <t>기초지수</t>
  </si>
  <si>
    <t>매매일</t>
  </si>
  <si>
    <t>CCY</t>
  </si>
  <si>
    <t>수수료
/세금</t>
  </si>
  <si>
    <t>전일대비
손익</t>
  </si>
  <si>
    <t>누적
손익률</t>
  </si>
  <si>
    <t>누적손익</t>
  </si>
  <si>
    <t>등락률</t>
  </si>
  <si>
    <t>전일
대비</t>
  </si>
  <si>
    <t>현재가</t>
  </si>
  <si>
    <t>취득단가</t>
  </si>
  <si>
    <t>수량</t>
  </si>
  <si>
    <t>취득가액</t>
  </si>
  <si>
    <t>종목비
/TRENCH</t>
  </si>
  <si>
    <t>종목비
/NAV</t>
  </si>
  <si>
    <t>종목명</t>
  </si>
  <si>
    <t>종목</t>
  </si>
  <si>
    <t>L/S</t>
  </si>
  <si>
    <t>TRENCH</t>
  </si>
  <si>
    <t>전략그룹</t>
  </si>
  <si>
    <t>No</t>
  </si>
  <si>
    <t>씨트리1 BW</t>
  </si>
  <si>
    <t>KR6047922671</t>
  </si>
  <si>
    <t>삼성중공업91</t>
  </si>
  <si>
    <t>KR6010141523</t>
  </si>
  <si>
    <t>KR6251801686</t>
  </si>
  <si>
    <t>108</t>
  </si>
  <si>
    <t>KODEX 인버스</t>
  </si>
  <si>
    <t>114800</t>
  </si>
  <si>
    <t>Event</t>
  </si>
  <si>
    <t>MS005</t>
  </si>
  <si>
    <t>107</t>
  </si>
  <si>
    <t>TIGER 200</t>
  </si>
  <si>
    <t>102110</t>
  </si>
  <si>
    <t>Discretionary</t>
  </si>
  <si>
    <t>106</t>
  </si>
  <si>
    <t>하이소닉7</t>
  </si>
  <si>
    <t>KR6106081658</t>
  </si>
  <si>
    <t>105</t>
  </si>
  <si>
    <t>104</t>
  </si>
  <si>
    <t>111</t>
  </si>
  <si>
    <t>110</t>
  </si>
  <si>
    <t>109</t>
  </si>
  <si>
    <t>트렌치</t>
  </si>
  <si>
    <t>트렌치</t>
    <phoneticPr fontId="1" type="noConversion"/>
  </si>
  <si>
    <t>현재가격</t>
    <phoneticPr fontId="1" type="noConversion"/>
  </si>
  <si>
    <t>종목명_트렌치</t>
    <phoneticPr fontId="1" type="noConversion"/>
  </si>
  <si>
    <t>코드</t>
    <phoneticPr fontId="1" type="noConversion"/>
  </si>
  <si>
    <t xml:space="preserve"> </t>
  </si>
  <si>
    <t>롯데정밀화학_Earnings</t>
  </si>
  <si>
    <t>NICE_Earnings</t>
  </si>
  <si>
    <t>동국제약_Earnings</t>
  </si>
  <si>
    <t>만도_Earnings</t>
  </si>
  <si>
    <t>쌍용양회_Governance</t>
  </si>
  <si>
    <t>삼성에스디에스_Governance</t>
  </si>
  <si>
    <t>삼성물산_Governance</t>
  </si>
  <si>
    <t>TIGER 농산물선물(H)_Macro</t>
  </si>
  <si>
    <t>우리손에프앤지_IPO</t>
  </si>
  <si>
    <t>에스티팜_IPO</t>
  </si>
  <si>
    <t>케이엠티제일차TRS_사모사채</t>
  </si>
  <si>
    <t>종목명_트렌치</t>
  </si>
  <si>
    <t>코드</t>
  </si>
  <si>
    <t>현재가격</t>
  </si>
  <si>
    <t>합계서식</t>
    <phoneticPr fontId="1" type="noConversion"/>
  </si>
  <si>
    <t>항목서식</t>
    <phoneticPr fontId="1" type="noConversion"/>
  </si>
  <si>
    <t>최소연</t>
    <phoneticPr fontId="1" type="noConversion"/>
  </si>
  <si>
    <t>TIGER 200_Discretionary</t>
  </si>
  <si>
    <t>KODEX 인버스_Event</t>
  </si>
  <si>
    <t>서식</t>
    <phoneticPr fontId="1" type="noConversion"/>
  </si>
  <si>
    <t>주식매수</t>
  </si>
  <si>
    <t>원익IPS_주식매수</t>
  </si>
  <si>
    <t>삼성전자_주식매수</t>
  </si>
  <si>
    <t>KB금융_주식매수</t>
  </si>
  <si>
    <t>현대엘리베이_주식매수</t>
  </si>
  <si>
    <t>LG상사_주식매수</t>
  </si>
  <si>
    <t>한진중공업_주식매수</t>
  </si>
  <si>
    <t>대림산업_주식매수</t>
  </si>
  <si>
    <t>LG디스플레이_주식매수</t>
  </si>
  <si>
    <t>SK이노베이션_주식매수</t>
  </si>
  <si>
    <t>금호산업_주식매수</t>
  </si>
  <si>
    <t>삼성엔지니어링_주식매수</t>
  </si>
  <si>
    <t>호텔신라_주식매수</t>
  </si>
  <si>
    <t>GS건설_주식매수</t>
  </si>
  <si>
    <t>POSCO_주식매수</t>
  </si>
  <si>
    <t>현대건설_주식매수</t>
  </si>
  <si>
    <t>SK_주식매수</t>
  </si>
  <si>
    <t>보령제약_주식매수</t>
  </si>
  <si>
    <t>하나금융지주_주식매수</t>
  </si>
  <si>
    <t>현대모비스_주식매수</t>
  </si>
  <si>
    <t>유진기업_주식매수</t>
  </si>
  <si>
    <t>GKL_주식매수</t>
  </si>
  <si>
    <t>신세계푸드_주식매수</t>
  </si>
  <si>
    <t>풍산_주식매수</t>
  </si>
  <si>
    <t>경동나비엔_주식매수</t>
  </si>
  <si>
    <t>신세계인터내셔날_주식매수</t>
  </si>
  <si>
    <t>아이에스동서_주식매수</t>
  </si>
  <si>
    <t>휴젤_주식매수</t>
  </si>
  <si>
    <t>효성_주식매수</t>
  </si>
  <si>
    <t>에머슨퍼시픽_주식매수</t>
  </si>
  <si>
    <t>한화테크윈_주식매수</t>
  </si>
  <si>
    <t>삼성화재_주식매수</t>
  </si>
  <si>
    <t>고려아연_주식매수</t>
  </si>
  <si>
    <t>티씨케이_주식매수</t>
  </si>
  <si>
    <t>나무가_주식매수</t>
  </si>
  <si>
    <t>한라홀딩스_주식매수</t>
  </si>
  <si>
    <t>한익스프레스_주식매수</t>
  </si>
  <si>
    <t>현대글로비스_주식매수</t>
  </si>
  <si>
    <t>CJ E&amp;M_주식매수</t>
  </si>
  <si>
    <t>현대EP_주식매수</t>
  </si>
  <si>
    <t>이수화학_주식매수</t>
  </si>
  <si>
    <t>남선알미늄_주식매수</t>
  </si>
  <si>
    <t>아이콘트롤스_주식매수</t>
  </si>
  <si>
    <t>주식매도</t>
  </si>
  <si>
    <t>Pairs trading</t>
  </si>
  <si>
    <t>미래에셋대우_Pairs trading</t>
  </si>
  <si>
    <t>KCC_Pairs trading</t>
  </si>
  <si>
    <t>Mezzanine</t>
  </si>
  <si>
    <t>대유에이텍15 CB_Mezzanine</t>
  </si>
  <si>
    <t>디아이씨4 CB_Mezzanine</t>
  </si>
  <si>
    <t>범양건영4 CB_Mezzanine</t>
  </si>
  <si>
    <t>태평양물산8CB_Mezzanine</t>
  </si>
  <si>
    <t>웨이브일렉트로닉스4CB_Mezzanine</t>
  </si>
  <si>
    <t>하이소닉 7WR_Mezzanine</t>
  </si>
  <si>
    <t>두산건설92_Mezzanine</t>
  </si>
  <si>
    <t>두산건설 2WR_Mezzanine</t>
  </si>
  <si>
    <t>삼성중공업91_Mezzanine</t>
  </si>
  <si>
    <t>씨트리1 BW_Mezzanine</t>
  </si>
  <si>
    <t>하이소닉7_Mezzanine</t>
  </si>
  <si>
    <t>대상워크시트</t>
    <phoneticPr fontId="1" type="noConversion"/>
  </si>
  <si>
    <t>\ports\멀티전략.xlsx</t>
    <phoneticPr fontId="1" type="noConversion"/>
  </si>
  <si>
    <t>\ports\메이플1.xlsx</t>
    <phoneticPr fontId="1" type="noConversion"/>
  </si>
  <si>
    <t>\ports\메이플3.xlsx</t>
    <phoneticPr fontId="1" type="noConversion"/>
  </si>
  <si>
    <t>\ports\메이플4.xlsx</t>
    <phoneticPr fontId="1" type="noConversion"/>
  </si>
  <si>
    <t>\ports\넵튠6호.xlsx</t>
    <phoneticPr fontId="1" type="noConversion"/>
  </si>
  <si>
    <t>\ports\새턴6호.xlsx</t>
    <phoneticPr fontId="1" type="noConversion"/>
  </si>
  <si>
    <t>\ports\중립밸런스.xlsx</t>
    <phoneticPr fontId="1" type="noConversion"/>
  </si>
  <si>
    <t>테스_주식매수</t>
  </si>
  <si>
    <t>코프라_주식매수</t>
  </si>
  <si>
    <t>두산_주식매도</t>
  </si>
  <si>
    <t>CJ_주식매도</t>
  </si>
  <si>
    <t>JW중외제약_주식매도</t>
  </si>
  <si>
    <t>오리온_주식매도</t>
  </si>
  <si>
    <t>부광약품_주식매도</t>
  </si>
  <si>
    <t>신세계_주식매도</t>
  </si>
  <si>
    <t>농심_주식매도</t>
  </si>
  <si>
    <t>삼립식품_주식매도</t>
  </si>
  <si>
    <t>동부화재_주식매도</t>
  </si>
  <si>
    <t>삼성SDI_주식매도</t>
  </si>
  <si>
    <t>대한유화_주식매도</t>
  </si>
  <si>
    <t>일양약품_주식매도</t>
  </si>
  <si>
    <t>한샘_주식매도</t>
  </si>
  <si>
    <t>삼성중공업_주식매도</t>
  </si>
  <si>
    <t>LG이노텍_주식매도</t>
  </si>
  <si>
    <t>롯데케미칼_주식매도</t>
  </si>
  <si>
    <t>SKC_주식매도</t>
  </si>
  <si>
    <t>성광벤드_주식매도</t>
  </si>
  <si>
    <t>SK텔레콤_주식매도</t>
  </si>
  <si>
    <t>한온시스템_주식매도</t>
  </si>
  <si>
    <t>롯데쇼핑_주식매도</t>
  </si>
  <si>
    <t>BGF리테일_주식매도</t>
  </si>
  <si>
    <t>카카오_주식매도</t>
  </si>
  <si>
    <t>서울반도체_주식매도</t>
  </si>
  <si>
    <t>포스코대우_주식매도</t>
  </si>
  <si>
    <t>한전KPS_주식매도</t>
  </si>
  <si>
    <t>LG화학_주식매도</t>
  </si>
  <si>
    <t>한전기술_주식매도</t>
  </si>
  <si>
    <t>컴투스_주식매도</t>
  </si>
  <si>
    <t>에이블씨엔씨_주식매도</t>
  </si>
  <si>
    <t>CJ CGV_주식매도</t>
  </si>
  <si>
    <t>현대리바트_주식매도</t>
  </si>
  <si>
    <t>바이로메드_주식매도</t>
  </si>
  <si>
    <t>이녹스_주식매도</t>
  </si>
  <si>
    <t>이마트_주식매도</t>
  </si>
  <si>
    <t>NHN엔터테인먼트_주식매도</t>
  </si>
  <si>
    <t>콜마비앤에이치_주식매도</t>
  </si>
  <si>
    <t>케어젠_주식매도</t>
  </si>
  <si>
    <t>한국금융지주_Pairs trading</t>
  </si>
  <si>
    <t>LG하우시스_Pairs trading</t>
  </si>
  <si>
    <t>코스피200 F 201609_Hedging</t>
  </si>
  <si>
    <t>제목없음_Mezzanine</t>
  </si>
  <si>
    <t>제목없음</t>
  </si>
  <si>
    <t>메이플1</t>
    <phoneticPr fontId="1" type="noConversion"/>
  </si>
  <si>
    <t>\ports\메이플2.xlsx</t>
    <phoneticPr fontId="1" type="noConversion"/>
  </si>
  <si>
    <t>멀티전략</t>
    <phoneticPr fontId="1" type="noConversion"/>
  </si>
  <si>
    <t>메이플2</t>
    <phoneticPr fontId="1" type="noConversion"/>
  </si>
  <si>
    <t>메이플3</t>
    <phoneticPr fontId="1" type="noConversion"/>
  </si>
  <si>
    <t>메이플4</t>
    <phoneticPr fontId="1" type="noConversion"/>
  </si>
  <si>
    <t>멀티전략</t>
  </si>
  <si>
    <t>메이플1</t>
  </si>
  <si>
    <t>메이플2</t>
  </si>
  <si>
    <t>메이플3</t>
  </si>
  <si>
    <t>메이플4</t>
  </si>
  <si>
    <t>넵튠6호</t>
  </si>
  <si>
    <t>새턴6호</t>
  </si>
  <si>
    <t>중립밸런스</t>
  </si>
  <si>
    <t>멀티전략</t>
    <phoneticPr fontId="1" type="noConversion"/>
  </si>
  <si>
    <t>멀티전략</t>
    <phoneticPr fontId="1" type="noConversion"/>
  </si>
  <si>
    <t>메이플1</t>
    <phoneticPr fontId="1" type="noConversion"/>
  </si>
  <si>
    <t>메이플2</t>
    <phoneticPr fontId="1" type="noConversion"/>
  </si>
  <si>
    <t>메이플2</t>
    <phoneticPr fontId="1" type="noConversion"/>
  </si>
  <si>
    <t>메이플2</t>
    <phoneticPr fontId="1" type="noConversion"/>
  </si>
  <si>
    <t>메이플3</t>
    <phoneticPr fontId="1" type="noConversion"/>
  </si>
  <si>
    <t>메이플3</t>
    <phoneticPr fontId="1" type="noConversion"/>
  </si>
  <si>
    <t>메이플3</t>
    <phoneticPr fontId="1" type="noConversion"/>
  </si>
  <si>
    <t>메이플4</t>
    <phoneticPr fontId="1" type="noConversion"/>
  </si>
  <si>
    <t>메이플4</t>
    <phoneticPr fontId="1" type="noConversion"/>
  </si>
  <si>
    <t>메이플4</t>
    <phoneticPr fontId="1" type="noConversion"/>
  </si>
  <si>
    <t>넵튠6호</t>
    <phoneticPr fontId="1" type="noConversion"/>
  </si>
  <si>
    <t>넵튠6호</t>
    <phoneticPr fontId="1" type="noConversion"/>
  </si>
  <si>
    <t>넵튠6호</t>
    <phoneticPr fontId="1" type="noConversion"/>
  </si>
  <si>
    <t>새턴6호</t>
    <phoneticPr fontId="1" type="noConversion"/>
  </si>
  <si>
    <t>새턴6호</t>
    <phoneticPr fontId="1" type="noConversion"/>
  </si>
  <si>
    <t>중립밸런스</t>
    <phoneticPr fontId="1" type="noConversion"/>
  </si>
  <si>
    <t>애들러4CB</t>
    <phoneticPr fontId="1" type="noConversion"/>
  </si>
  <si>
    <t>펀드 전략별 보유종목 분석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</si>
</sst>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1" formatCode="_-* #,##0_-;\-* #,##0_-;_-* &quot;-&quot;_-;_-@_-"/>
    <numFmt numFmtId="176" formatCode="#,##0_ "/>
    <numFmt numFmtId="177" formatCode="#,##0.00_ ;[Red]\-#,##0.00\ "/>
    <numFmt numFmtId="178" formatCode="#,##0.0_ "/>
    <numFmt numFmtId="179" formatCode="##0.00"/>
    <numFmt numFmtId="180" formatCode="###,###,##0.00"/>
    <numFmt numFmtId="181" formatCode="#,##0.00_ "/>
  </numFmts>
  <fonts count="2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9"/>
      <color rgb="FF000000"/>
      <name val="Dotum"/>
      <family val="3"/>
    </font>
    <font>
      <sz val="9"/>
      <color rgb="FF000000"/>
      <name val="Dotum"/>
      <family val="3"/>
    </font>
    <font>
      <sz val="9"/>
      <color rgb="FFFF0000"/>
      <name val="Dotum"/>
      <family val="3"/>
    </font>
    <font>
      <sz val="9"/>
      <color rgb="FF0050FF"/>
      <name val="Dotum"/>
      <family val="3"/>
    </font>
    <font>
      <sz val="9"/>
      <color rgb="FF1B3556"/>
      <name val="Dotum"/>
      <family val="3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24"/>
      <color theme="1"/>
      <name val="맑은 고딕"/>
      <family val="2"/>
      <charset val="129"/>
      <scheme val="minor"/>
    </font>
  </fonts>
  <fills count="4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rgb="FFF8F9FA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59999389629810485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3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8" applyNumberFormat="0" applyFill="0" applyAlignment="0" applyProtection="0">
      <alignment vertical="center"/>
    </xf>
    <xf numFmtId="0" fontId="7" fillId="0" borderId="9" applyNumberFormat="0" applyFill="0" applyAlignment="0" applyProtection="0">
      <alignment vertical="center"/>
    </xf>
    <xf numFmtId="0" fontId="8" fillId="0" borderId="10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3" borderId="0" applyNumberFormat="0" applyBorder="0" applyAlignment="0" applyProtection="0">
      <alignment vertical="center"/>
    </xf>
    <xf numFmtId="0" fontId="10" fillId="4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2" fillId="6" borderId="11" applyNumberFormat="0" applyAlignment="0" applyProtection="0">
      <alignment vertical="center"/>
    </xf>
    <xf numFmtId="0" fontId="13" fillId="7" borderId="12" applyNumberFormat="0" applyAlignment="0" applyProtection="0">
      <alignment vertical="center"/>
    </xf>
    <xf numFmtId="0" fontId="14" fillId="7" borderId="11" applyNumberFormat="0" applyAlignment="0" applyProtection="0">
      <alignment vertical="center"/>
    </xf>
    <xf numFmtId="0" fontId="15" fillId="0" borderId="13" applyNumberFormat="0" applyFill="0" applyAlignment="0" applyProtection="0">
      <alignment vertical="center"/>
    </xf>
    <xf numFmtId="0" fontId="16" fillId="8" borderId="14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9" borderId="15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6" applyNumberFormat="0" applyFill="0" applyAlignment="0" applyProtection="0">
      <alignment vertical="center"/>
    </xf>
    <xf numFmtId="0" fontId="20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20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20" fillId="17" borderId="0" applyNumberFormat="0" applyBorder="0" applyAlignment="0" applyProtection="0">
      <alignment vertical="center"/>
    </xf>
    <xf numFmtId="0" fontId="20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20" fillId="21" borderId="0" applyNumberFormat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20" fillId="25" borderId="0" applyNumberFormat="0" applyBorder="0" applyAlignment="0" applyProtection="0">
      <alignment vertical="center"/>
    </xf>
    <xf numFmtId="0" fontId="20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20" fillId="29" borderId="0" applyNumberFormat="0" applyBorder="0" applyAlignment="0" applyProtection="0">
      <alignment vertical="center"/>
    </xf>
    <xf numFmtId="0" fontId="20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20" fillId="33" borderId="0" applyNumberFormat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</cellStyleXfs>
  <cellXfs count="123">
    <xf numFmtId="0" fontId="0" fillId="0" borderId="0" xfId="0">
      <alignment vertical="center"/>
    </xf>
    <xf numFmtId="0" fontId="2" fillId="0" borderId="0" xfId="0" applyFont="1">
      <alignment vertical="center"/>
    </xf>
    <xf numFmtId="49" fontId="3" fillId="0" borderId="0" xfId="0" applyNumberFormat="1" applyFont="1">
      <alignment vertical="center"/>
    </xf>
    <xf numFmtId="176" fontId="3" fillId="0" borderId="0" xfId="0" applyNumberFormat="1" applyFont="1">
      <alignment vertical="center"/>
    </xf>
    <xf numFmtId="49" fontId="3" fillId="0" borderId="0" xfId="0" applyNumberFormat="1" applyFont="1" applyBorder="1">
      <alignment vertical="center"/>
    </xf>
    <xf numFmtId="0" fontId="2" fillId="0" borderId="1" xfId="0" applyFont="1" applyBorder="1">
      <alignment vertical="center"/>
    </xf>
    <xf numFmtId="0" fontId="2" fillId="0" borderId="2" xfId="0" applyFont="1" applyBorder="1" applyAlignment="1">
      <alignment horizontal="right" vertical="center"/>
    </xf>
    <xf numFmtId="0" fontId="2" fillId="0" borderId="0" xfId="0" applyFont="1" applyBorder="1" applyAlignment="1">
      <alignment horizontal="right" vertical="center"/>
    </xf>
    <xf numFmtId="0" fontId="2" fillId="0" borderId="3" xfId="0" applyFont="1" applyBorder="1" applyAlignment="1">
      <alignment horizontal="right" vertical="center"/>
    </xf>
    <xf numFmtId="176" fontId="2" fillId="0" borderId="2" xfId="0" applyNumberFormat="1" applyFont="1" applyBorder="1" applyAlignment="1">
      <alignment horizontal="right" vertical="center"/>
    </xf>
    <xf numFmtId="176" fontId="2" fillId="0" borderId="0" xfId="0" applyNumberFormat="1" applyFont="1" applyBorder="1" applyAlignment="1">
      <alignment horizontal="right" vertical="center"/>
    </xf>
    <xf numFmtId="176" fontId="2" fillId="0" borderId="3" xfId="0" applyNumberFormat="1" applyFont="1" applyBorder="1" applyAlignment="1">
      <alignment horizontal="right" vertical="center"/>
    </xf>
    <xf numFmtId="176" fontId="3" fillId="0" borderId="2" xfId="0" applyNumberFormat="1" applyFont="1" applyBorder="1" applyAlignment="1">
      <alignment horizontal="right" vertical="center"/>
    </xf>
    <xf numFmtId="176" fontId="3" fillId="0" borderId="0" xfId="0" applyNumberFormat="1" applyFont="1" applyBorder="1" applyAlignment="1">
      <alignment horizontal="right" vertical="center"/>
    </xf>
    <xf numFmtId="176" fontId="3" fillId="0" borderId="3" xfId="0" applyNumberFormat="1" applyFont="1" applyBorder="1" applyAlignment="1">
      <alignment horizontal="right" vertical="center"/>
    </xf>
    <xf numFmtId="177" fontId="3" fillId="0" borderId="2" xfId="0" applyNumberFormat="1" applyFont="1" applyBorder="1" applyAlignment="1">
      <alignment horizontal="right" vertical="center"/>
    </xf>
    <xf numFmtId="177" fontId="3" fillId="0" borderId="0" xfId="0" applyNumberFormat="1" applyFont="1" applyBorder="1" applyAlignment="1">
      <alignment horizontal="right" vertical="center"/>
    </xf>
    <xf numFmtId="177" fontId="3" fillId="0" borderId="3" xfId="0" applyNumberFormat="1" applyFont="1" applyBorder="1" applyAlignment="1">
      <alignment horizontal="right" vertical="center"/>
    </xf>
    <xf numFmtId="49" fontId="3" fillId="0" borderId="5" xfId="0" applyNumberFormat="1" applyFont="1" applyBorder="1">
      <alignment vertical="center"/>
    </xf>
    <xf numFmtId="0" fontId="2" fillId="0" borderId="6" xfId="0" applyFont="1" applyBorder="1">
      <alignment vertical="center"/>
    </xf>
    <xf numFmtId="176" fontId="3" fillId="0" borderId="5" xfId="0" applyNumberFormat="1" applyFont="1" applyBorder="1">
      <alignment vertical="center"/>
    </xf>
    <xf numFmtId="176" fontId="3" fillId="0" borderId="5" xfId="0" applyNumberFormat="1" applyFont="1" applyBorder="1" applyAlignment="1">
      <alignment horizontal="right" vertical="center"/>
    </xf>
    <xf numFmtId="176" fontId="3" fillId="0" borderId="4" xfId="0" applyNumberFormat="1" applyFont="1" applyBorder="1" applyAlignment="1">
      <alignment horizontal="right" vertical="center"/>
    </xf>
    <xf numFmtId="177" fontId="3" fillId="0" borderId="7" xfId="0" applyNumberFormat="1" applyFont="1" applyBorder="1" applyAlignment="1">
      <alignment horizontal="right" vertical="center"/>
    </xf>
    <xf numFmtId="177" fontId="3" fillId="0" borderId="5" xfId="0" applyNumberFormat="1" applyFont="1" applyBorder="1" applyAlignment="1">
      <alignment horizontal="right" vertical="center"/>
    </xf>
    <xf numFmtId="177" fontId="3" fillId="0" borderId="4" xfId="0" applyNumberFormat="1" applyFont="1" applyBorder="1" applyAlignment="1">
      <alignment horizontal="right" vertical="center"/>
    </xf>
    <xf numFmtId="176" fontId="3" fillId="0" borderId="4" xfId="0" applyNumberFormat="1" applyFont="1" applyBorder="1">
      <alignment vertical="center"/>
    </xf>
    <xf numFmtId="0" fontId="2" fillId="2" borderId="0" xfId="0" applyFont="1" applyFill="1">
      <alignment vertical="center"/>
    </xf>
    <xf numFmtId="0" fontId="2" fillId="2" borderId="1" xfId="0" applyFont="1" applyFill="1" applyBorder="1">
      <alignment vertical="center"/>
    </xf>
    <xf numFmtId="0" fontId="2" fillId="2" borderId="2" xfId="0" applyFont="1" applyFill="1" applyBorder="1" applyAlignment="1">
      <alignment horizontal="right" vertical="center"/>
    </xf>
    <xf numFmtId="0" fontId="2" fillId="2" borderId="0" xfId="0" applyFont="1" applyFill="1" applyBorder="1" applyAlignment="1">
      <alignment horizontal="right" vertical="center"/>
    </xf>
    <xf numFmtId="0" fontId="2" fillId="2" borderId="3" xfId="0" applyFont="1" applyFill="1" applyBorder="1" applyAlignment="1">
      <alignment horizontal="right" vertical="center"/>
    </xf>
    <xf numFmtId="0" fontId="3" fillId="2" borderId="2" xfId="0" applyFont="1" applyFill="1" applyBorder="1" applyAlignment="1">
      <alignment horizontal="right" vertical="center"/>
    </xf>
    <xf numFmtId="0" fontId="3" fillId="2" borderId="0" xfId="0" applyFont="1" applyFill="1" applyBorder="1" applyAlignment="1">
      <alignment horizontal="right" vertical="center"/>
    </xf>
    <xf numFmtId="0" fontId="3" fillId="2" borderId="3" xfId="0" applyFont="1" applyFill="1" applyBorder="1" applyAlignment="1">
      <alignment horizontal="right" vertical="center"/>
    </xf>
    <xf numFmtId="49" fontId="21" fillId="0" borderId="17" xfId="0" applyNumberFormat="1" applyFont="1" applyBorder="1" applyAlignment="1">
      <alignment horizontal="right" vertical="center" wrapText="1"/>
    </xf>
    <xf numFmtId="176" fontId="21" fillId="0" borderId="17" xfId="0" applyNumberFormat="1" applyFont="1" applyBorder="1" applyAlignment="1">
      <alignment horizontal="right" vertical="center" wrapText="1"/>
    </xf>
    <xf numFmtId="179" fontId="21" fillId="0" borderId="17" xfId="0" applyNumberFormat="1" applyFont="1" applyBorder="1" applyAlignment="1">
      <alignment horizontal="right" vertical="center" wrapText="1"/>
    </xf>
    <xf numFmtId="49" fontId="22" fillId="34" borderId="21" xfId="0" applyNumberFormat="1" applyFont="1" applyFill="1" applyBorder="1" applyAlignment="1">
      <alignment horizontal="right" vertical="center" wrapText="1"/>
    </xf>
    <xf numFmtId="49" fontId="22" fillId="34" borderId="21" xfId="0" applyNumberFormat="1" applyFont="1" applyFill="1" applyBorder="1" applyAlignment="1">
      <alignment horizontal="left" vertical="center" wrapText="1"/>
    </xf>
    <xf numFmtId="49" fontId="22" fillId="34" borderId="21" xfId="0" applyNumberFormat="1" applyFont="1" applyFill="1" applyBorder="1" applyAlignment="1">
      <alignment horizontal="center" vertical="center" wrapText="1"/>
    </xf>
    <xf numFmtId="176" fontId="22" fillId="34" borderId="21" xfId="0" applyNumberFormat="1" applyFont="1" applyFill="1" applyBorder="1" applyAlignment="1">
      <alignment horizontal="center" vertical="center" wrapText="1"/>
    </xf>
    <xf numFmtId="179" fontId="22" fillId="34" borderId="21" xfId="0" applyNumberFormat="1" applyFont="1" applyFill="1" applyBorder="1" applyAlignment="1">
      <alignment horizontal="center" vertical="center" wrapText="1"/>
    </xf>
    <xf numFmtId="180" fontId="22" fillId="34" borderId="21" xfId="0" applyNumberFormat="1" applyFont="1" applyFill="1" applyBorder="1" applyAlignment="1">
      <alignment horizontal="center" vertical="center" wrapText="1"/>
    </xf>
    <xf numFmtId="49" fontId="22" fillId="34" borderId="22" xfId="0" applyNumberFormat="1" applyFont="1" applyFill="1" applyBorder="1" applyAlignment="1">
      <alignment horizontal="right" vertical="center" wrapText="1"/>
    </xf>
    <xf numFmtId="49" fontId="22" fillId="34" borderId="23" xfId="0" applyNumberFormat="1" applyFont="1" applyFill="1" applyBorder="1" applyAlignment="1">
      <alignment horizontal="center" vertical="center" wrapText="1"/>
    </xf>
    <xf numFmtId="181" fontId="22" fillId="34" borderId="21" xfId="0" applyNumberFormat="1" applyFont="1" applyFill="1" applyBorder="1" applyAlignment="1">
      <alignment horizontal="center" vertical="center" wrapText="1"/>
    </xf>
    <xf numFmtId="49" fontId="23" fillId="34" borderId="21" xfId="0" applyNumberFormat="1" applyFont="1" applyFill="1" applyBorder="1" applyAlignment="1">
      <alignment horizontal="center" vertical="center" wrapText="1"/>
    </xf>
    <xf numFmtId="49" fontId="22" fillId="35" borderId="21" xfId="0" applyNumberFormat="1" applyFont="1" applyFill="1" applyBorder="1" applyAlignment="1">
      <alignment horizontal="right" vertical="center" wrapText="1"/>
    </xf>
    <xf numFmtId="49" fontId="22" fillId="35" borderId="21" xfId="0" applyNumberFormat="1" applyFont="1" applyFill="1" applyBorder="1" applyAlignment="1">
      <alignment horizontal="left" vertical="center" wrapText="1"/>
    </xf>
    <xf numFmtId="49" fontId="22" fillId="35" borderId="21" xfId="0" applyNumberFormat="1" applyFont="1" applyFill="1" applyBorder="1" applyAlignment="1">
      <alignment horizontal="center" vertical="center" wrapText="1"/>
    </xf>
    <xf numFmtId="176" fontId="22" fillId="35" borderId="21" xfId="0" applyNumberFormat="1" applyFont="1" applyFill="1" applyBorder="1" applyAlignment="1">
      <alignment horizontal="center" vertical="center" wrapText="1"/>
    </xf>
    <xf numFmtId="179" fontId="22" fillId="35" borderId="21" xfId="0" applyNumberFormat="1" applyFont="1" applyFill="1" applyBorder="1" applyAlignment="1">
      <alignment horizontal="center" vertical="center" wrapText="1"/>
    </xf>
    <xf numFmtId="180" fontId="22" fillId="35" borderId="21" xfId="0" applyNumberFormat="1" applyFont="1" applyFill="1" applyBorder="1" applyAlignment="1">
      <alignment horizontal="center" vertical="center" wrapText="1"/>
    </xf>
    <xf numFmtId="49" fontId="22" fillId="35" borderId="22" xfId="0" applyNumberFormat="1" applyFont="1" applyFill="1" applyBorder="1" applyAlignment="1">
      <alignment horizontal="right" vertical="center" wrapText="1"/>
    </xf>
    <xf numFmtId="49" fontId="22" fillId="35" borderId="23" xfId="0" applyNumberFormat="1" applyFont="1" applyFill="1" applyBorder="1" applyAlignment="1">
      <alignment horizontal="center" vertical="center" wrapText="1"/>
    </xf>
    <xf numFmtId="181" fontId="22" fillId="35" borderId="21" xfId="0" applyNumberFormat="1" applyFont="1" applyFill="1" applyBorder="1" applyAlignment="1">
      <alignment horizontal="center" vertical="center" wrapText="1"/>
    </xf>
    <xf numFmtId="49" fontId="23" fillId="35" borderId="21" xfId="0" applyNumberFormat="1" applyFont="1" applyFill="1" applyBorder="1" applyAlignment="1">
      <alignment horizontal="center" vertical="center" wrapText="1"/>
    </xf>
    <xf numFmtId="178" fontId="22" fillId="34" borderId="21" xfId="0" applyNumberFormat="1" applyFont="1" applyFill="1" applyBorder="1" applyAlignment="1">
      <alignment horizontal="center" vertical="center" wrapText="1"/>
    </xf>
    <xf numFmtId="180" fontId="24" fillId="35" borderId="21" xfId="0" applyNumberFormat="1" applyFont="1" applyFill="1" applyBorder="1" applyAlignment="1">
      <alignment horizontal="center" vertical="center" wrapText="1"/>
    </xf>
    <xf numFmtId="49" fontId="24" fillId="35" borderId="22" xfId="0" applyNumberFormat="1" applyFont="1" applyFill="1" applyBorder="1" applyAlignment="1">
      <alignment horizontal="right" vertical="center" wrapText="1"/>
    </xf>
    <xf numFmtId="49" fontId="24" fillId="35" borderId="23" xfId="0" applyNumberFormat="1" applyFont="1" applyFill="1" applyBorder="1" applyAlignment="1">
      <alignment horizontal="center" vertical="center" wrapText="1"/>
    </xf>
    <xf numFmtId="176" fontId="24" fillId="35" borderId="21" xfId="0" applyNumberFormat="1" applyFont="1" applyFill="1" applyBorder="1" applyAlignment="1">
      <alignment horizontal="center" vertical="center" wrapText="1"/>
    </xf>
    <xf numFmtId="180" fontId="23" fillId="34" borderId="21" xfId="0" applyNumberFormat="1" applyFont="1" applyFill="1" applyBorder="1" applyAlignment="1">
      <alignment horizontal="center" vertical="center" wrapText="1"/>
    </xf>
    <xf numFmtId="49" fontId="23" fillId="34" borderId="22" xfId="0" applyNumberFormat="1" applyFont="1" applyFill="1" applyBorder="1" applyAlignment="1">
      <alignment horizontal="right" vertical="center" wrapText="1"/>
    </xf>
    <xf numFmtId="49" fontId="23" fillId="34" borderId="23" xfId="0" applyNumberFormat="1" applyFont="1" applyFill="1" applyBorder="1" applyAlignment="1">
      <alignment horizontal="center" vertical="center" wrapText="1"/>
    </xf>
    <xf numFmtId="176" fontId="23" fillId="34" borderId="21" xfId="0" applyNumberFormat="1" applyFont="1" applyFill="1" applyBorder="1" applyAlignment="1">
      <alignment horizontal="center" vertical="center" wrapText="1"/>
    </xf>
    <xf numFmtId="180" fontId="24" fillId="34" borderId="21" xfId="0" applyNumberFormat="1" applyFont="1" applyFill="1" applyBorder="1" applyAlignment="1">
      <alignment horizontal="center" vertical="center" wrapText="1"/>
    </xf>
    <xf numFmtId="49" fontId="24" fillId="34" borderId="22" xfId="0" applyNumberFormat="1" applyFont="1" applyFill="1" applyBorder="1" applyAlignment="1">
      <alignment horizontal="right" vertical="center" wrapText="1"/>
    </xf>
    <xf numFmtId="49" fontId="24" fillId="34" borderId="23" xfId="0" applyNumberFormat="1" applyFont="1" applyFill="1" applyBorder="1" applyAlignment="1">
      <alignment horizontal="center" vertical="center" wrapText="1"/>
    </xf>
    <xf numFmtId="176" fontId="24" fillId="34" borderId="21" xfId="0" applyNumberFormat="1" applyFont="1" applyFill="1" applyBorder="1" applyAlignment="1">
      <alignment horizontal="center" vertical="center" wrapText="1"/>
    </xf>
    <xf numFmtId="178" fontId="24" fillId="34" borderId="21" xfId="0" applyNumberFormat="1" applyFont="1" applyFill="1" applyBorder="1" applyAlignment="1">
      <alignment horizontal="center" vertical="center" wrapText="1"/>
    </xf>
    <xf numFmtId="49" fontId="24" fillId="34" borderId="21" xfId="0" applyNumberFormat="1" applyFont="1" applyFill="1" applyBorder="1" applyAlignment="1">
      <alignment horizontal="center" vertical="center" wrapText="1"/>
    </xf>
    <xf numFmtId="180" fontId="23" fillId="35" borderId="21" xfId="0" applyNumberFormat="1" applyFont="1" applyFill="1" applyBorder="1" applyAlignment="1">
      <alignment horizontal="center" vertical="center" wrapText="1"/>
    </xf>
    <xf numFmtId="49" fontId="23" fillId="35" borderId="22" xfId="0" applyNumberFormat="1" applyFont="1" applyFill="1" applyBorder="1" applyAlignment="1">
      <alignment horizontal="right" vertical="center" wrapText="1"/>
    </xf>
    <xf numFmtId="49" fontId="23" fillId="35" borderId="23" xfId="0" applyNumberFormat="1" applyFont="1" applyFill="1" applyBorder="1" applyAlignment="1">
      <alignment horizontal="center" vertical="center" wrapText="1"/>
    </xf>
    <xf numFmtId="176" fontId="23" fillId="35" borderId="21" xfId="0" applyNumberFormat="1" applyFont="1" applyFill="1" applyBorder="1" applyAlignment="1">
      <alignment horizontal="center" vertical="center" wrapText="1"/>
    </xf>
    <xf numFmtId="49" fontId="24" fillId="35" borderId="21" xfId="0" applyNumberFormat="1" applyFont="1" applyFill="1" applyBorder="1" applyAlignment="1">
      <alignment horizontal="center" vertical="center" wrapText="1"/>
    </xf>
    <xf numFmtId="178" fontId="22" fillId="35" borderId="21" xfId="0" applyNumberFormat="1" applyFont="1" applyFill="1" applyBorder="1" applyAlignment="1">
      <alignment horizontal="center" vertical="center" wrapText="1"/>
    </xf>
    <xf numFmtId="49" fontId="22" fillId="34" borderId="17" xfId="0" applyNumberFormat="1" applyFont="1" applyFill="1" applyBorder="1" applyAlignment="1">
      <alignment horizontal="right" vertical="center" wrapText="1"/>
    </xf>
    <xf numFmtId="49" fontId="22" fillId="34" borderId="17" xfId="0" applyNumberFormat="1" applyFont="1" applyFill="1" applyBorder="1" applyAlignment="1">
      <alignment horizontal="left" vertical="center" wrapText="1"/>
    </xf>
    <xf numFmtId="49" fontId="22" fillId="34" borderId="17" xfId="0" applyNumberFormat="1" applyFont="1" applyFill="1" applyBorder="1" applyAlignment="1">
      <alignment horizontal="center" vertical="center" wrapText="1"/>
    </xf>
    <xf numFmtId="176" fontId="22" fillId="34" borderId="17" xfId="0" applyNumberFormat="1" applyFont="1" applyFill="1" applyBorder="1" applyAlignment="1">
      <alignment horizontal="center" vertical="center" wrapText="1"/>
    </xf>
    <xf numFmtId="179" fontId="22" fillId="34" borderId="17" xfId="0" applyNumberFormat="1" applyFont="1" applyFill="1" applyBorder="1" applyAlignment="1">
      <alignment horizontal="center" vertical="center" wrapText="1"/>
    </xf>
    <xf numFmtId="180" fontId="24" fillId="34" borderId="17" xfId="0" applyNumberFormat="1" applyFont="1" applyFill="1" applyBorder="1" applyAlignment="1">
      <alignment horizontal="center" vertical="center" wrapText="1"/>
    </xf>
    <xf numFmtId="49" fontId="24" fillId="34" borderId="18" xfId="0" applyNumberFormat="1" applyFont="1" applyFill="1" applyBorder="1" applyAlignment="1">
      <alignment horizontal="right" vertical="center" wrapText="1"/>
    </xf>
    <xf numFmtId="49" fontId="24" fillId="34" borderId="19" xfId="0" applyNumberFormat="1" applyFont="1" applyFill="1" applyBorder="1" applyAlignment="1">
      <alignment horizontal="center" vertical="center" wrapText="1"/>
    </xf>
    <xf numFmtId="176" fontId="24" fillId="34" borderId="17" xfId="0" applyNumberFormat="1" applyFont="1" applyFill="1" applyBorder="1" applyAlignment="1">
      <alignment horizontal="center" vertical="center" wrapText="1"/>
    </xf>
    <xf numFmtId="181" fontId="22" fillId="34" borderId="17" xfId="0" applyNumberFormat="1" applyFont="1" applyFill="1" applyBorder="1" applyAlignment="1">
      <alignment horizontal="center" vertical="center" wrapText="1"/>
    </xf>
    <xf numFmtId="49" fontId="23" fillId="34" borderId="17" xfId="0" applyNumberFormat="1" applyFont="1" applyFill="1" applyBorder="1" applyAlignment="1">
      <alignment horizontal="center" vertical="center" wrapText="1"/>
    </xf>
    <xf numFmtId="178" fontId="24" fillId="35" borderId="21" xfId="0" applyNumberFormat="1" applyFont="1" applyFill="1" applyBorder="1" applyAlignment="1">
      <alignment horizontal="center" vertical="center" wrapText="1"/>
    </xf>
    <xf numFmtId="0" fontId="26" fillId="0" borderId="0" xfId="0" applyFont="1">
      <alignment vertical="center"/>
    </xf>
    <xf numFmtId="0" fontId="26" fillId="0" borderId="0" xfId="0" applyFont="1" applyAlignment="1">
      <alignment horizontal="left" vertical="center" indent="1"/>
    </xf>
    <xf numFmtId="0" fontId="27" fillId="0" borderId="0" xfId="0" applyFont="1">
      <alignment vertical="center"/>
    </xf>
    <xf numFmtId="0" fontId="27" fillId="0" borderId="0" xfId="0" applyFont="1" applyAlignment="1">
      <alignment horizontal="left" vertical="center" indent="1"/>
    </xf>
    <xf numFmtId="0" fontId="27" fillId="0" borderId="0" xfId="0" quotePrefix="1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41" fontId="26" fillId="0" borderId="0" xfId="42" applyFont="1">
      <alignment vertical="center"/>
    </xf>
    <xf numFmtId="2" fontId="26" fillId="0" borderId="0" xfId="0" applyNumberFormat="1" applyFont="1">
      <alignment vertical="center"/>
    </xf>
    <xf numFmtId="0" fontId="26" fillId="37" borderId="0" xfId="0" applyFont="1" applyFill="1" applyAlignment="1">
      <alignment horizontal="right" vertical="center" indent="1"/>
    </xf>
    <xf numFmtId="0" fontId="27" fillId="37" borderId="0" xfId="0" quotePrefix="1" applyFont="1" applyFill="1">
      <alignment vertical="center"/>
    </xf>
    <xf numFmtId="0" fontId="27" fillId="37" borderId="0" xfId="0" applyFont="1" applyFill="1">
      <alignment vertical="center"/>
    </xf>
    <xf numFmtId="2" fontId="27" fillId="37" borderId="0" xfId="0" applyNumberFormat="1" applyFont="1" applyFill="1">
      <alignment vertical="center"/>
    </xf>
    <xf numFmtId="41" fontId="27" fillId="37" borderId="0" xfId="42" applyFont="1" applyFill="1">
      <alignment vertical="center"/>
    </xf>
    <xf numFmtId="0" fontId="26" fillId="36" borderId="0" xfId="0" applyFont="1" applyFill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0" fillId="38" borderId="27" xfId="0" applyFill="1" applyBorder="1" applyAlignment="1">
      <alignment horizontal="left" vertical="center" indent="1"/>
    </xf>
    <xf numFmtId="0" fontId="26" fillId="40" borderId="0" xfId="0" applyFont="1" applyFill="1" applyAlignment="1">
      <alignment horizontal="left" vertical="center" indent="1"/>
    </xf>
    <xf numFmtId="41" fontId="26" fillId="40" borderId="0" xfId="42" applyFont="1" applyFill="1">
      <alignment vertical="center"/>
    </xf>
    <xf numFmtId="0" fontId="0" fillId="39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49" fontId="25" fillId="0" borderId="24" xfId="0" applyNumberFormat="1" applyFont="1" applyBorder="1" applyAlignment="1">
      <alignment horizontal="center" vertical="center" wrapText="1"/>
    </xf>
    <xf numFmtId="49" fontId="25" fillId="0" borderId="21" xfId="0" applyNumberFormat="1" applyFont="1" applyBorder="1" applyAlignment="1">
      <alignment horizontal="center" vertical="center" wrapText="1"/>
    </xf>
    <xf numFmtId="49" fontId="21" fillId="0" borderId="19" xfId="0" applyNumberFormat="1" applyFont="1" applyBorder="1" applyAlignment="1">
      <alignment horizontal="center" vertical="center" wrapText="1"/>
    </xf>
    <xf numFmtId="49" fontId="21" fillId="0" borderId="20" xfId="0" applyNumberFormat="1" applyFont="1" applyBorder="1" applyAlignment="1">
      <alignment horizontal="center" vertical="center" wrapText="1"/>
    </xf>
    <xf numFmtId="49" fontId="21" fillId="0" borderId="18" xfId="0" applyNumberFormat="1" applyFont="1" applyBorder="1" applyAlignment="1">
      <alignment horizontal="center" vertical="center" wrapText="1"/>
    </xf>
    <xf numFmtId="49" fontId="21" fillId="0" borderId="19" xfId="0" applyNumberFormat="1" applyFont="1" applyBorder="1" applyAlignment="1">
      <alignment horizontal="right" vertical="center" wrapText="1"/>
    </xf>
    <xf numFmtId="49" fontId="21" fillId="0" borderId="18" xfId="0" applyNumberFormat="1" applyFont="1" applyBorder="1" applyAlignment="1">
      <alignment horizontal="right" vertical="center" wrapText="1"/>
    </xf>
    <xf numFmtId="49" fontId="25" fillId="0" borderId="26" xfId="0" applyNumberFormat="1" applyFont="1" applyBorder="1" applyAlignment="1">
      <alignment horizontal="center" vertical="center" wrapText="1"/>
    </xf>
    <xf numFmtId="49" fontId="25" fillId="0" borderId="25" xfId="0" applyNumberFormat="1" applyFont="1" applyBorder="1" applyAlignment="1">
      <alignment horizontal="center" vertical="center" wrapText="1"/>
    </xf>
    <xf numFmtId="49" fontId="25" fillId="0" borderId="23" xfId="0" applyNumberFormat="1" applyFont="1" applyBorder="1" applyAlignment="1">
      <alignment horizontal="center" vertical="center" wrapText="1"/>
    </xf>
    <xf numFmtId="49" fontId="25" fillId="0" borderId="22" xfId="0" applyNumberFormat="1" applyFont="1" applyBorder="1" applyAlignment="1">
      <alignment horizontal="center" vertical="center" wrapText="1"/>
    </xf>
    <xf numFmtId="0" fontId="28" fillId="0" borderId="0" xfId="0" applyFont="1" applyAlignment="1">
      <alignment horizontal="left" vertical="center" indent="1"/>
    </xf>
  </cellXfs>
  <cellStyles count="43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쉼표 [0]" xfId="42" builtinId="6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226"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0625"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895"/>
  <sheetViews>
    <sheetView workbookViewId="0">
      <pane ySplit="5" topLeftCell="A6" activePane="bottomLeft" state="frozen"/>
      <selection activeCell="N25" sqref="N25"/>
      <selection pane="bottomLeft" activeCell="C37" sqref="C37"/>
    </sheetView>
  </sheetViews>
  <sheetFormatPr defaultRowHeight="12"/>
  <cols>
    <col min="1" max="1" width="12.5" style="1" bestFit="1" customWidth="1"/>
    <col min="2" max="2" width="20.75" style="1" bestFit="1" customWidth="1"/>
    <col min="3" max="3" width="5.125" style="5" bestFit="1" customWidth="1"/>
    <col min="4" max="6" width="12.125" style="1" bestFit="1" customWidth="1"/>
    <col min="7" max="7" width="12.75" style="6" bestFit="1" customWidth="1"/>
    <col min="8" max="8" width="12.125" style="7" bestFit="1" customWidth="1"/>
    <col min="9" max="9" width="12.125" style="8" bestFit="1" customWidth="1"/>
    <col min="10" max="16384" width="9" style="1"/>
  </cols>
  <sheetData>
    <row r="1" spans="1:13">
      <c r="G1" s="6" t="e">
        <f>IF(G2=G3,"OK","Check")</f>
        <v>#REF!</v>
      </c>
      <c r="H1" s="7" t="e">
        <f>IF(H2=H3,"OK","Check")</f>
        <v>#REF!</v>
      </c>
      <c r="I1" s="8" t="e">
        <f>IF(I2=I3,"OK","Check")</f>
        <v>#REF!</v>
      </c>
    </row>
    <row r="2" spans="1:13">
      <c r="G2" s="9" t="e">
        <f>SUM(#REF!)</f>
        <v>#REF!</v>
      </c>
      <c r="H2" s="10" t="e">
        <f>SUM(#REF!)</f>
        <v>#REF!</v>
      </c>
      <c r="I2" s="11" t="e">
        <f>SUM(#REF!)</f>
        <v>#REF!</v>
      </c>
    </row>
    <row r="3" spans="1:13">
      <c r="C3" s="5" t="s">
        <v>244</v>
      </c>
      <c r="G3" s="9" t="e">
        <f>SUM(G6:G895)</f>
        <v>#REF!</v>
      </c>
      <c r="H3" s="10" t="e">
        <f>SUM(H6:H895)</f>
        <v>#REF!</v>
      </c>
      <c r="I3" s="11" t="e">
        <f>SUM(I6:I895)</f>
        <v>#REF!</v>
      </c>
    </row>
    <row r="4" spans="1:13">
      <c r="A4" s="27"/>
      <c r="B4" s="27"/>
      <c r="C4" s="28"/>
      <c r="D4" s="27" t="s">
        <v>237</v>
      </c>
      <c r="E4" s="27" t="s">
        <v>237</v>
      </c>
      <c r="F4" s="27" t="s">
        <v>237</v>
      </c>
      <c r="G4" s="29" t="s">
        <v>242</v>
      </c>
      <c r="H4" s="30" t="s">
        <v>242</v>
      </c>
      <c r="I4" s="31" t="s">
        <v>242</v>
      </c>
      <c r="J4" s="27" t="s">
        <v>245</v>
      </c>
      <c r="K4" s="27" t="s">
        <v>245</v>
      </c>
      <c r="L4" s="27" t="s">
        <v>245</v>
      </c>
    </row>
    <row r="5" spans="1:13">
      <c r="A5" s="27" t="s">
        <v>233</v>
      </c>
      <c r="B5" s="27" t="s">
        <v>232</v>
      </c>
      <c r="C5" s="28" t="s">
        <v>243</v>
      </c>
      <c r="D5" s="27" t="s">
        <v>236</v>
      </c>
      <c r="E5" s="27" t="s">
        <v>234</v>
      </c>
      <c r="F5" s="27" t="s">
        <v>235</v>
      </c>
      <c r="G5" s="32" t="s">
        <v>236</v>
      </c>
      <c r="H5" s="33" t="s">
        <v>234</v>
      </c>
      <c r="I5" s="34" t="s">
        <v>235</v>
      </c>
      <c r="J5" s="32" t="s">
        <v>236</v>
      </c>
      <c r="K5" s="33" t="s">
        <v>234</v>
      </c>
      <c r="L5" s="34" t="s">
        <v>235</v>
      </c>
    </row>
    <row r="6" spans="1:13">
      <c r="A6" s="2" t="s">
        <v>0</v>
      </c>
      <c r="B6" s="2" t="s">
        <v>1</v>
      </c>
      <c r="C6" s="5" t="e">
        <f t="shared" ref="C6:C37" si="0">IF(SUM(G6:I6)&gt;0,"L",IF(SUM(G6:I6)&lt;0,"S",""))</f>
        <v>#REF!</v>
      </c>
      <c r="D6" s="3" t="e">
        <f>SUMIF(#REF!,종합_Ver2!$B6,#REF!)</f>
        <v>#REF!</v>
      </c>
      <c r="E6" s="3" t="e">
        <f>SUMIF(#REF!,종합_Ver2!$B6,#REF!)</f>
        <v>#REF!</v>
      </c>
      <c r="F6" s="3" t="e">
        <f>SUMIF(#REF!,종합_Ver2!$B6,#REF!)</f>
        <v>#REF!</v>
      </c>
      <c r="G6" s="12" t="e">
        <f>SUMIF(#REF!,종합_Ver2!$B6,#REF!)</f>
        <v>#REF!</v>
      </c>
      <c r="H6" s="13" t="e">
        <f>SUMIF(#REF!,종합_Ver2!$B6,#REF!)</f>
        <v>#REF!</v>
      </c>
      <c r="I6" s="14" t="e">
        <f>SUMIF(#REF!,종합_Ver2!$B6,#REF!)</f>
        <v>#REF!</v>
      </c>
      <c r="J6" s="15" t="e">
        <f>SUMIF(#REF!,종합_Ver2!$B6,#REF!)</f>
        <v>#REF!</v>
      </c>
      <c r="K6" s="16" t="e">
        <f>SUMIF(#REF!,종합_Ver2!$B6,#REF!)</f>
        <v>#REF!</v>
      </c>
      <c r="L6" s="17" t="e">
        <f>SUMIF(#REF!,종합_Ver2!$B6,#REF!)</f>
        <v>#REF!</v>
      </c>
      <c r="M6" s="1">
        <v>84619200</v>
      </c>
    </row>
    <row r="7" spans="1:13">
      <c r="A7" s="2" t="s">
        <v>212</v>
      </c>
      <c r="B7" s="2" t="s">
        <v>213</v>
      </c>
      <c r="C7" s="5" t="e">
        <f t="shared" si="0"/>
        <v>#REF!</v>
      </c>
      <c r="D7" s="3" t="e">
        <f>SUMIF(#REF!,종합_Ver2!$B7,#REF!)</f>
        <v>#REF!</v>
      </c>
      <c r="E7" s="3" t="e">
        <f>SUMIF(#REF!,종합_Ver2!$B7,#REF!)</f>
        <v>#REF!</v>
      </c>
      <c r="F7" s="3" t="e">
        <f>SUMIF(#REF!,종합_Ver2!$B7,#REF!)</f>
        <v>#REF!</v>
      </c>
      <c r="G7" s="12" t="e">
        <f>SUMIF(#REF!,종합_Ver2!$B7,#REF!)</f>
        <v>#REF!</v>
      </c>
      <c r="H7" s="13" t="e">
        <f>SUMIF(#REF!,종합_Ver2!$B7,#REF!)</f>
        <v>#REF!</v>
      </c>
      <c r="I7" s="14" t="e">
        <f>SUMIF(#REF!,종합_Ver2!$B7,#REF!)</f>
        <v>#REF!</v>
      </c>
      <c r="J7" s="15" t="e">
        <f>SUMIF(#REF!,종합_Ver2!$B7,#REF!)</f>
        <v>#REF!</v>
      </c>
      <c r="K7" s="16" t="e">
        <f>SUMIF(#REF!,종합_Ver2!$B7,#REF!)</f>
        <v>#REF!</v>
      </c>
      <c r="L7" s="17" t="e">
        <f>SUMIF(#REF!,종합_Ver2!$B7,#REF!)</f>
        <v>#REF!</v>
      </c>
      <c r="M7" s="1">
        <v>112702500</v>
      </c>
    </row>
    <row r="8" spans="1:13">
      <c r="A8" s="2" t="s">
        <v>107</v>
      </c>
      <c r="B8" s="2" t="s">
        <v>108</v>
      </c>
      <c r="C8" s="5" t="e">
        <f t="shared" si="0"/>
        <v>#REF!</v>
      </c>
      <c r="D8" s="3" t="e">
        <f>SUMIF(#REF!,종합_Ver2!$B8,#REF!)</f>
        <v>#REF!</v>
      </c>
      <c r="E8" s="3" t="e">
        <f>SUMIF(#REF!,종합_Ver2!$B8,#REF!)</f>
        <v>#REF!</v>
      </c>
      <c r="F8" s="3" t="e">
        <f>SUMIF(#REF!,종합_Ver2!$B8,#REF!)</f>
        <v>#REF!</v>
      </c>
      <c r="G8" s="12" t="e">
        <f>SUMIF(#REF!,종합_Ver2!$B8,#REF!)</f>
        <v>#REF!</v>
      </c>
      <c r="H8" s="13" t="e">
        <f>SUMIF(#REF!,종합_Ver2!$B8,#REF!)</f>
        <v>#REF!</v>
      </c>
      <c r="I8" s="14" t="e">
        <f>SUMIF(#REF!,종합_Ver2!$B8,#REF!)</f>
        <v>#REF!</v>
      </c>
      <c r="J8" s="15" t="e">
        <f>SUMIF(#REF!,종합_Ver2!$B8,#REF!)</f>
        <v>#REF!</v>
      </c>
      <c r="K8" s="16" t="e">
        <f>SUMIF(#REF!,종합_Ver2!$B8,#REF!)</f>
        <v>#REF!</v>
      </c>
      <c r="L8" s="17" t="e">
        <f>SUMIF(#REF!,종합_Ver2!$B8,#REF!)</f>
        <v>#REF!</v>
      </c>
      <c r="M8" s="1">
        <v>162102500</v>
      </c>
    </row>
    <row r="9" spans="1:13">
      <c r="A9" s="2" t="s">
        <v>4</v>
      </c>
      <c r="B9" s="2" t="s">
        <v>5</v>
      </c>
      <c r="C9" s="5" t="e">
        <f t="shared" si="0"/>
        <v>#REF!</v>
      </c>
      <c r="D9" s="3" t="e">
        <f>SUMIF(#REF!,종합_Ver2!$B9,#REF!)</f>
        <v>#REF!</v>
      </c>
      <c r="E9" s="3" t="e">
        <f>SUMIF(#REF!,종합_Ver2!$B9,#REF!)</f>
        <v>#REF!</v>
      </c>
      <c r="F9" s="3" t="e">
        <f>SUMIF(#REF!,종합_Ver2!$B9,#REF!)</f>
        <v>#REF!</v>
      </c>
      <c r="G9" s="12" t="e">
        <f>SUMIF(#REF!,종합_Ver2!$B9,#REF!)</f>
        <v>#REF!</v>
      </c>
      <c r="H9" s="13" t="e">
        <f>SUMIF(#REF!,종합_Ver2!$B9,#REF!)</f>
        <v>#REF!</v>
      </c>
      <c r="I9" s="14" t="e">
        <f>SUMIF(#REF!,종합_Ver2!$B9,#REF!)</f>
        <v>#REF!</v>
      </c>
      <c r="J9" s="15" t="e">
        <f>SUMIF(#REF!,종합_Ver2!$B9,#REF!)</f>
        <v>#REF!</v>
      </c>
      <c r="K9" s="16" t="e">
        <f>SUMIF(#REF!,종합_Ver2!$B9,#REF!)</f>
        <v>#REF!</v>
      </c>
      <c r="L9" s="17" t="e">
        <f>SUMIF(#REF!,종합_Ver2!$B9,#REF!)</f>
        <v>#REF!</v>
      </c>
      <c r="M9" s="1">
        <v>133932750</v>
      </c>
    </row>
    <row r="10" spans="1:13">
      <c r="A10" s="2" t="s">
        <v>6</v>
      </c>
      <c r="B10" s="2" t="s">
        <v>7</v>
      </c>
      <c r="C10" s="5" t="e">
        <f t="shared" si="0"/>
        <v>#REF!</v>
      </c>
      <c r="D10" s="3" t="e">
        <f>SUMIF(#REF!,종합_Ver2!$B10,#REF!)</f>
        <v>#REF!</v>
      </c>
      <c r="E10" s="3" t="e">
        <f>SUMIF(#REF!,종합_Ver2!$B10,#REF!)</f>
        <v>#REF!</v>
      </c>
      <c r="F10" s="3" t="e">
        <f>SUMIF(#REF!,종합_Ver2!$B10,#REF!)</f>
        <v>#REF!</v>
      </c>
      <c r="G10" s="12" t="e">
        <f>SUMIF(#REF!,종합_Ver2!$B10,#REF!)</f>
        <v>#REF!</v>
      </c>
      <c r="H10" s="13" t="e">
        <f>SUMIF(#REF!,종합_Ver2!$B10,#REF!)</f>
        <v>#REF!</v>
      </c>
      <c r="I10" s="14" t="e">
        <f>SUMIF(#REF!,종합_Ver2!$B10,#REF!)</f>
        <v>#REF!</v>
      </c>
      <c r="J10" s="15" t="e">
        <f>SUMIF(#REF!,종합_Ver2!$B10,#REF!)</f>
        <v>#REF!</v>
      </c>
      <c r="K10" s="16" t="e">
        <f>SUMIF(#REF!,종합_Ver2!$B10,#REF!)</f>
        <v>#REF!</v>
      </c>
      <c r="L10" s="17" t="e">
        <f>SUMIF(#REF!,종합_Ver2!$B10,#REF!)</f>
        <v>#REF!</v>
      </c>
      <c r="M10" s="1">
        <v>195104000</v>
      </c>
    </row>
    <row r="11" spans="1:13">
      <c r="A11" s="2" t="s">
        <v>8</v>
      </c>
      <c r="B11" s="2" t="s">
        <v>9</v>
      </c>
      <c r="C11" s="5" t="e">
        <f t="shared" si="0"/>
        <v>#REF!</v>
      </c>
      <c r="D11" s="3" t="e">
        <f>SUMIF(#REF!,종합_Ver2!$B11,#REF!)</f>
        <v>#REF!</v>
      </c>
      <c r="E11" s="3" t="e">
        <f>SUMIF(#REF!,종합_Ver2!$B11,#REF!)</f>
        <v>#REF!</v>
      </c>
      <c r="F11" s="3" t="e">
        <f>SUMIF(#REF!,종합_Ver2!$B11,#REF!)</f>
        <v>#REF!</v>
      </c>
      <c r="G11" s="12" t="e">
        <f>SUMIF(#REF!,종합_Ver2!$B11,#REF!)</f>
        <v>#REF!</v>
      </c>
      <c r="H11" s="13" t="e">
        <f>SUMIF(#REF!,종합_Ver2!$B11,#REF!)</f>
        <v>#REF!</v>
      </c>
      <c r="I11" s="14" t="e">
        <f>SUMIF(#REF!,종합_Ver2!$B11,#REF!)</f>
        <v>#REF!</v>
      </c>
      <c r="J11" s="15" t="e">
        <f>SUMIF(#REF!,종합_Ver2!$B11,#REF!)</f>
        <v>#REF!</v>
      </c>
      <c r="K11" s="16" t="e">
        <f>SUMIF(#REF!,종합_Ver2!$B11,#REF!)</f>
        <v>#REF!</v>
      </c>
      <c r="L11" s="17" t="e">
        <f>SUMIF(#REF!,종합_Ver2!$B11,#REF!)</f>
        <v>#REF!</v>
      </c>
      <c r="M11" s="1">
        <v>127865000</v>
      </c>
    </row>
    <row r="12" spans="1:13">
      <c r="A12" s="2" t="s">
        <v>191</v>
      </c>
      <c r="B12" s="2" t="s">
        <v>192</v>
      </c>
      <c r="C12" s="5" t="e">
        <f t="shared" si="0"/>
        <v>#REF!</v>
      </c>
      <c r="D12" s="3" t="e">
        <f>SUMIF(#REF!,종합_Ver2!$B12,#REF!)</f>
        <v>#REF!</v>
      </c>
      <c r="E12" s="3" t="e">
        <f>SUMIF(#REF!,종합_Ver2!$B12,#REF!)</f>
        <v>#REF!</v>
      </c>
      <c r="F12" s="3" t="e">
        <f>SUMIF(#REF!,종합_Ver2!$B12,#REF!)</f>
        <v>#REF!</v>
      </c>
      <c r="G12" s="12" t="e">
        <f>SUMIF(#REF!,종합_Ver2!$B12,#REF!)</f>
        <v>#REF!</v>
      </c>
      <c r="H12" s="13" t="e">
        <f>SUMIF(#REF!,종합_Ver2!$B12,#REF!)</f>
        <v>#REF!</v>
      </c>
      <c r="I12" s="14" t="e">
        <f>SUMIF(#REF!,종합_Ver2!$B12,#REF!)</f>
        <v>#REF!</v>
      </c>
      <c r="J12" s="15" t="e">
        <f>SUMIF(#REF!,종합_Ver2!$B12,#REF!)</f>
        <v>#REF!</v>
      </c>
      <c r="K12" s="16" t="e">
        <f>SUMIF(#REF!,종합_Ver2!$B12,#REF!)</f>
        <v>#REF!</v>
      </c>
      <c r="L12" s="17" t="e">
        <f>SUMIF(#REF!,종합_Ver2!$B12,#REF!)</f>
        <v>#REF!</v>
      </c>
      <c r="M12" s="1">
        <v>111276000</v>
      </c>
    </row>
    <row r="13" spans="1:13">
      <c r="A13" s="2" t="s">
        <v>214</v>
      </c>
      <c r="B13" s="2" t="s">
        <v>215</v>
      </c>
      <c r="C13" s="5" t="e">
        <f t="shared" si="0"/>
        <v>#REF!</v>
      </c>
      <c r="D13" s="3" t="e">
        <f>SUMIF(#REF!,종합_Ver2!$B13,#REF!)</f>
        <v>#REF!</v>
      </c>
      <c r="E13" s="3" t="e">
        <f>SUMIF(#REF!,종합_Ver2!$B13,#REF!)</f>
        <v>#REF!</v>
      </c>
      <c r="F13" s="3" t="e">
        <f>SUMIF(#REF!,종합_Ver2!$B13,#REF!)</f>
        <v>#REF!</v>
      </c>
      <c r="G13" s="12" t="e">
        <f>SUMIF(#REF!,종합_Ver2!$B13,#REF!)</f>
        <v>#REF!</v>
      </c>
      <c r="H13" s="13" t="e">
        <f>SUMIF(#REF!,종합_Ver2!$B13,#REF!)</f>
        <v>#REF!</v>
      </c>
      <c r="I13" s="14" t="e">
        <f>SUMIF(#REF!,종합_Ver2!$B13,#REF!)</f>
        <v>#REF!</v>
      </c>
      <c r="J13" s="15" t="e">
        <f>SUMIF(#REF!,종합_Ver2!$B13,#REF!)</f>
        <v>#REF!</v>
      </c>
      <c r="K13" s="16" t="e">
        <f>SUMIF(#REF!,종합_Ver2!$B13,#REF!)</f>
        <v>#REF!</v>
      </c>
      <c r="L13" s="17" t="e">
        <f>SUMIF(#REF!,종합_Ver2!$B13,#REF!)</f>
        <v>#REF!</v>
      </c>
      <c r="M13" s="1">
        <v>196209000</v>
      </c>
    </row>
    <row r="14" spans="1:13">
      <c r="A14" s="2" t="s">
        <v>10</v>
      </c>
      <c r="B14" s="2" t="s">
        <v>11</v>
      </c>
      <c r="C14" s="5" t="e">
        <f t="shared" si="0"/>
        <v>#REF!</v>
      </c>
      <c r="D14" s="3" t="e">
        <f>SUMIF(#REF!,종합_Ver2!$B14,#REF!)</f>
        <v>#REF!</v>
      </c>
      <c r="E14" s="3" t="e">
        <f>SUMIF(#REF!,종합_Ver2!$B14,#REF!)</f>
        <v>#REF!</v>
      </c>
      <c r="F14" s="3" t="e">
        <f>SUMIF(#REF!,종합_Ver2!$B14,#REF!)</f>
        <v>#REF!</v>
      </c>
      <c r="G14" s="12" t="e">
        <f>SUMIF(#REF!,종합_Ver2!$B14,#REF!)</f>
        <v>#REF!</v>
      </c>
      <c r="H14" s="13" t="e">
        <f>SUMIF(#REF!,종합_Ver2!$B14,#REF!)</f>
        <v>#REF!</v>
      </c>
      <c r="I14" s="14" t="e">
        <f>SUMIF(#REF!,종합_Ver2!$B14,#REF!)</f>
        <v>#REF!</v>
      </c>
      <c r="J14" s="15" t="e">
        <f>SUMIF(#REF!,종합_Ver2!$B14,#REF!)</f>
        <v>#REF!</v>
      </c>
      <c r="K14" s="16" t="e">
        <f>SUMIF(#REF!,종합_Ver2!$B14,#REF!)</f>
        <v>#REF!</v>
      </c>
      <c r="L14" s="17" t="e">
        <f>SUMIF(#REF!,종합_Ver2!$B14,#REF!)</f>
        <v>#REF!</v>
      </c>
      <c r="M14" s="1">
        <v>178225500</v>
      </c>
    </row>
    <row r="15" spans="1:13">
      <c r="A15" s="2" t="s">
        <v>10</v>
      </c>
      <c r="B15" s="2" t="s">
        <v>106</v>
      </c>
      <c r="C15" s="5" t="e">
        <f t="shared" si="0"/>
        <v>#REF!</v>
      </c>
      <c r="D15" s="3" t="e">
        <f>SUMIF(#REF!,종합_Ver2!$B15,#REF!)</f>
        <v>#REF!</v>
      </c>
      <c r="E15" s="3" t="e">
        <f>SUMIF(#REF!,종합_Ver2!$B15,#REF!)</f>
        <v>#REF!</v>
      </c>
      <c r="F15" s="3" t="e">
        <f>SUMIF(#REF!,종합_Ver2!$B15,#REF!)</f>
        <v>#REF!</v>
      </c>
      <c r="G15" s="12" t="e">
        <f>SUMIF(#REF!,종합_Ver2!$B15,#REF!)</f>
        <v>#REF!</v>
      </c>
      <c r="H15" s="13" t="e">
        <f>SUMIF(#REF!,종합_Ver2!$B15,#REF!)</f>
        <v>#REF!</v>
      </c>
      <c r="I15" s="14" t="e">
        <f>SUMIF(#REF!,종합_Ver2!$B15,#REF!)</f>
        <v>#REF!</v>
      </c>
      <c r="J15" s="15" t="e">
        <f>SUMIF(#REF!,종합_Ver2!$B15,#REF!)</f>
        <v>#REF!</v>
      </c>
      <c r="K15" s="16" t="e">
        <f>SUMIF(#REF!,종합_Ver2!$B15,#REF!)</f>
        <v>#REF!</v>
      </c>
      <c r="L15" s="17" t="e">
        <f>SUMIF(#REF!,종합_Ver2!$B15,#REF!)</f>
        <v>#REF!</v>
      </c>
      <c r="M15" s="1">
        <v>118755000</v>
      </c>
    </row>
    <row r="16" spans="1:13">
      <c r="A16" s="2" t="s">
        <v>12</v>
      </c>
      <c r="B16" s="2" t="s">
        <v>13</v>
      </c>
      <c r="C16" s="5" t="e">
        <f t="shared" si="0"/>
        <v>#REF!</v>
      </c>
      <c r="D16" s="3" t="e">
        <f>SUMIF(#REF!,종합_Ver2!$B16,#REF!)</f>
        <v>#REF!</v>
      </c>
      <c r="E16" s="3" t="e">
        <f>SUMIF(#REF!,종합_Ver2!$B16,#REF!)</f>
        <v>#REF!</v>
      </c>
      <c r="F16" s="3" t="e">
        <f>SUMIF(#REF!,종합_Ver2!$B16,#REF!)</f>
        <v>#REF!</v>
      </c>
      <c r="G16" s="12" t="e">
        <f>SUMIF(#REF!,종합_Ver2!$B16,#REF!)</f>
        <v>#REF!</v>
      </c>
      <c r="H16" s="13" t="e">
        <f>SUMIF(#REF!,종합_Ver2!$B16,#REF!)</f>
        <v>#REF!</v>
      </c>
      <c r="I16" s="14" t="e">
        <f>SUMIF(#REF!,종합_Ver2!$B16,#REF!)</f>
        <v>#REF!</v>
      </c>
      <c r="J16" s="15" t="e">
        <f>SUMIF(#REF!,종합_Ver2!$B16,#REF!)</f>
        <v>#REF!</v>
      </c>
      <c r="K16" s="16" t="e">
        <f>SUMIF(#REF!,종합_Ver2!$B16,#REF!)</f>
        <v>#REF!</v>
      </c>
      <c r="L16" s="17" t="e">
        <f>SUMIF(#REF!,종합_Ver2!$B16,#REF!)</f>
        <v>#REF!</v>
      </c>
      <c r="M16" s="1">
        <v>196225000</v>
      </c>
    </row>
    <row r="17" spans="1:13">
      <c r="A17" s="2" t="s">
        <v>14</v>
      </c>
      <c r="B17" s="2" t="s">
        <v>15</v>
      </c>
      <c r="C17" s="5" t="e">
        <f t="shared" si="0"/>
        <v>#REF!</v>
      </c>
      <c r="D17" s="3" t="e">
        <f>SUMIF(#REF!,종합_Ver2!$B17,#REF!)</f>
        <v>#REF!</v>
      </c>
      <c r="E17" s="3" t="e">
        <f>SUMIF(#REF!,종합_Ver2!$B17,#REF!)</f>
        <v>#REF!</v>
      </c>
      <c r="F17" s="3" t="e">
        <f>SUMIF(#REF!,종합_Ver2!$B17,#REF!)</f>
        <v>#REF!</v>
      </c>
      <c r="G17" s="12" t="e">
        <f>SUMIF(#REF!,종합_Ver2!$B17,#REF!)</f>
        <v>#REF!</v>
      </c>
      <c r="H17" s="13" t="e">
        <f>SUMIF(#REF!,종합_Ver2!$B17,#REF!)</f>
        <v>#REF!</v>
      </c>
      <c r="I17" s="14" t="e">
        <f>SUMIF(#REF!,종합_Ver2!$B17,#REF!)</f>
        <v>#REF!</v>
      </c>
      <c r="J17" s="15" t="e">
        <f>SUMIF(#REF!,종합_Ver2!$B17,#REF!)</f>
        <v>#REF!</v>
      </c>
      <c r="K17" s="16" t="e">
        <f>SUMIF(#REF!,종합_Ver2!$B17,#REF!)</f>
        <v>#REF!</v>
      </c>
      <c r="L17" s="17" t="e">
        <f>SUMIF(#REF!,종합_Ver2!$B17,#REF!)</f>
        <v>#REF!</v>
      </c>
      <c r="M17" s="1">
        <v>103726600</v>
      </c>
    </row>
    <row r="18" spans="1:13">
      <c r="A18" s="2" t="s">
        <v>16</v>
      </c>
      <c r="B18" s="2" t="s">
        <v>17</v>
      </c>
      <c r="C18" s="5" t="e">
        <f t="shared" si="0"/>
        <v>#REF!</v>
      </c>
      <c r="D18" s="3" t="e">
        <f>SUMIF(#REF!,종합_Ver2!$B18,#REF!)</f>
        <v>#REF!</v>
      </c>
      <c r="E18" s="3" t="e">
        <f>SUMIF(#REF!,종합_Ver2!$B18,#REF!)</f>
        <v>#REF!</v>
      </c>
      <c r="F18" s="3" t="e">
        <f>SUMIF(#REF!,종합_Ver2!$B18,#REF!)</f>
        <v>#REF!</v>
      </c>
      <c r="G18" s="12" t="e">
        <f>SUMIF(#REF!,종합_Ver2!$B18,#REF!)</f>
        <v>#REF!</v>
      </c>
      <c r="H18" s="13" t="e">
        <f>SUMIF(#REF!,종합_Ver2!$B18,#REF!)</f>
        <v>#REF!</v>
      </c>
      <c r="I18" s="14" t="e">
        <f>SUMIF(#REF!,종합_Ver2!$B18,#REF!)</f>
        <v>#REF!</v>
      </c>
      <c r="J18" s="15" t="e">
        <f>SUMIF(#REF!,종합_Ver2!$B18,#REF!)</f>
        <v>#REF!</v>
      </c>
      <c r="K18" s="16" t="e">
        <f>SUMIF(#REF!,종합_Ver2!$B18,#REF!)</f>
        <v>#REF!</v>
      </c>
      <c r="L18" s="17" t="e">
        <f>SUMIF(#REF!,종합_Ver2!$B18,#REF!)</f>
        <v>#REF!</v>
      </c>
      <c r="M18" s="1">
        <v>185363600</v>
      </c>
    </row>
    <row r="19" spans="1:13">
      <c r="A19" s="2" t="s">
        <v>18</v>
      </c>
      <c r="B19" s="2" t="s">
        <v>19</v>
      </c>
      <c r="C19" s="5" t="e">
        <f t="shared" si="0"/>
        <v>#REF!</v>
      </c>
      <c r="D19" s="3" t="e">
        <f>SUMIF(#REF!,종합_Ver2!$B19,#REF!)</f>
        <v>#REF!</v>
      </c>
      <c r="E19" s="3" t="e">
        <f>SUMIF(#REF!,종합_Ver2!$B19,#REF!)</f>
        <v>#REF!</v>
      </c>
      <c r="F19" s="3" t="e">
        <f>SUMIF(#REF!,종합_Ver2!$B19,#REF!)</f>
        <v>#REF!</v>
      </c>
      <c r="G19" s="12" t="e">
        <f>SUMIF(#REF!,종합_Ver2!$B19,#REF!)</f>
        <v>#REF!</v>
      </c>
      <c r="H19" s="13" t="e">
        <f>SUMIF(#REF!,종합_Ver2!$B19,#REF!)</f>
        <v>#REF!</v>
      </c>
      <c r="I19" s="14" t="e">
        <f>SUMIF(#REF!,종합_Ver2!$B19,#REF!)</f>
        <v>#REF!</v>
      </c>
      <c r="J19" s="15" t="e">
        <f>SUMIF(#REF!,종합_Ver2!$B19,#REF!)</f>
        <v>#REF!</v>
      </c>
      <c r="K19" s="16" t="e">
        <f>SUMIF(#REF!,종합_Ver2!$B19,#REF!)</f>
        <v>#REF!</v>
      </c>
      <c r="L19" s="17" t="e">
        <f>SUMIF(#REF!,종합_Ver2!$B19,#REF!)</f>
        <v>#REF!</v>
      </c>
      <c r="M19" s="1">
        <v>109230400</v>
      </c>
    </row>
    <row r="20" spans="1:13">
      <c r="A20" s="2" t="s">
        <v>20</v>
      </c>
      <c r="B20" s="2" t="s">
        <v>21</v>
      </c>
      <c r="C20" s="5" t="e">
        <f t="shared" si="0"/>
        <v>#REF!</v>
      </c>
      <c r="D20" s="3" t="e">
        <f>SUMIF(#REF!,종합_Ver2!$B20,#REF!)</f>
        <v>#REF!</v>
      </c>
      <c r="E20" s="3" t="e">
        <f>SUMIF(#REF!,종합_Ver2!$B20,#REF!)</f>
        <v>#REF!</v>
      </c>
      <c r="F20" s="3" t="e">
        <f>SUMIF(#REF!,종합_Ver2!$B20,#REF!)</f>
        <v>#REF!</v>
      </c>
      <c r="G20" s="12" t="e">
        <f>SUMIF(#REF!,종합_Ver2!$B20,#REF!)</f>
        <v>#REF!</v>
      </c>
      <c r="H20" s="13" t="e">
        <f>SUMIF(#REF!,종합_Ver2!$B20,#REF!)</f>
        <v>#REF!</v>
      </c>
      <c r="I20" s="14" t="e">
        <f>SUMIF(#REF!,종합_Ver2!$B20,#REF!)</f>
        <v>#REF!</v>
      </c>
      <c r="J20" s="15" t="e">
        <f>SUMIF(#REF!,종합_Ver2!$B20,#REF!)</f>
        <v>#REF!</v>
      </c>
      <c r="K20" s="16" t="e">
        <f>SUMIF(#REF!,종합_Ver2!$B20,#REF!)</f>
        <v>#REF!</v>
      </c>
      <c r="L20" s="17" t="e">
        <f>SUMIF(#REF!,종합_Ver2!$B20,#REF!)</f>
        <v>#REF!</v>
      </c>
      <c r="M20" s="1">
        <v>72834500</v>
      </c>
    </row>
    <row r="21" spans="1:13">
      <c r="A21" s="2" t="s">
        <v>22</v>
      </c>
      <c r="B21" s="2" t="s">
        <v>23</v>
      </c>
      <c r="C21" s="5" t="e">
        <f t="shared" si="0"/>
        <v>#REF!</v>
      </c>
      <c r="D21" s="3" t="e">
        <f>SUMIF(#REF!,종합_Ver2!$B21,#REF!)</f>
        <v>#REF!</v>
      </c>
      <c r="E21" s="3" t="e">
        <f>SUMIF(#REF!,종합_Ver2!$B21,#REF!)</f>
        <v>#REF!</v>
      </c>
      <c r="F21" s="3" t="e">
        <f>SUMIF(#REF!,종합_Ver2!$B21,#REF!)</f>
        <v>#REF!</v>
      </c>
      <c r="G21" s="12" t="e">
        <f>SUMIF(#REF!,종합_Ver2!$B21,#REF!)</f>
        <v>#REF!</v>
      </c>
      <c r="H21" s="13" t="e">
        <f>SUMIF(#REF!,종합_Ver2!$B21,#REF!)</f>
        <v>#REF!</v>
      </c>
      <c r="I21" s="14" t="e">
        <f>SUMIF(#REF!,종합_Ver2!$B21,#REF!)</f>
        <v>#REF!</v>
      </c>
      <c r="J21" s="15" t="e">
        <f>SUMIF(#REF!,종합_Ver2!$B21,#REF!)</f>
        <v>#REF!</v>
      </c>
      <c r="K21" s="16" t="e">
        <f>SUMIF(#REF!,종합_Ver2!$B21,#REF!)</f>
        <v>#REF!</v>
      </c>
      <c r="L21" s="17" t="e">
        <f>SUMIF(#REF!,종합_Ver2!$B21,#REF!)</f>
        <v>#REF!</v>
      </c>
      <c r="M21" s="1">
        <v>169924500</v>
      </c>
    </row>
    <row r="22" spans="1:13">
      <c r="A22" s="2" t="s">
        <v>216</v>
      </c>
      <c r="B22" s="2" t="s">
        <v>217</v>
      </c>
      <c r="C22" s="5" t="e">
        <f t="shared" si="0"/>
        <v>#REF!</v>
      </c>
      <c r="D22" s="3" t="e">
        <f>SUMIF(#REF!,종합_Ver2!$B22,#REF!)</f>
        <v>#REF!</v>
      </c>
      <c r="E22" s="3" t="e">
        <f>SUMIF(#REF!,종합_Ver2!$B22,#REF!)</f>
        <v>#REF!</v>
      </c>
      <c r="F22" s="3" t="e">
        <f>SUMIF(#REF!,종합_Ver2!$B22,#REF!)</f>
        <v>#REF!</v>
      </c>
      <c r="G22" s="12" t="e">
        <f>SUMIF(#REF!,종합_Ver2!$B22,#REF!)</f>
        <v>#REF!</v>
      </c>
      <c r="H22" s="13" t="e">
        <f>SUMIF(#REF!,종합_Ver2!$B22,#REF!)</f>
        <v>#REF!</v>
      </c>
      <c r="I22" s="14" t="e">
        <f>SUMIF(#REF!,종합_Ver2!$B22,#REF!)</f>
        <v>#REF!</v>
      </c>
      <c r="J22" s="15" t="e">
        <f>SUMIF(#REF!,종합_Ver2!$B22,#REF!)</f>
        <v>#REF!</v>
      </c>
      <c r="K22" s="16" t="e">
        <f>SUMIF(#REF!,종합_Ver2!$B22,#REF!)</f>
        <v>#REF!</v>
      </c>
      <c r="L22" s="17" t="e">
        <f>SUMIF(#REF!,종합_Ver2!$B22,#REF!)</f>
        <v>#REF!</v>
      </c>
      <c r="M22" s="1">
        <v>130888500</v>
      </c>
    </row>
    <row r="23" spans="1:13">
      <c r="A23" s="2" t="s">
        <v>24</v>
      </c>
      <c r="B23" s="2" t="s">
        <v>25</v>
      </c>
      <c r="C23" s="5" t="e">
        <f t="shared" si="0"/>
        <v>#REF!</v>
      </c>
      <c r="D23" s="3" t="e">
        <f>SUMIF(#REF!,종합_Ver2!$B23,#REF!)</f>
        <v>#REF!</v>
      </c>
      <c r="E23" s="3" t="e">
        <f>SUMIF(#REF!,종합_Ver2!$B23,#REF!)</f>
        <v>#REF!</v>
      </c>
      <c r="F23" s="3" t="e">
        <f>SUMIF(#REF!,종합_Ver2!$B23,#REF!)</f>
        <v>#REF!</v>
      </c>
      <c r="G23" s="12" t="e">
        <f>SUMIF(#REF!,종합_Ver2!$B23,#REF!)</f>
        <v>#REF!</v>
      </c>
      <c r="H23" s="13" t="e">
        <f>SUMIF(#REF!,종합_Ver2!$B23,#REF!)</f>
        <v>#REF!</v>
      </c>
      <c r="I23" s="14" t="e">
        <f>SUMIF(#REF!,종합_Ver2!$B23,#REF!)</f>
        <v>#REF!</v>
      </c>
      <c r="J23" s="15" t="e">
        <f>SUMIF(#REF!,종합_Ver2!$B23,#REF!)</f>
        <v>#REF!</v>
      </c>
      <c r="K23" s="16" t="e">
        <f>SUMIF(#REF!,종합_Ver2!$B23,#REF!)</f>
        <v>#REF!</v>
      </c>
      <c r="L23" s="17" t="e">
        <f>SUMIF(#REF!,종합_Ver2!$B23,#REF!)</f>
        <v>#REF!</v>
      </c>
      <c r="M23" s="1">
        <v>116183100</v>
      </c>
    </row>
    <row r="24" spans="1:13">
      <c r="A24" s="2" t="s">
        <v>26</v>
      </c>
      <c r="B24" s="2" t="s">
        <v>27</v>
      </c>
      <c r="C24" s="5" t="e">
        <f t="shared" si="0"/>
        <v>#REF!</v>
      </c>
      <c r="D24" s="3" t="e">
        <f>SUMIF(#REF!,종합_Ver2!$B24,#REF!)</f>
        <v>#REF!</v>
      </c>
      <c r="E24" s="3" t="e">
        <f>SUMIF(#REF!,종합_Ver2!$B24,#REF!)</f>
        <v>#REF!</v>
      </c>
      <c r="F24" s="3" t="e">
        <f>SUMIF(#REF!,종합_Ver2!$B24,#REF!)</f>
        <v>#REF!</v>
      </c>
      <c r="G24" s="12" t="e">
        <f>SUMIF(#REF!,종합_Ver2!$B24,#REF!)</f>
        <v>#REF!</v>
      </c>
      <c r="H24" s="13" t="e">
        <f>SUMIF(#REF!,종합_Ver2!$B24,#REF!)</f>
        <v>#REF!</v>
      </c>
      <c r="I24" s="14" t="e">
        <f>SUMIF(#REF!,종합_Ver2!$B24,#REF!)</f>
        <v>#REF!</v>
      </c>
      <c r="J24" s="15" t="e">
        <f>SUMIF(#REF!,종합_Ver2!$B24,#REF!)</f>
        <v>#REF!</v>
      </c>
      <c r="K24" s="16" t="e">
        <f>SUMIF(#REF!,종합_Ver2!$B24,#REF!)</f>
        <v>#REF!</v>
      </c>
      <c r="L24" s="17" t="e">
        <f>SUMIF(#REF!,종합_Ver2!$B24,#REF!)</f>
        <v>#REF!</v>
      </c>
      <c r="M24" s="1">
        <v>119064000</v>
      </c>
    </row>
    <row r="25" spans="1:13">
      <c r="A25" s="2" t="s">
        <v>28</v>
      </c>
      <c r="B25" s="2" t="s">
        <v>29</v>
      </c>
      <c r="C25" s="5" t="e">
        <f t="shared" si="0"/>
        <v>#REF!</v>
      </c>
      <c r="D25" s="3" t="e">
        <f>SUMIF(#REF!,종합_Ver2!$B25,#REF!)</f>
        <v>#REF!</v>
      </c>
      <c r="E25" s="3" t="e">
        <f>SUMIF(#REF!,종합_Ver2!$B25,#REF!)</f>
        <v>#REF!</v>
      </c>
      <c r="F25" s="3" t="e">
        <f>SUMIF(#REF!,종합_Ver2!$B25,#REF!)</f>
        <v>#REF!</v>
      </c>
      <c r="G25" s="12" t="e">
        <f>SUMIF(#REF!,종합_Ver2!$B25,#REF!)</f>
        <v>#REF!</v>
      </c>
      <c r="H25" s="13" t="e">
        <f>SUMIF(#REF!,종합_Ver2!$B25,#REF!)</f>
        <v>#REF!</v>
      </c>
      <c r="I25" s="14" t="e">
        <f>SUMIF(#REF!,종합_Ver2!$B25,#REF!)</f>
        <v>#REF!</v>
      </c>
      <c r="J25" s="15" t="e">
        <f>SUMIF(#REF!,종합_Ver2!$B25,#REF!)</f>
        <v>#REF!</v>
      </c>
      <c r="K25" s="16" t="e">
        <f>SUMIF(#REF!,종합_Ver2!$B25,#REF!)</f>
        <v>#REF!</v>
      </c>
      <c r="L25" s="17" t="e">
        <f>SUMIF(#REF!,종합_Ver2!$B25,#REF!)</f>
        <v>#REF!</v>
      </c>
      <c r="M25" s="1">
        <v>221445000</v>
      </c>
    </row>
    <row r="26" spans="1:13">
      <c r="A26" s="2" t="s">
        <v>193</v>
      </c>
      <c r="B26" s="2" t="s">
        <v>194</v>
      </c>
      <c r="C26" s="5" t="e">
        <f t="shared" si="0"/>
        <v>#REF!</v>
      </c>
      <c r="D26" s="3" t="e">
        <f>SUMIF(#REF!,종합_Ver2!$B26,#REF!)</f>
        <v>#REF!</v>
      </c>
      <c r="E26" s="3" t="e">
        <f>SUMIF(#REF!,종합_Ver2!$B26,#REF!)</f>
        <v>#REF!</v>
      </c>
      <c r="F26" s="3" t="e">
        <f>SUMIF(#REF!,종합_Ver2!$B26,#REF!)</f>
        <v>#REF!</v>
      </c>
      <c r="G26" s="12" t="e">
        <f>SUMIF(#REF!,종합_Ver2!$B26,#REF!)</f>
        <v>#REF!</v>
      </c>
      <c r="H26" s="13" t="e">
        <f>SUMIF(#REF!,종합_Ver2!$B26,#REF!)</f>
        <v>#REF!</v>
      </c>
      <c r="I26" s="14" t="e">
        <f>SUMIF(#REF!,종합_Ver2!$B26,#REF!)</f>
        <v>#REF!</v>
      </c>
      <c r="J26" s="15" t="e">
        <f>SUMIF(#REF!,종합_Ver2!$B26,#REF!)</f>
        <v>#REF!</v>
      </c>
      <c r="K26" s="16" t="e">
        <f>SUMIF(#REF!,종합_Ver2!$B26,#REF!)</f>
        <v>#REF!</v>
      </c>
      <c r="L26" s="17" t="e">
        <f>SUMIF(#REF!,종합_Ver2!$B26,#REF!)</f>
        <v>#REF!</v>
      </c>
      <c r="M26" s="1">
        <v>138876000</v>
      </c>
    </row>
    <row r="27" spans="1:13">
      <c r="A27" s="2" t="s">
        <v>30</v>
      </c>
      <c r="B27" s="2" t="s">
        <v>31</v>
      </c>
      <c r="C27" s="5" t="e">
        <f t="shared" si="0"/>
        <v>#REF!</v>
      </c>
      <c r="D27" s="3" t="e">
        <f>SUMIF(#REF!,종합_Ver2!$B27,#REF!)</f>
        <v>#REF!</v>
      </c>
      <c r="E27" s="3" t="e">
        <f>SUMIF(#REF!,종합_Ver2!$B27,#REF!)</f>
        <v>#REF!</v>
      </c>
      <c r="F27" s="3" t="e">
        <f>SUMIF(#REF!,종합_Ver2!$B27,#REF!)</f>
        <v>#REF!</v>
      </c>
      <c r="G27" s="12" t="e">
        <f>SUMIF(#REF!,종합_Ver2!$B27,#REF!)</f>
        <v>#REF!</v>
      </c>
      <c r="H27" s="13" t="e">
        <f>SUMIF(#REF!,종합_Ver2!$B27,#REF!)</f>
        <v>#REF!</v>
      </c>
      <c r="I27" s="14" t="e">
        <f>SUMIF(#REF!,종합_Ver2!$B27,#REF!)</f>
        <v>#REF!</v>
      </c>
      <c r="J27" s="15" t="e">
        <f>SUMIF(#REF!,종합_Ver2!$B27,#REF!)</f>
        <v>#REF!</v>
      </c>
      <c r="K27" s="16" t="e">
        <f>SUMIF(#REF!,종합_Ver2!$B27,#REF!)</f>
        <v>#REF!</v>
      </c>
      <c r="L27" s="17" t="e">
        <f>SUMIF(#REF!,종합_Ver2!$B27,#REF!)</f>
        <v>#REF!</v>
      </c>
      <c r="M27" s="1">
        <v>61943760</v>
      </c>
    </row>
    <row r="28" spans="1:13">
      <c r="A28" s="2" t="s">
        <v>32</v>
      </c>
      <c r="B28" s="2" t="s">
        <v>33</v>
      </c>
      <c r="C28" s="5" t="e">
        <f t="shared" si="0"/>
        <v>#REF!</v>
      </c>
      <c r="D28" s="3" t="e">
        <f>SUMIF(#REF!,종합_Ver2!$B28,#REF!)</f>
        <v>#REF!</v>
      </c>
      <c r="E28" s="3" t="e">
        <f>SUMIF(#REF!,종합_Ver2!$B28,#REF!)</f>
        <v>#REF!</v>
      </c>
      <c r="F28" s="3" t="e">
        <f>SUMIF(#REF!,종합_Ver2!$B28,#REF!)</f>
        <v>#REF!</v>
      </c>
      <c r="G28" s="12" t="e">
        <f>SUMIF(#REF!,종합_Ver2!$B28,#REF!)</f>
        <v>#REF!</v>
      </c>
      <c r="H28" s="13" t="e">
        <f>SUMIF(#REF!,종합_Ver2!$B28,#REF!)</f>
        <v>#REF!</v>
      </c>
      <c r="I28" s="14" t="e">
        <f>SUMIF(#REF!,종합_Ver2!$B28,#REF!)</f>
        <v>#REF!</v>
      </c>
      <c r="J28" s="15" t="e">
        <f>SUMIF(#REF!,종합_Ver2!$B28,#REF!)</f>
        <v>#REF!</v>
      </c>
      <c r="K28" s="16" t="e">
        <f>SUMIF(#REF!,종합_Ver2!$B28,#REF!)</f>
        <v>#REF!</v>
      </c>
      <c r="L28" s="17" t="e">
        <f>SUMIF(#REF!,종합_Ver2!$B28,#REF!)</f>
        <v>#REF!</v>
      </c>
      <c r="M28" s="1">
        <v>218320900</v>
      </c>
    </row>
    <row r="29" spans="1:13">
      <c r="A29" s="2" t="s">
        <v>34</v>
      </c>
      <c r="B29" s="2" t="s">
        <v>35</v>
      </c>
      <c r="C29" s="5" t="e">
        <f t="shared" si="0"/>
        <v>#REF!</v>
      </c>
      <c r="D29" s="3" t="e">
        <f>SUMIF(#REF!,종합_Ver2!$B29,#REF!)</f>
        <v>#REF!</v>
      </c>
      <c r="E29" s="3" t="e">
        <f>SUMIF(#REF!,종합_Ver2!$B29,#REF!)</f>
        <v>#REF!</v>
      </c>
      <c r="F29" s="3" t="e">
        <f>SUMIF(#REF!,종합_Ver2!$B29,#REF!)</f>
        <v>#REF!</v>
      </c>
      <c r="G29" s="12" t="e">
        <f>SUMIF(#REF!,종합_Ver2!$B29,#REF!)</f>
        <v>#REF!</v>
      </c>
      <c r="H29" s="13" t="e">
        <f>SUMIF(#REF!,종합_Ver2!$B29,#REF!)</f>
        <v>#REF!</v>
      </c>
      <c r="I29" s="14" t="e">
        <f>SUMIF(#REF!,종합_Ver2!$B29,#REF!)</f>
        <v>#REF!</v>
      </c>
      <c r="J29" s="15" t="e">
        <f>SUMIF(#REF!,종합_Ver2!$B29,#REF!)</f>
        <v>#REF!</v>
      </c>
      <c r="K29" s="16" t="e">
        <f>SUMIF(#REF!,종합_Ver2!$B29,#REF!)</f>
        <v>#REF!</v>
      </c>
      <c r="L29" s="17" t="e">
        <f>SUMIF(#REF!,종합_Ver2!$B29,#REF!)</f>
        <v>#REF!</v>
      </c>
      <c r="M29" s="1">
        <v>80134600</v>
      </c>
    </row>
    <row r="30" spans="1:13">
      <c r="A30" s="2" t="s">
        <v>36</v>
      </c>
      <c r="B30" s="2" t="s">
        <v>37</v>
      </c>
      <c r="C30" s="5" t="e">
        <f t="shared" si="0"/>
        <v>#REF!</v>
      </c>
      <c r="D30" s="3" t="e">
        <f>SUMIF(#REF!,종합_Ver2!$B30,#REF!)</f>
        <v>#REF!</v>
      </c>
      <c r="E30" s="3" t="e">
        <f>SUMIF(#REF!,종합_Ver2!$B30,#REF!)</f>
        <v>#REF!</v>
      </c>
      <c r="F30" s="3" t="e">
        <f>SUMIF(#REF!,종합_Ver2!$B30,#REF!)</f>
        <v>#REF!</v>
      </c>
      <c r="G30" s="12" t="e">
        <f>SUMIF(#REF!,종합_Ver2!$B30,#REF!)</f>
        <v>#REF!</v>
      </c>
      <c r="H30" s="13" t="e">
        <f>SUMIF(#REF!,종합_Ver2!$B30,#REF!)</f>
        <v>#REF!</v>
      </c>
      <c r="I30" s="14" t="e">
        <f>SUMIF(#REF!,종합_Ver2!$B30,#REF!)</f>
        <v>#REF!</v>
      </c>
      <c r="J30" s="15" t="e">
        <f>SUMIF(#REF!,종합_Ver2!$B30,#REF!)</f>
        <v>#REF!</v>
      </c>
      <c r="K30" s="16" t="e">
        <f>SUMIF(#REF!,종합_Ver2!$B30,#REF!)</f>
        <v>#REF!</v>
      </c>
      <c r="L30" s="17" t="e">
        <f>SUMIF(#REF!,종합_Ver2!$B30,#REF!)</f>
        <v>#REF!</v>
      </c>
      <c r="M30" s="1">
        <v>116283000</v>
      </c>
    </row>
    <row r="31" spans="1:13">
      <c r="A31" s="2" t="s">
        <v>38</v>
      </c>
      <c r="B31" s="2" t="s">
        <v>39</v>
      </c>
      <c r="C31" s="5" t="e">
        <f t="shared" si="0"/>
        <v>#REF!</v>
      </c>
      <c r="D31" s="3" t="e">
        <f>SUMIF(#REF!,종합_Ver2!$B31,#REF!)</f>
        <v>#REF!</v>
      </c>
      <c r="E31" s="3" t="e">
        <f>SUMIF(#REF!,종합_Ver2!$B31,#REF!)</f>
        <v>#REF!</v>
      </c>
      <c r="F31" s="3" t="e">
        <f>SUMIF(#REF!,종합_Ver2!$B31,#REF!)</f>
        <v>#REF!</v>
      </c>
      <c r="G31" s="12" t="e">
        <f>SUMIF(#REF!,종합_Ver2!$B31,#REF!)</f>
        <v>#REF!</v>
      </c>
      <c r="H31" s="13" t="e">
        <f>SUMIF(#REF!,종합_Ver2!$B31,#REF!)</f>
        <v>#REF!</v>
      </c>
      <c r="I31" s="14" t="e">
        <f>SUMIF(#REF!,종합_Ver2!$B31,#REF!)</f>
        <v>#REF!</v>
      </c>
      <c r="J31" s="15" t="e">
        <f>SUMIF(#REF!,종합_Ver2!$B31,#REF!)</f>
        <v>#REF!</v>
      </c>
      <c r="K31" s="16" t="e">
        <f>SUMIF(#REF!,종합_Ver2!$B31,#REF!)</f>
        <v>#REF!</v>
      </c>
      <c r="L31" s="17" t="e">
        <f>SUMIF(#REF!,종합_Ver2!$B31,#REF!)</f>
        <v>#REF!</v>
      </c>
      <c r="M31" s="1">
        <v>101997400</v>
      </c>
    </row>
    <row r="32" spans="1:13">
      <c r="A32" s="2" t="s">
        <v>204</v>
      </c>
      <c r="B32" s="2" t="s">
        <v>205</v>
      </c>
      <c r="C32" s="5" t="e">
        <f t="shared" si="0"/>
        <v>#REF!</v>
      </c>
      <c r="D32" s="3" t="e">
        <f>SUMIF(#REF!,종합_Ver2!$B32,#REF!)</f>
        <v>#REF!</v>
      </c>
      <c r="E32" s="3" t="e">
        <f>SUMIF(#REF!,종합_Ver2!$B32,#REF!)</f>
        <v>#REF!</v>
      </c>
      <c r="F32" s="3" t="e">
        <f>SUMIF(#REF!,종합_Ver2!$B32,#REF!)</f>
        <v>#REF!</v>
      </c>
      <c r="G32" s="12" t="e">
        <f>SUMIF(#REF!,종합_Ver2!$B32,#REF!)</f>
        <v>#REF!</v>
      </c>
      <c r="H32" s="13" t="e">
        <f>SUMIF(#REF!,종합_Ver2!$B32,#REF!)</f>
        <v>#REF!</v>
      </c>
      <c r="I32" s="14" t="e">
        <f>SUMIF(#REF!,종합_Ver2!$B32,#REF!)</f>
        <v>#REF!</v>
      </c>
      <c r="J32" s="15" t="e">
        <f>SUMIF(#REF!,종합_Ver2!$B32,#REF!)</f>
        <v>#REF!</v>
      </c>
      <c r="K32" s="16" t="e">
        <f>SUMIF(#REF!,종합_Ver2!$B32,#REF!)</f>
        <v>#REF!</v>
      </c>
      <c r="L32" s="17" t="e">
        <f>SUMIF(#REF!,종합_Ver2!$B32,#REF!)</f>
        <v>#REF!</v>
      </c>
      <c r="M32" s="1">
        <v>158123000</v>
      </c>
    </row>
    <row r="33" spans="1:13">
      <c r="A33" s="2" t="s">
        <v>40</v>
      </c>
      <c r="B33" s="2" t="s">
        <v>41</v>
      </c>
      <c r="C33" s="5" t="e">
        <f t="shared" si="0"/>
        <v>#REF!</v>
      </c>
      <c r="D33" s="3" t="e">
        <f>SUMIF(#REF!,종합_Ver2!$B33,#REF!)</f>
        <v>#REF!</v>
      </c>
      <c r="E33" s="3" t="e">
        <f>SUMIF(#REF!,종합_Ver2!$B33,#REF!)</f>
        <v>#REF!</v>
      </c>
      <c r="F33" s="3" t="e">
        <f>SUMIF(#REF!,종합_Ver2!$B33,#REF!)</f>
        <v>#REF!</v>
      </c>
      <c r="G33" s="12" t="e">
        <f>SUMIF(#REF!,종합_Ver2!$B33,#REF!)</f>
        <v>#REF!</v>
      </c>
      <c r="H33" s="13" t="e">
        <f>SUMIF(#REF!,종합_Ver2!$B33,#REF!)</f>
        <v>#REF!</v>
      </c>
      <c r="I33" s="14" t="e">
        <f>SUMIF(#REF!,종합_Ver2!$B33,#REF!)</f>
        <v>#REF!</v>
      </c>
      <c r="J33" s="15" t="e">
        <f>SUMIF(#REF!,종합_Ver2!$B33,#REF!)</f>
        <v>#REF!</v>
      </c>
      <c r="K33" s="16" t="e">
        <f>SUMIF(#REF!,종합_Ver2!$B33,#REF!)</f>
        <v>#REF!</v>
      </c>
      <c r="L33" s="17" t="e">
        <f>SUMIF(#REF!,종합_Ver2!$B33,#REF!)</f>
        <v>#REF!</v>
      </c>
      <c r="M33" s="1">
        <v>145518230</v>
      </c>
    </row>
    <row r="34" spans="1:13">
      <c r="A34" s="2" t="s">
        <v>202</v>
      </c>
      <c r="B34" s="2" t="s">
        <v>203</v>
      </c>
      <c r="C34" s="5" t="e">
        <f t="shared" si="0"/>
        <v>#REF!</v>
      </c>
      <c r="D34" s="3" t="e">
        <f>SUMIF(#REF!,종합_Ver2!$B34,#REF!)</f>
        <v>#REF!</v>
      </c>
      <c r="E34" s="3" t="e">
        <f>SUMIF(#REF!,종합_Ver2!$B34,#REF!)</f>
        <v>#REF!</v>
      </c>
      <c r="F34" s="3" t="e">
        <f>SUMIF(#REF!,종합_Ver2!$B34,#REF!)</f>
        <v>#REF!</v>
      </c>
      <c r="G34" s="12" t="e">
        <f>SUMIF(#REF!,종합_Ver2!$B34,#REF!)</f>
        <v>#REF!</v>
      </c>
      <c r="H34" s="13" t="e">
        <f>SUMIF(#REF!,종합_Ver2!$B34,#REF!)</f>
        <v>#REF!</v>
      </c>
      <c r="I34" s="14" t="e">
        <f>SUMIF(#REF!,종합_Ver2!$B34,#REF!)</f>
        <v>#REF!</v>
      </c>
      <c r="J34" s="15" t="e">
        <f>SUMIF(#REF!,종합_Ver2!$B34,#REF!)</f>
        <v>#REF!</v>
      </c>
      <c r="K34" s="16" t="e">
        <f>SUMIF(#REF!,종합_Ver2!$B34,#REF!)</f>
        <v>#REF!</v>
      </c>
      <c r="L34" s="17" t="e">
        <f>SUMIF(#REF!,종합_Ver2!$B34,#REF!)</f>
        <v>#REF!</v>
      </c>
      <c r="M34" s="1">
        <v>53675000</v>
      </c>
    </row>
    <row r="35" spans="1:13">
      <c r="A35" s="2" t="s">
        <v>42</v>
      </c>
      <c r="B35" s="2" t="s">
        <v>43</v>
      </c>
      <c r="C35" s="5" t="e">
        <f t="shared" si="0"/>
        <v>#REF!</v>
      </c>
      <c r="D35" s="3" t="e">
        <f>SUMIF(#REF!,종합_Ver2!$B35,#REF!)</f>
        <v>#REF!</v>
      </c>
      <c r="E35" s="3" t="e">
        <f>SUMIF(#REF!,종합_Ver2!$B35,#REF!)</f>
        <v>#REF!</v>
      </c>
      <c r="F35" s="3" t="e">
        <f>SUMIF(#REF!,종합_Ver2!$B35,#REF!)</f>
        <v>#REF!</v>
      </c>
      <c r="G35" s="12" t="e">
        <f>SUMIF(#REF!,종합_Ver2!$B35,#REF!)</f>
        <v>#REF!</v>
      </c>
      <c r="H35" s="13" t="e">
        <f>SUMIF(#REF!,종합_Ver2!$B35,#REF!)</f>
        <v>#REF!</v>
      </c>
      <c r="I35" s="14" t="e">
        <f>SUMIF(#REF!,종합_Ver2!$B35,#REF!)</f>
        <v>#REF!</v>
      </c>
      <c r="J35" s="15" t="e">
        <f>SUMIF(#REF!,종합_Ver2!$B35,#REF!)</f>
        <v>#REF!</v>
      </c>
      <c r="K35" s="16" t="e">
        <f>SUMIF(#REF!,종합_Ver2!$B35,#REF!)</f>
        <v>#REF!</v>
      </c>
      <c r="L35" s="17" t="e">
        <f>SUMIF(#REF!,종합_Ver2!$B35,#REF!)</f>
        <v>#REF!</v>
      </c>
      <c r="M35" s="1">
        <v>127553400</v>
      </c>
    </row>
    <row r="36" spans="1:13">
      <c r="A36" s="2" t="s">
        <v>44</v>
      </c>
      <c r="B36" s="2" t="s">
        <v>45</v>
      </c>
      <c r="C36" s="5" t="e">
        <f t="shared" si="0"/>
        <v>#REF!</v>
      </c>
      <c r="D36" s="3" t="e">
        <f>SUMIF(#REF!,종합_Ver2!$B36,#REF!)</f>
        <v>#REF!</v>
      </c>
      <c r="E36" s="3" t="e">
        <f>SUMIF(#REF!,종합_Ver2!$B36,#REF!)</f>
        <v>#REF!</v>
      </c>
      <c r="F36" s="3" t="e">
        <f>SUMIF(#REF!,종합_Ver2!$B36,#REF!)</f>
        <v>#REF!</v>
      </c>
      <c r="G36" s="12" t="e">
        <f>SUMIF(#REF!,종합_Ver2!$B36,#REF!)</f>
        <v>#REF!</v>
      </c>
      <c r="H36" s="13" t="e">
        <f>SUMIF(#REF!,종합_Ver2!$B36,#REF!)</f>
        <v>#REF!</v>
      </c>
      <c r="I36" s="14" t="e">
        <f>SUMIF(#REF!,종합_Ver2!$B36,#REF!)</f>
        <v>#REF!</v>
      </c>
      <c r="J36" s="15" t="e">
        <f>SUMIF(#REF!,종합_Ver2!$B36,#REF!)</f>
        <v>#REF!</v>
      </c>
      <c r="K36" s="16" t="e">
        <f>SUMIF(#REF!,종합_Ver2!$B36,#REF!)</f>
        <v>#REF!</v>
      </c>
      <c r="L36" s="17" t="e">
        <f>SUMIF(#REF!,종합_Ver2!$B36,#REF!)</f>
        <v>#REF!</v>
      </c>
      <c r="M36" s="1">
        <v>60016600</v>
      </c>
    </row>
    <row r="37" spans="1:13">
      <c r="A37" s="2" t="s">
        <v>46</v>
      </c>
      <c r="B37" s="2" t="s">
        <v>47</v>
      </c>
      <c r="C37" s="5" t="e">
        <f t="shared" si="0"/>
        <v>#REF!</v>
      </c>
      <c r="D37" s="3" t="e">
        <f>SUMIF(#REF!,종합_Ver2!$B37,#REF!)</f>
        <v>#REF!</v>
      </c>
      <c r="E37" s="3" t="e">
        <f>SUMIF(#REF!,종합_Ver2!$B37,#REF!)</f>
        <v>#REF!</v>
      </c>
      <c r="F37" s="3" t="e">
        <f>SUMIF(#REF!,종합_Ver2!$B37,#REF!)</f>
        <v>#REF!</v>
      </c>
      <c r="G37" s="12" t="e">
        <f>SUMIF(#REF!,종합_Ver2!$B37,#REF!)</f>
        <v>#REF!</v>
      </c>
      <c r="H37" s="13" t="e">
        <f>SUMIF(#REF!,종합_Ver2!$B37,#REF!)</f>
        <v>#REF!</v>
      </c>
      <c r="I37" s="14" t="e">
        <f>SUMIF(#REF!,종합_Ver2!$B37,#REF!)</f>
        <v>#REF!</v>
      </c>
      <c r="J37" s="15" t="e">
        <f>SUMIF(#REF!,종합_Ver2!$B37,#REF!)</f>
        <v>#REF!</v>
      </c>
      <c r="K37" s="16" t="e">
        <f>SUMIF(#REF!,종합_Ver2!$B37,#REF!)</f>
        <v>#REF!</v>
      </c>
      <c r="L37" s="17" t="e">
        <f>SUMIF(#REF!,종합_Ver2!$B37,#REF!)</f>
        <v>#REF!</v>
      </c>
      <c r="M37" s="1">
        <v>79599950</v>
      </c>
    </row>
    <row r="38" spans="1:13">
      <c r="A38" s="2" t="s">
        <v>48</v>
      </c>
      <c r="B38" s="2" t="s">
        <v>49</v>
      </c>
      <c r="C38" s="5" t="e">
        <f t="shared" ref="C38:C69" si="1">IF(SUM(G38:I38)&gt;0,"L",IF(SUM(G38:I38)&lt;0,"S",""))</f>
        <v>#REF!</v>
      </c>
      <c r="D38" s="3" t="e">
        <f>SUMIF(#REF!,종합_Ver2!$B38,#REF!)</f>
        <v>#REF!</v>
      </c>
      <c r="E38" s="3" t="e">
        <f>SUMIF(#REF!,종합_Ver2!$B38,#REF!)</f>
        <v>#REF!</v>
      </c>
      <c r="F38" s="3" t="e">
        <f>SUMIF(#REF!,종합_Ver2!$B38,#REF!)</f>
        <v>#REF!</v>
      </c>
      <c r="G38" s="12" t="e">
        <f>SUMIF(#REF!,종합_Ver2!$B38,#REF!)</f>
        <v>#REF!</v>
      </c>
      <c r="H38" s="13" t="e">
        <f>SUMIF(#REF!,종합_Ver2!$B38,#REF!)</f>
        <v>#REF!</v>
      </c>
      <c r="I38" s="14" t="e">
        <f>SUMIF(#REF!,종합_Ver2!$B38,#REF!)</f>
        <v>#REF!</v>
      </c>
      <c r="J38" s="15" t="e">
        <f>SUMIF(#REF!,종합_Ver2!$B38,#REF!)</f>
        <v>#REF!</v>
      </c>
      <c r="K38" s="16" t="e">
        <f>SUMIF(#REF!,종합_Ver2!$B38,#REF!)</f>
        <v>#REF!</v>
      </c>
      <c r="L38" s="17" t="e">
        <f>SUMIF(#REF!,종합_Ver2!$B38,#REF!)</f>
        <v>#REF!</v>
      </c>
      <c r="M38" s="1">
        <v>111617000</v>
      </c>
    </row>
    <row r="39" spans="1:13">
      <c r="A39" s="2" t="s">
        <v>50</v>
      </c>
      <c r="B39" s="2" t="s">
        <v>51</v>
      </c>
      <c r="C39" s="5" t="e">
        <f t="shared" si="1"/>
        <v>#REF!</v>
      </c>
      <c r="D39" s="3" t="e">
        <f>SUMIF(#REF!,종합_Ver2!$B39,#REF!)</f>
        <v>#REF!</v>
      </c>
      <c r="E39" s="3" t="e">
        <f>SUMIF(#REF!,종합_Ver2!$B39,#REF!)</f>
        <v>#REF!</v>
      </c>
      <c r="F39" s="3" t="e">
        <f>SUMIF(#REF!,종합_Ver2!$B39,#REF!)</f>
        <v>#REF!</v>
      </c>
      <c r="G39" s="12" t="e">
        <f>SUMIF(#REF!,종합_Ver2!$B39,#REF!)</f>
        <v>#REF!</v>
      </c>
      <c r="H39" s="13" t="e">
        <f>SUMIF(#REF!,종합_Ver2!$B39,#REF!)</f>
        <v>#REF!</v>
      </c>
      <c r="I39" s="14" t="e">
        <f>SUMIF(#REF!,종합_Ver2!$B39,#REF!)</f>
        <v>#REF!</v>
      </c>
      <c r="J39" s="15" t="e">
        <f>SUMIF(#REF!,종합_Ver2!$B39,#REF!)</f>
        <v>#REF!</v>
      </c>
      <c r="K39" s="16" t="e">
        <f>SUMIF(#REF!,종합_Ver2!$B39,#REF!)</f>
        <v>#REF!</v>
      </c>
      <c r="L39" s="17" t="e">
        <f>SUMIF(#REF!,종합_Ver2!$B39,#REF!)</f>
        <v>#REF!</v>
      </c>
      <c r="M39" s="1">
        <v>179181400</v>
      </c>
    </row>
    <row r="40" spans="1:13">
      <c r="A40" s="2" t="s">
        <v>52</v>
      </c>
      <c r="B40" s="2" t="s">
        <v>53</v>
      </c>
      <c r="C40" s="5" t="e">
        <f t="shared" si="1"/>
        <v>#REF!</v>
      </c>
      <c r="D40" s="3" t="e">
        <f>SUMIF(#REF!,종합_Ver2!$B40,#REF!)</f>
        <v>#REF!</v>
      </c>
      <c r="E40" s="3" t="e">
        <f>SUMIF(#REF!,종합_Ver2!$B40,#REF!)</f>
        <v>#REF!</v>
      </c>
      <c r="F40" s="3" t="e">
        <f>SUMIF(#REF!,종합_Ver2!$B40,#REF!)</f>
        <v>#REF!</v>
      </c>
      <c r="G40" s="12" t="e">
        <f>SUMIF(#REF!,종합_Ver2!$B40,#REF!)</f>
        <v>#REF!</v>
      </c>
      <c r="H40" s="13" t="e">
        <f>SUMIF(#REF!,종합_Ver2!$B40,#REF!)</f>
        <v>#REF!</v>
      </c>
      <c r="I40" s="14" t="e">
        <f>SUMIF(#REF!,종합_Ver2!$B40,#REF!)</f>
        <v>#REF!</v>
      </c>
      <c r="J40" s="15" t="e">
        <f>SUMIF(#REF!,종합_Ver2!$B40,#REF!)</f>
        <v>#REF!</v>
      </c>
      <c r="K40" s="16" t="e">
        <f>SUMIF(#REF!,종합_Ver2!$B40,#REF!)</f>
        <v>#REF!</v>
      </c>
      <c r="L40" s="17" t="e">
        <f>SUMIF(#REF!,종합_Ver2!$B40,#REF!)</f>
        <v>#REF!</v>
      </c>
      <c r="M40" s="1">
        <v>119953800</v>
      </c>
    </row>
    <row r="41" spans="1:13">
      <c r="A41" s="2" t="s">
        <v>54</v>
      </c>
      <c r="B41" s="2" t="s">
        <v>55</v>
      </c>
      <c r="C41" s="5" t="e">
        <f t="shared" si="1"/>
        <v>#REF!</v>
      </c>
      <c r="D41" s="3" t="e">
        <f>SUMIF(#REF!,종합_Ver2!$B41,#REF!)</f>
        <v>#REF!</v>
      </c>
      <c r="E41" s="3" t="e">
        <f>SUMIF(#REF!,종합_Ver2!$B41,#REF!)</f>
        <v>#REF!</v>
      </c>
      <c r="F41" s="3" t="e">
        <f>SUMIF(#REF!,종합_Ver2!$B41,#REF!)</f>
        <v>#REF!</v>
      </c>
      <c r="G41" s="12" t="e">
        <f>SUMIF(#REF!,종합_Ver2!$B41,#REF!)</f>
        <v>#REF!</v>
      </c>
      <c r="H41" s="13" t="e">
        <f>SUMIF(#REF!,종합_Ver2!$B41,#REF!)</f>
        <v>#REF!</v>
      </c>
      <c r="I41" s="14" t="e">
        <f>SUMIF(#REF!,종합_Ver2!$B41,#REF!)</f>
        <v>#REF!</v>
      </c>
      <c r="J41" s="15" t="e">
        <f>SUMIF(#REF!,종합_Ver2!$B41,#REF!)</f>
        <v>#REF!</v>
      </c>
      <c r="K41" s="16" t="e">
        <f>SUMIF(#REF!,종합_Ver2!$B41,#REF!)</f>
        <v>#REF!</v>
      </c>
      <c r="L41" s="17" t="e">
        <f>SUMIF(#REF!,종합_Ver2!$B41,#REF!)</f>
        <v>#REF!</v>
      </c>
      <c r="M41" s="1">
        <v>91725200</v>
      </c>
    </row>
    <row r="42" spans="1:13">
      <c r="A42" s="2" t="s">
        <v>56</v>
      </c>
      <c r="B42" s="2" t="s">
        <v>57</v>
      </c>
      <c r="C42" s="5" t="e">
        <f t="shared" si="1"/>
        <v>#REF!</v>
      </c>
      <c r="D42" s="3" t="e">
        <f>SUMIF(#REF!,종합_Ver2!$B42,#REF!)</f>
        <v>#REF!</v>
      </c>
      <c r="E42" s="3" t="e">
        <f>SUMIF(#REF!,종합_Ver2!$B42,#REF!)</f>
        <v>#REF!</v>
      </c>
      <c r="F42" s="3" t="e">
        <f>SUMIF(#REF!,종합_Ver2!$B42,#REF!)</f>
        <v>#REF!</v>
      </c>
      <c r="G42" s="12" t="e">
        <f>SUMIF(#REF!,종합_Ver2!$B42,#REF!)</f>
        <v>#REF!</v>
      </c>
      <c r="H42" s="13" t="e">
        <f>SUMIF(#REF!,종합_Ver2!$B42,#REF!)</f>
        <v>#REF!</v>
      </c>
      <c r="I42" s="14" t="e">
        <f>SUMIF(#REF!,종합_Ver2!$B42,#REF!)</f>
        <v>#REF!</v>
      </c>
      <c r="J42" s="15" t="e">
        <f>SUMIF(#REF!,종합_Ver2!$B42,#REF!)</f>
        <v>#REF!</v>
      </c>
      <c r="K42" s="16" t="e">
        <f>SUMIF(#REF!,종합_Ver2!$B42,#REF!)</f>
        <v>#REF!</v>
      </c>
      <c r="L42" s="17" t="e">
        <f>SUMIF(#REF!,종합_Ver2!$B42,#REF!)</f>
        <v>#REF!</v>
      </c>
      <c r="M42" s="1">
        <v>70537500</v>
      </c>
    </row>
    <row r="43" spans="1:13">
      <c r="A43" s="2" t="s">
        <v>58</v>
      </c>
      <c r="B43" s="2" t="s">
        <v>59</v>
      </c>
      <c r="C43" s="5" t="e">
        <f t="shared" si="1"/>
        <v>#REF!</v>
      </c>
      <c r="D43" s="3" t="e">
        <f>SUMIF(#REF!,종합_Ver2!$B43,#REF!)</f>
        <v>#REF!</v>
      </c>
      <c r="E43" s="3" t="e">
        <f>SUMIF(#REF!,종합_Ver2!$B43,#REF!)</f>
        <v>#REF!</v>
      </c>
      <c r="F43" s="3" t="e">
        <f>SUMIF(#REF!,종합_Ver2!$B43,#REF!)</f>
        <v>#REF!</v>
      </c>
      <c r="G43" s="12" t="e">
        <f>SUMIF(#REF!,종합_Ver2!$B43,#REF!)</f>
        <v>#REF!</v>
      </c>
      <c r="H43" s="13" t="e">
        <f>SUMIF(#REF!,종합_Ver2!$B43,#REF!)</f>
        <v>#REF!</v>
      </c>
      <c r="I43" s="14" t="e">
        <f>SUMIF(#REF!,종합_Ver2!$B43,#REF!)</f>
        <v>#REF!</v>
      </c>
      <c r="J43" s="15" t="e">
        <f>SUMIF(#REF!,종합_Ver2!$B43,#REF!)</f>
        <v>#REF!</v>
      </c>
      <c r="K43" s="16" t="e">
        <f>SUMIF(#REF!,종합_Ver2!$B43,#REF!)</f>
        <v>#REF!</v>
      </c>
      <c r="L43" s="17" t="e">
        <f>SUMIF(#REF!,종합_Ver2!$B43,#REF!)</f>
        <v>#REF!</v>
      </c>
      <c r="M43" s="1">
        <v>171809400</v>
      </c>
    </row>
    <row r="44" spans="1:13">
      <c r="A44" s="2" t="s">
        <v>60</v>
      </c>
      <c r="B44" s="2" t="s">
        <v>61</v>
      </c>
      <c r="C44" s="5" t="e">
        <f t="shared" si="1"/>
        <v>#REF!</v>
      </c>
      <c r="D44" s="3" t="e">
        <f>SUMIF(#REF!,종합_Ver2!$B44,#REF!)</f>
        <v>#REF!</v>
      </c>
      <c r="E44" s="3" t="e">
        <f>SUMIF(#REF!,종합_Ver2!$B44,#REF!)</f>
        <v>#REF!</v>
      </c>
      <c r="F44" s="3" t="e">
        <f>SUMIF(#REF!,종합_Ver2!$B44,#REF!)</f>
        <v>#REF!</v>
      </c>
      <c r="G44" s="12" t="e">
        <f>SUMIF(#REF!,종합_Ver2!$B44,#REF!)</f>
        <v>#REF!</v>
      </c>
      <c r="H44" s="13" t="e">
        <f>SUMIF(#REF!,종합_Ver2!$B44,#REF!)</f>
        <v>#REF!</v>
      </c>
      <c r="I44" s="14" t="e">
        <f>SUMIF(#REF!,종합_Ver2!$B44,#REF!)</f>
        <v>#REF!</v>
      </c>
      <c r="J44" s="15" t="e">
        <f>SUMIF(#REF!,종합_Ver2!$B44,#REF!)</f>
        <v>#REF!</v>
      </c>
      <c r="K44" s="16" t="e">
        <f>SUMIF(#REF!,종합_Ver2!$B44,#REF!)</f>
        <v>#REF!</v>
      </c>
      <c r="L44" s="17" t="e">
        <f>SUMIF(#REF!,종합_Ver2!$B44,#REF!)</f>
        <v>#REF!</v>
      </c>
      <c r="M44" s="1">
        <v>162320250</v>
      </c>
    </row>
    <row r="45" spans="1:13">
      <c r="A45" s="2" t="s">
        <v>210</v>
      </c>
      <c r="B45" s="2" t="s">
        <v>211</v>
      </c>
      <c r="C45" s="5" t="e">
        <f t="shared" si="1"/>
        <v>#REF!</v>
      </c>
      <c r="D45" s="3" t="e">
        <f>SUMIF(#REF!,종합_Ver2!$B45,#REF!)</f>
        <v>#REF!</v>
      </c>
      <c r="E45" s="3" t="e">
        <f>SUMIF(#REF!,종합_Ver2!$B45,#REF!)</f>
        <v>#REF!</v>
      </c>
      <c r="F45" s="3" t="e">
        <f>SUMIF(#REF!,종합_Ver2!$B45,#REF!)</f>
        <v>#REF!</v>
      </c>
      <c r="G45" s="12" t="e">
        <f>SUMIF(#REF!,종합_Ver2!$B45,#REF!)</f>
        <v>#REF!</v>
      </c>
      <c r="H45" s="13" t="e">
        <f>SUMIF(#REF!,종합_Ver2!$B45,#REF!)</f>
        <v>#REF!</v>
      </c>
      <c r="I45" s="14" t="e">
        <f>SUMIF(#REF!,종합_Ver2!$B45,#REF!)</f>
        <v>#REF!</v>
      </c>
      <c r="J45" s="15" t="e">
        <f>SUMIF(#REF!,종합_Ver2!$B45,#REF!)</f>
        <v>#REF!</v>
      </c>
      <c r="K45" s="16" t="e">
        <f>SUMIF(#REF!,종합_Ver2!$B45,#REF!)</f>
        <v>#REF!</v>
      </c>
      <c r="L45" s="17" t="e">
        <f>SUMIF(#REF!,종합_Ver2!$B45,#REF!)</f>
        <v>#REF!</v>
      </c>
      <c r="M45" s="1">
        <v>103922280</v>
      </c>
    </row>
    <row r="46" spans="1:13">
      <c r="A46" s="2" t="s">
        <v>62</v>
      </c>
      <c r="B46" s="2" t="s">
        <v>63</v>
      </c>
      <c r="C46" s="5" t="e">
        <f t="shared" si="1"/>
        <v>#REF!</v>
      </c>
      <c r="D46" s="3" t="e">
        <f>SUMIF(#REF!,종합_Ver2!$B46,#REF!)</f>
        <v>#REF!</v>
      </c>
      <c r="E46" s="3" t="e">
        <f>SUMIF(#REF!,종합_Ver2!$B46,#REF!)</f>
        <v>#REF!</v>
      </c>
      <c r="F46" s="3" t="e">
        <f>SUMIF(#REF!,종합_Ver2!$B46,#REF!)</f>
        <v>#REF!</v>
      </c>
      <c r="G46" s="12" t="e">
        <f>SUMIF(#REF!,종합_Ver2!$B46,#REF!)</f>
        <v>#REF!</v>
      </c>
      <c r="H46" s="13" t="e">
        <f>SUMIF(#REF!,종합_Ver2!$B46,#REF!)</f>
        <v>#REF!</v>
      </c>
      <c r="I46" s="14" t="e">
        <f>SUMIF(#REF!,종합_Ver2!$B46,#REF!)</f>
        <v>#REF!</v>
      </c>
      <c r="J46" s="15" t="e">
        <f>SUMIF(#REF!,종합_Ver2!$B46,#REF!)</f>
        <v>#REF!</v>
      </c>
      <c r="K46" s="16" t="e">
        <f>SUMIF(#REF!,종합_Ver2!$B46,#REF!)</f>
        <v>#REF!</v>
      </c>
      <c r="L46" s="17" t="e">
        <f>SUMIF(#REF!,종합_Ver2!$B46,#REF!)</f>
        <v>#REF!</v>
      </c>
      <c r="M46" s="1">
        <v>115179400</v>
      </c>
    </row>
    <row r="47" spans="1:13">
      <c r="A47" s="2" t="s">
        <v>64</v>
      </c>
      <c r="B47" s="2" t="s">
        <v>65</v>
      </c>
      <c r="C47" s="5" t="e">
        <f t="shared" si="1"/>
        <v>#REF!</v>
      </c>
      <c r="D47" s="3" t="e">
        <f>SUMIF(#REF!,종합_Ver2!$B47,#REF!)</f>
        <v>#REF!</v>
      </c>
      <c r="E47" s="3" t="e">
        <f>SUMIF(#REF!,종합_Ver2!$B47,#REF!)</f>
        <v>#REF!</v>
      </c>
      <c r="F47" s="3" t="e">
        <f>SUMIF(#REF!,종합_Ver2!$B47,#REF!)</f>
        <v>#REF!</v>
      </c>
      <c r="G47" s="12" t="e">
        <f>SUMIF(#REF!,종합_Ver2!$B47,#REF!)</f>
        <v>#REF!</v>
      </c>
      <c r="H47" s="13" t="e">
        <f>SUMIF(#REF!,종합_Ver2!$B47,#REF!)</f>
        <v>#REF!</v>
      </c>
      <c r="I47" s="14" t="e">
        <f>SUMIF(#REF!,종합_Ver2!$B47,#REF!)</f>
        <v>#REF!</v>
      </c>
      <c r="J47" s="15" t="e">
        <f>SUMIF(#REF!,종합_Ver2!$B47,#REF!)</f>
        <v>#REF!</v>
      </c>
      <c r="K47" s="16" t="e">
        <f>SUMIF(#REF!,종합_Ver2!$B47,#REF!)</f>
        <v>#REF!</v>
      </c>
      <c r="L47" s="17" t="e">
        <f>SUMIF(#REF!,종합_Ver2!$B47,#REF!)</f>
        <v>#REF!</v>
      </c>
      <c r="M47" s="1">
        <v>110550000</v>
      </c>
    </row>
    <row r="48" spans="1:13">
      <c r="A48" s="2" t="s">
        <v>66</v>
      </c>
      <c r="B48" s="2" t="s">
        <v>67</v>
      </c>
      <c r="C48" s="5" t="e">
        <f t="shared" si="1"/>
        <v>#REF!</v>
      </c>
      <c r="D48" s="3" t="e">
        <f>SUMIF(#REF!,종합_Ver2!$B48,#REF!)</f>
        <v>#REF!</v>
      </c>
      <c r="E48" s="3" t="e">
        <f>SUMIF(#REF!,종합_Ver2!$B48,#REF!)</f>
        <v>#REF!</v>
      </c>
      <c r="F48" s="3" t="e">
        <f>SUMIF(#REF!,종합_Ver2!$B48,#REF!)</f>
        <v>#REF!</v>
      </c>
      <c r="G48" s="12" t="e">
        <f>SUMIF(#REF!,종합_Ver2!$B48,#REF!)</f>
        <v>#REF!</v>
      </c>
      <c r="H48" s="13" t="e">
        <f>SUMIF(#REF!,종합_Ver2!$B48,#REF!)</f>
        <v>#REF!</v>
      </c>
      <c r="I48" s="14" t="e">
        <f>SUMIF(#REF!,종합_Ver2!$B48,#REF!)</f>
        <v>#REF!</v>
      </c>
      <c r="J48" s="15" t="e">
        <f>SUMIF(#REF!,종합_Ver2!$B48,#REF!)</f>
        <v>#REF!</v>
      </c>
      <c r="K48" s="16" t="e">
        <f>SUMIF(#REF!,종합_Ver2!$B48,#REF!)</f>
        <v>#REF!</v>
      </c>
      <c r="L48" s="17" t="e">
        <f>SUMIF(#REF!,종합_Ver2!$B48,#REF!)</f>
        <v>#REF!</v>
      </c>
      <c r="M48" s="1">
        <v>210605000</v>
      </c>
    </row>
    <row r="49" spans="1:13">
      <c r="A49" s="2" t="s">
        <v>208</v>
      </c>
      <c r="B49" s="2" t="s">
        <v>209</v>
      </c>
      <c r="C49" s="5" t="e">
        <f t="shared" si="1"/>
        <v>#REF!</v>
      </c>
      <c r="D49" s="3" t="e">
        <f>SUMIF(#REF!,종합_Ver2!$B49,#REF!)</f>
        <v>#REF!</v>
      </c>
      <c r="E49" s="3" t="e">
        <f>SUMIF(#REF!,종합_Ver2!$B49,#REF!)</f>
        <v>#REF!</v>
      </c>
      <c r="F49" s="3" t="e">
        <f>SUMIF(#REF!,종합_Ver2!$B49,#REF!)</f>
        <v>#REF!</v>
      </c>
      <c r="G49" s="12" t="e">
        <f>SUMIF(#REF!,종합_Ver2!$B49,#REF!)</f>
        <v>#REF!</v>
      </c>
      <c r="H49" s="13" t="e">
        <f>SUMIF(#REF!,종합_Ver2!$B49,#REF!)</f>
        <v>#REF!</v>
      </c>
      <c r="I49" s="14" t="e">
        <f>SUMIF(#REF!,종합_Ver2!$B49,#REF!)</f>
        <v>#REF!</v>
      </c>
      <c r="J49" s="15" t="e">
        <f>SUMIF(#REF!,종합_Ver2!$B49,#REF!)</f>
        <v>#REF!</v>
      </c>
      <c r="K49" s="16" t="e">
        <f>SUMIF(#REF!,종합_Ver2!$B49,#REF!)</f>
        <v>#REF!</v>
      </c>
      <c r="L49" s="17" t="e">
        <f>SUMIF(#REF!,종합_Ver2!$B49,#REF!)</f>
        <v>#REF!</v>
      </c>
      <c r="M49" s="1">
        <v>117184600</v>
      </c>
    </row>
    <row r="50" spans="1:13">
      <c r="A50" s="2" t="s">
        <v>68</v>
      </c>
      <c r="B50" s="2" t="s">
        <v>69</v>
      </c>
      <c r="C50" s="5" t="e">
        <f t="shared" si="1"/>
        <v>#REF!</v>
      </c>
      <c r="D50" s="3" t="e">
        <f>SUMIF(#REF!,종합_Ver2!$B50,#REF!)</f>
        <v>#REF!</v>
      </c>
      <c r="E50" s="3" t="e">
        <f>SUMIF(#REF!,종합_Ver2!$B50,#REF!)</f>
        <v>#REF!</v>
      </c>
      <c r="F50" s="3" t="e">
        <f>SUMIF(#REF!,종합_Ver2!$B50,#REF!)</f>
        <v>#REF!</v>
      </c>
      <c r="G50" s="12" t="e">
        <f>SUMIF(#REF!,종합_Ver2!$B50,#REF!)</f>
        <v>#REF!</v>
      </c>
      <c r="H50" s="13" t="e">
        <f>SUMIF(#REF!,종합_Ver2!$B50,#REF!)</f>
        <v>#REF!</v>
      </c>
      <c r="I50" s="14" t="e">
        <f>SUMIF(#REF!,종합_Ver2!$B50,#REF!)</f>
        <v>#REF!</v>
      </c>
      <c r="J50" s="15" t="e">
        <f>SUMIF(#REF!,종합_Ver2!$B50,#REF!)</f>
        <v>#REF!</v>
      </c>
      <c r="K50" s="16" t="e">
        <f>SUMIF(#REF!,종합_Ver2!$B50,#REF!)</f>
        <v>#REF!</v>
      </c>
      <c r="L50" s="17" t="e">
        <f>SUMIF(#REF!,종합_Ver2!$B50,#REF!)</f>
        <v>#REF!</v>
      </c>
      <c r="M50" s="1">
        <v>193804700</v>
      </c>
    </row>
    <row r="51" spans="1:13">
      <c r="A51" s="2" t="s">
        <v>206</v>
      </c>
      <c r="B51" s="2" t="s">
        <v>207</v>
      </c>
      <c r="C51" s="5" t="e">
        <f t="shared" si="1"/>
        <v>#REF!</v>
      </c>
      <c r="D51" s="3" t="e">
        <f>SUMIF(#REF!,종합_Ver2!$B51,#REF!)</f>
        <v>#REF!</v>
      </c>
      <c r="E51" s="3" t="e">
        <f>SUMIF(#REF!,종합_Ver2!$B51,#REF!)</f>
        <v>#REF!</v>
      </c>
      <c r="F51" s="3" t="e">
        <f>SUMIF(#REF!,종합_Ver2!$B51,#REF!)</f>
        <v>#REF!</v>
      </c>
      <c r="G51" s="12" t="e">
        <f>SUMIF(#REF!,종합_Ver2!$B51,#REF!)</f>
        <v>#REF!</v>
      </c>
      <c r="H51" s="13" t="e">
        <f>SUMIF(#REF!,종합_Ver2!$B51,#REF!)</f>
        <v>#REF!</v>
      </c>
      <c r="I51" s="14" t="e">
        <f>SUMIF(#REF!,종합_Ver2!$B51,#REF!)</f>
        <v>#REF!</v>
      </c>
      <c r="J51" s="15" t="e">
        <f>SUMIF(#REF!,종합_Ver2!$B51,#REF!)</f>
        <v>#REF!</v>
      </c>
      <c r="K51" s="16" t="e">
        <f>SUMIF(#REF!,종합_Ver2!$B51,#REF!)</f>
        <v>#REF!</v>
      </c>
      <c r="L51" s="17" t="e">
        <f>SUMIF(#REF!,종합_Ver2!$B51,#REF!)</f>
        <v>#REF!</v>
      </c>
      <c r="M51" s="1">
        <v>154180000</v>
      </c>
    </row>
    <row r="52" spans="1:13">
      <c r="A52" s="2" t="s">
        <v>70</v>
      </c>
      <c r="B52" s="2" t="s">
        <v>71</v>
      </c>
      <c r="C52" s="5" t="e">
        <f t="shared" si="1"/>
        <v>#REF!</v>
      </c>
      <c r="D52" s="3" t="e">
        <f>SUMIF(#REF!,종합_Ver2!$B52,#REF!)</f>
        <v>#REF!</v>
      </c>
      <c r="E52" s="3" t="e">
        <f>SUMIF(#REF!,종합_Ver2!$B52,#REF!)</f>
        <v>#REF!</v>
      </c>
      <c r="F52" s="3" t="e">
        <f>SUMIF(#REF!,종합_Ver2!$B52,#REF!)</f>
        <v>#REF!</v>
      </c>
      <c r="G52" s="12" t="e">
        <f>SUMIF(#REF!,종합_Ver2!$B52,#REF!)</f>
        <v>#REF!</v>
      </c>
      <c r="H52" s="13" t="e">
        <f>SUMIF(#REF!,종합_Ver2!$B52,#REF!)</f>
        <v>#REF!</v>
      </c>
      <c r="I52" s="14" t="e">
        <f>SUMIF(#REF!,종합_Ver2!$B52,#REF!)</f>
        <v>#REF!</v>
      </c>
      <c r="J52" s="15" t="e">
        <f>SUMIF(#REF!,종합_Ver2!$B52,#REF!)</f>
        <v>#REF!</v>
      </c>
      <c r="K52" s="16" t="e">
        <f>SUMIF(#REF!,종합_Ver2!$B52,#REF!)</f>
        <v>#REF!</v>
      </c>
      <c r="L52" s="17" t="e">
        <f>SUMIF(#REF!,종합_Ver2!$B52,#REF!)</f>
        <v>#REF!</v>
      </c>
      <c r="M52" s="1">
        <v>141837100</v>
      </c>
    </row>
    <row r="53" spans="1:13">
      <c r="A53" s="2" t="s">
        <v>218</v>
      </c>
      <c r="B53" s="2" t="s">
        <v>219</v>
      </c>
      <c r="C53" s="5" t="e">
        <f t="shared" si="1"/>
        <v>#REF!</v>
      </c>
      <c r="D53" s="3" t="e">
        <f>SUMIF(#REF!,종합_Ver2!$B53,#REF!)</f>
        <v>#REF!</v>
      </c>
      <c r="E53" s="3" t="e">
        <f>SUMIF(#REF!,종합_Ver2!$B53,#REF!)</f>
        <v>#REF!</v>
      </c>
      <c r="F53" s="3" t="e">
        <f>SUMIF(#REF!,종합_Ver2!$B53,#REF!)</f>
        <v>#REF!</v>
      </c>
      <c r="G53" s="12" t="e">
        <f>SUMIF(#REF!,종합_Ver2!$B53,#REF!)</f>
        <v>#REF!</v>
      </c>
      <c r="H53" s="13" t="e">
        <f>SUMIF(#REF!,종합_Ver2!$B53,#REF!)</f>
        <v>#REF!</v>
      </c>
      <c r="I53" s="14" t="e">
        <f>SUMIF(#REF!,종합_Ver2!$B53,#REF!)</f>
        <v>#REF!</v>
      </c>
      <c r="J53" s="15" t="e">
        <f>SUMIF(#REF!,종합_Ver2!$B53,#REF!)</f>
        <v>#REF!</v>
      </c>
      <c r="K53" s="16" t="e">
        <f>SUMIF(#REF!,종합_Ver2!$B53,#REF!)</f>
        <v>#REF!</v>
      </c>
      <c r="L53" s="17" t="e">
        <f>SUMIF(#REF!,종합_Ver2!$B53,#REF!)</f>
        <v>#REF!</v>
      </c>
      <c r="M53" s="1">
        <v>65934000</v>
      </c>
    </row>
    <row r="54" spans="1:13">
      <c r="A54" s="2" t="s">
        <v>72</v>
      </c>
      <c r="B54" s="2" t="s">
        <v>73</v>
      </c>
      <c r="C54" s="5" t="e">
        <f t="shared" si="1"/>
        <v>#REF!</v>
      </c>
      <c r="D54" s="3" t="e">
        <f>SUMIF(#REF!,종합_Ver2!$B54,#REF!)</f>
        <v>#REF!</v>
      </c>
      <c r="E54" s="3" t="e">
        <f>SUMIF(#REF!,종합_Ver2!$B54,#REF!)</f>
        <v>#REF!</v>
      </c>
      <c r="F54" s="3" t="e">
        <f>SUMIF(#REF!,종합_Ver2!$B54,#REF!)</f>
        <v>#REF!</v>
      </c>
      <c r="G54" s="12" t="e">
        <f>SUMIF(#REF!,종합_Ver2!$B54,#REF!)</f>
        <v>#REF!</v>
      </c>
      <c r="H54" s="13" t="e">
        <f>SUMIF(#REF!,종합_Ver2!$B54,#REF!)</f>
        <v>#REF!</v>
      </c>
      <c r="I54" s="14" t="e">
        <f>SUMIF(#REF!,종합_Ver2!$B54,#REF!)</f>
        <v>#REF!</v>
      </c>
      <c r="J54" s="15" t="e">
        <f>SUMIF(#REF!,종합_Ver2!$B54,#REF!)</f>
        <v>#REF!</v>
      </c>
      <c r="K54" s="16" t="e">
        <f>SUMIF(#REF!,종합_Ver2!$B54,#REF!)</f>
        <v>#REF!</v>
      </c>
      <c r="L54" s="17" t="e">
        <f>SUMIF(#REF!,종합_Ver2!$B54,#REF!)</f>
        <v>#REF!</v>
      </c>
      <c r="M54" s="1">
        <v>113934900</v>
      </c>
    </row>
    <row r="55" spans="1:13">
      <c r="A55" s="2" t="s">
        <v>74</v>
      </c>
      <c r="B55" s="2" t="s">
        <v>75</v>
      </c>
      <c r="C55" s="5" t="e">
        <f t="shared" si="1"/>
        <v>#REF!</v>
      </c>
      <c r="D55" s="3" t="e">
        <f>SUMIF(#REF!,종합_Ver2!$B55,#REF!)</f>
        <v>#REF!</v>
      </c>
      <c r="E55" s="3" t="e">
        <f>SUMIF(#REF!,종합_Ver2!$B55,#REF!)</f>
        <v>#REF!</v>
      </c>
      <c r="F55" s="3" t="e">
        <f>SUMIF(#REF!,종합_Ver2!$B55,#REF!)</f>
        <v>#REF!</v>
      </c>
      <c r="G55" s="12" t="e">
        <f>SUMIF(#REF!,종합_Ver2!$B55,#REF!)</f>
        <v>#REF!</v>
      </c>
      <c r="H55" s="13" t="e">
        <f>SUMIF(#REF!,종합_Ver2!$B55,#REF!)</f>
        <v>#REF!</v>
      </c>
      <c r="I55" s="14" t="e">
        <f>SUMIF(#REF!,종합_Ver2!$B55,#REF!)</f>
        <v>#REF!</v>
      </c>
      <c r="J55" s="15" t="e">
        <f>SUMIF(#REF!,종합_Ver2!$B55,#REF!)</f>
        <v>#REF!</v>
      </c>
      <c r="K55" s="16" t="e">
        <f>SUMIF(#REF!,종합_Ver2!$B55,#REF!)</f>
        <v>#REF!</v>
      </c>
      <c r="L55" s="17" t="e">
        <f>SUMIF(#REF!,종합_Ver2!$B55,#REF!)</f>
        <v>#REF!</v>
      </c>
      <c r="M55" s="1">
        <v>89659260</v>
      </c>
    </row>
    <row r="56" spans="1:13">
      <c r="A56" s="2" t="s">
        <v>76</v>
      </c>
      <c r="B56" s="2" t="s">
        <v>77</v>
      </c>
      <c r="C56" s="5" t="e">
        <f t="shared" si="1"/>
        <v>#REF!</v>
      </c>
      <c r="D56" s="3" t="e">
        <f>SUMIF(#REF!,종합_Ver2!$B56,#REF!)</f>
        <v>#REF!</v>
      </c>
      <c r="E56" s="3" t="e">
        <f>SUMIF(#REF!,종합_Ver2!$B56,#REF!)</f>
        <v>#REF!</v>
      </c>
      <c r="F56" s="3" t="e">
        <f>SUMIF(#REF!,종합_Ver2!$B56,#REF!)</f>
        <v>#REF!</v>
      </c>
      <c r="G56" s="12" t="e">
        <f>SUMIF(#REF!,종합_Ver2!$B56,#REF!)</f>
        <v>#REF!</v>
      </c>
      <c r="H56" s="13" t="e">
        <f>SUMIF(#REF!,종합_Ver2!$B56,#REF!)</f>
        <v>#REF!</v>
      </c>
      <c r="I56" s="14" t="e">
        <f>SUMIF(#REF!,종합_Ver2!$B56,#REF!)</f>
        <v>#REF!</v>
      </c>
      <c r="J56" s="15" t="e">
        <f>SUMIF(#REF!,종합_Ver2!$B56,#REF!)</f>
        <v>#REF!</v>
      </c>
      <c r="K56" s="16" t="e">
        <f>SUMIF(#REF!,종합_Ver2!$B56,#REF!)</f>
        <v>#REF!</v>
      </c>
      <c r="L56" s="17" t="e">
        <f>SUMIF(#REF!,종합_Ver2!$B56,#REF!)</f>
        <v>#REF!</v>
      </c>
      <c r="M56" s="1">
        <v>118598400</v>
      </c>
    </row>
    <row r="57" spans="1:13">
      <c r="A57" s="2" t="s">
        <v>78</v>
      </c>
      <c r="B57" s="2" t="s">
        <v>79</v>
      </c>
      <c r="C57" s="5" t="e">
        <f t="shared" si="1"/>
        <v>#REF!</v>
      </c>
      <c r="D57" s="3" t="e">
        <f>SUMIF(#REF!,종합_Ver2!$B57,#REF!)</f>
        <v>#REF!</v>
      </c>
      <c r="E57" s="3" t="e">
        <f>SUMIF(#REF!,종합_Ver2!$B57,#REF!)</f>
        <v>#REF!</v>
      </c>
      <c r="F57" s="3" t="e">
        <f>SUMIF(#REF!,종합_Ver2!$B57,#REF!)</f>
        <v>#REF!</v>
      </c>
      <c r="G57" s="12" t="e">
        <f>SUMIF(#REF!,종합_Ver2!$B57,#REF!)</f>
        <v>#REF!</v>
      </c>
      <c r="H57" s="13" t="e">
        <f>SUMIF(#REF!,종합_Ver2!$B57,#REF!)</f>
        <v>#REF!</v>
      </c>
      <c r="I57" s="14" t="e">
        <f>SUMIF(#REF!,종합_Ver2!$B57,#REF!)</f>
        <v>#REF!</v>
      </c>
      <c r="J57" s="15" t="e">
        <f>SUMIF(#REF!,종합_Ver2!$B57,#REF!)</f>
        <v>#REF!</v>
      </c>
      <c r="K57" s="16" t="e">
        <f>SUMIF(#REF!,종합_Ver2!$B57,#REF!)</f>
        <v>#REF!</v>
      </c>
      <c r="L57" s="17" t="e">
        <f>SUMIF(#REF!,종합_Ver2!$B57,#REF!)</f>
        <v>#REF!</v>
      </c>
      <c r="M57" s="1">
        <v>114310000</v>
      </c>
    </row>
    <row r="58" spans="1:13">
      <c r="A58" s="2" t="s">
        <v>80</v>
      </c>
      <c r="B58" s="2" t="s">
        <v>81</v>
      </c>
      <c r="C58" s="5" t="e">
        <f t="shared" si="1"/>
        <v>#REF!</v>
      </c>
      <c r="D58" s="3" t="e">
        <f>SUMIF(#REF!,종합_Ver2!$B58,#REF!)</f>
        <v>#REF!</v>
      </c>
      <c r="E58" s="3" t="e">
        <f>SUMIF(#REF!,종합_Ver2!$B58,#REF!)</f>
        <v>#REF!</v>
      </c>
      <c r="F58" s="3" t="e">
        <f>SUMIF(#REF!,종합_Ver2!$B58,#REF!)</f>
        <v>#REF!</v>
      </c>
      <c r="G58" s="12" t="e">
        <f>SUMIF(#REF!,종합_Ver2!$B58,#REF!)</f>
        <v>#REF!</v>
      </c>
      <c r="H58" s="13" t="e">
        <f>SUMIF(#REF!,종합_Ver2!$B58,#REF!)</f>
        <v>#REF!</v>
      </c>
      <c r="I58" s="14" t="e">
        <f>SUMIF(#REF!,종합_Ver2!$B58,#REF!)</f>
        <v>#REF!</v>
      </c>
      <c r="J58" s="15" t="e">
        <f>SUMIF(#REF!,종합_Ver2!$B58,#REF!)</f>
        <v>#REF!</v>
      </c>
      <c r="K58" s="16" t="e">
        <f>SUMIF(#REF!,종합_Ver2!$B58,#REF!)</f>
        <v>#REF!</v>
      </c>
      <c r="L58" s="17" t="e">
        <f>SUMIF(#REF!,종합_Ver2!$B58,#REF!)</f>
        <v>#REF!</v>
      </c>
      <c r="M58" s="1">
        <v>160855200</v>
      </c>
    </row>
    <row r="59" spans="1:13">
      <c r="A59" s="2" t="s">
        <v>82</v>
      </c>
      <c r="B59" s="2" t="s">
        <v>83</v>
      </c>
      <c r="C59" s="5" t="e">
        <f t="shared" si="1"/>
        <v>#REF!</v>
      </c>
      <c r="D59" s="3" t="e">
        <f>SUMIF(#REF!,종합_Ver2!$B59,#REF!)</f>
        <v>#REF!</v>
      </c>
      <c r="E59" s="3" t="e">
        <f>SUMIF(#REF!,종합_Ver2!$B59,#REF!)</f>
        <v>#REF!</v>
      </c>
      <c r="F59" s="3" t="e">
        <f>SUMIF(#REF!,종합_Ver2!$B59,#REF!)</f>
        <v>#REF!</v>
      </c>
      <c r="G59" s="12" t="e">
        <f>SUMIF(#REF!,종합_Ver2!$B59,#REF!)</f>
        <v>#REF!</v>
      </c>
      <c r="H59" s="13" t="e">
        <f>SUMIF(#REF!,종합_Ver2!$B59,#REF!)</f>
        <v>#REF!</v>
      </c>
      <c r="I59" s="14" t="e">
        <f>SUMIF(#REF!,종합_Ver2!$B59,#REF!)</f>
        <v>#REF!</v>
      </c>
      <c r="J59" s="15" t="e">
        <f>SUMIF(#REF!,종합_Ver2!$B59,#REF!)</f>
        <v>#REF!</v>
      </c>
      <c r="K59" s="16" t="e">
        <f>SUMIF(#REF!,종합_Ver2!$B59,#REF!)</f>
        <v>#REF!</v>
      </c>
      <c r="L59" s="17" t="e">
        <f>SUMIF(#REF!,종합_Ver2!$B59,#REF!)</f>
        <v>#REF!</v>
      </c>
      <c r="M59" s="1">
        <v>155350</v>
      </c>
    </row>
    <row r="60" spans="1:13">
      <c r="A60" s="2" t="s">
        <v>84</v>
      </c>
      <c r="B60" s="2" t="s">
        <v>85</v>
      </c>
      <c r="C60" s="5" t="e">
        <f t="shared" si="1"/>
        <v>#REF!</v>
      </c>
      <c r="D60" s="3" t="e">
        <f>SUMIF(#REF!,종합_Ver2!$B60,#REF!)</f>
        <v>#REF!</v>
      </c>
      <c r="E60" s="3" t="e">
        <f>SUMIF(#REF!,종합_Ver2!$B60,#REF!)</f>
        <v>#REF!</v>
      </c>
      <c r="F60" s="3" t="e">
        <f>SUMIF(#REF!,종합_Ver2!$B60,#REF!)</f>
        <v>#REF!</v>
      </c>
      <c r="G60" s="12" t="e">
        <f>SUMIF(#REF!,종합_Ver2!$B60,#REF!)</f>
        <v>#REF!</v>
      </c>
      <c r="H60" s="13" t="e">
        <f>SUMIF(#REF!,종합_Ver2!$B60,#REF!)</f>
        <v>#REF!</v>
      </c>
      <c r="I60" s="14" t="e">
        <f>SUMIF(#REF!,종합_Ver2!$B60,#REF!)</f>
        <v>#REF!</v>
      </c>
      <c r="J60" s="15" t="e">
        <f>SUMIF(#REF!,종합_Ver2!$B60,#REF!)</f>
        <v>#REF!</v>
      </c>
      <c r="K60" s="16" t="e">
        <f>SUMIF(#REF!,종합_Ver2!$B60,#REF!)</f>
        <v>#REF!</v>
      </c>
      <c r="L60" s="17" t="e">
        <f>SUMIF(#REF!,종합_Ver2!$B60,#REF!)</f>
        <v>#REF!</v>
      </c>
      <c r="M60" s="1">
        <v>83460160</v>
      </c>
    </row>
    <row r="61" spans="1:13">
      <c r="A61" s="2" t="s">
        <v>86</v>
      </c>
      <c r="B61" s="2" t="s">
        <v>87</v>
      </c>
      <c r="C61" s="5" t="e">
        <f t="shared" si="1"/>
        <v>#REF!</v>
      </c>
      <c r="D61" s="3" t="e">
        <f>SUMIF(#REF!,종합_Ver2!$B61,#REF!)</f>
        <v>#REF!</v>
      </c>
      <c r="E61" s="3" t="e">
        <f>SUMIF(#REF!,종합_Ver2!$B61,#REF!)</f>
        <v>#REF!</v>
      </c>
      <c r="F61" s="3" t="e">
        <f>SUMIF(#REF!,종합_Ver2!$B61,#REF!)</f>
        <v>#REF!</v>
      </c>
      <c r="G61" s="12" t="e">
        <f>SUMIF(#REF!,종합_Ver2!$B61,#REF!)</f>
        <v>#REF!</v>
      </c>
      <c r="H61" s="13" t="e">
        <f>SUMIF(#REF!,종합_Ver2!$B61,#REF!)</f>
        <v>#REF!</v>
      </c>
      <c r="I61" s="14" t="e">
        <f>SUMIF(#REF!,종합_Ver2!$B61,#REF!)</f>
        <v>#REF!</v>
      </c>
      <c r="J61" s="15" t="e">
        <f>SUMIF(#REF!,종합_Ver2!$B61,#REF!)</f>
        <v>#REF!</v>
      </c>
      <c r="K61" s="16" t="e">
        <f>SUMIF(#REF!,종합_Ver2!$B61,#REF!)</f>
        <v>#REF!</v>
      </c>
      <c r="L61" s="17" t="e">
        <f>SUMIF(#REF!,종합_Ver2!$B61,#REF!)</f>
        <v>#REF!</v>
      </c>
      <c r="M61" s="1">
        <v>-55050000</v>
      </c>
    </row>
    <row r="62" spans="1:13">
      <c r="A62" s="2" t="s">
        <v>88</v>
      </c>
      <c r="B62" s="2" t="s">
        <v>89</v>
      </c>
      <c r="C62" s="5" t="e">
        <f t="shared" si="1"/>
        <v>#REF!</v>
      </c>
      <c r="D62" s="3" t="e">
        <f>SUMIF(#REF!,종합_Ver2!$B62,#REF!)</f>
        <v>#REF!</v>
      </c>
      <c r="E62" s="3" t="e">
        <f>SUMIF(#REF!,종합_Ver2!$B62,#REF!)</f>
        <v>#REF!</v>
      </c>
      <c r="F62" s="3" t="e">
        <f>SUMIF(#REF!,종합_Ver2!$B62,#REF!)</f>
        <v>#REF!</v>
      </c>
      <c r="G62" s="12" t="e">
        <f>SUMIF(#REF!,종합_Ver2!$B62,#REF!)</f>
        <v>#REF!</v>
      </c>
      <c r="H62" s="13" t="e">
        <f>SUMIF(#REF!,종합_Ver2!$B62,#REF!)</f>
        <v>#REF!</v>
      </c>
      <c r="I62" s="14" t="e">
        <f>SUMIF(#REF!,종합_Ver2!$B62,#REF!)</f>
        <v>#REF!</v>
      </c>
      <c r="J62" s="15" t="e">
        <f>SUMIF(#REF!,종합_Ver2!$B62,#REF!)</f>
        <v>#REF!</v>
      </c>
      <c r="K62" s="16" t="e">
        <f>SUMIF(#REF!,종합_Ver2!$B62,#REF!)</f>
        <v>#REF!</v>
      </c>
      <c r="L62" s="17" t="e">
        <f>SUMIF(#REF!,종합_Ver2!$B62,#REF!)</f>
        <v>#REF!</v>
      </c>
      <c r="M62" s="1">
        <v>-128520000</v>
      </c>
    </row>
    <row r="63" spans="1:13">
      <c r="A63" s="2" t="s">
        <v>90</v>
      </c>
      <c r="B63" s="2" t="s">
        <v>91</v>
      </c>
      <c r="C63" s="5" t="e">
        <f t="shared" si="1"/>
        <v>#REF!</v>
      </c>
      <c r="D63" s="3" t="e">
        <f>SUMIF(#REF!,종합_Ver2!$B63,#REF!)</f>
        <v>#REF!</v>
      </c>
      <c r="E63" s="3" t="e">
        <f>SUMIF(#REF!,종합_Ver2!$B63,#REF!)</f>
        <v>#REF!</v>
      </c>
      <c r="F63" s="3" t="e">
        <f>SUMIF(#REF!,종합_Ver2!$B63,#REF!)</f>
        <v>#REF!</v>
      </c>
      <c r="G63" s="12" t="e">
        <f>SUMIF(#REF!,종합_Ver2!$B63,#REF!)</f>
        <v>#REF!</v>
      </c>
      <c r="H63" s="13" t="e">
        <f>SUMIF(#REF!,종합_Ver2!$B63,#REF!)</f>
        <v>#REF!</v>
      </c>
      <c r="I63" s="14" t="e">
        <f>SUMIF(#REF!,종합_Ver2!$B63,#REF!)</f>
        <v>#REF!</v>
      </c>
      <c r="J63" s="15" t="e">
        <f>SUMIF(#REF!,종합_Ver2!$B63,#REF!)</f>
        <v>#REF!</v>
      </c>
      <c r="K63" s="16" t="e">
        <f>SUMIF(#REF!,종합_Ver2!$B63,#REF!)</f>
        <v>#REF!</v>
      </c>
      <c r="L63" s="17" t="e">
        <f>SUMIF(#REF!,종합_Ver2!$B63,#REF!)</f>
        <v>#REF!</v>
      </c>
      <c r="M63" s="1">
        <v>-59900000</v>
      </c>
    </row>
    <row r="64" spans="1:13">
      <c r="A64" s="2" t="s">
        <v>92</v>
      </c>
      <c r="B64" s="2" t="s">
        <v>93</v>
      </c>
      <c r="C64" s="5" t="e">
        <f t="shared" si="1"/>
        <v>#REF!</v>
      </c>
      <c r="D64" s="3" t="e">
        <f>SUMIF(#REF!,종합_Ver2!$B64,#REF!)</f>
        <v>#REF!</v>
      </c>
      <c r="E64" s="3" t="e">
        <f>SUMIF(#REF!,종합_Ver2!$B64,#REF!)</f>
        <v>#REF!</v>
      </c>
      <c r="F64" s="3" t="e">
        <f>SUMIF(#REF!,종합_Ver2!$B64,#REF!)</f>
        <v>#REF!</v>
      </c>
      <c r="G64" s="12" t="e">
        <f>SUMIF(#REF!,종합_Ver2!$B64,#REF!)</f>
        <v>#REF!</v>
      </c>
      <c r="H64" s="13" t="e">
        <f>SUMIF(#REF!,종합_Ver2!$B64,#REF!)</f>
        <v>#REF!</v>
      </c>
      <c r="I64" s="14" t="e">
        <f>SUMIF(#REF!,종합_Ver2!$B64,#REF!)</f>
        <v>#REF!</v>
      </c>
      <c r="J64" s="15" t="e">
        <f>SUMIF(#REF!,종합_Ver2!$B64,#REF!)</f>
        <v>#REF!</v>
      </c>
      <c r="K64" s="16" t="e">
        <f>SUMIF(#REF!,종합_Ver2!$B64,#REF!)</f>
        <v>#REF!</v>
      </c>
      <c r="L64" s="17" t="e">
        <f>SUMIF(#REF!,종합_Ver2!$B64,#REF!)</f>
        <v>#REF!</v>
      </c>
      <c r="M64" s="1">
        <v>-114478000</v>
      </c>
    </row>
    <row r="65" spans="1:13">
      <c r="A65" s="2" t="s">
        <v>94</v>
      </c>
      <c r="B65" s="2" t="s">
        <v>95</v>
      </c>
      <c r="C65" s="5" t="e">
        <f t="shared" si="1"/>
        <v>#REF!</v>
      </c>
      <c r="D65" s="3" t="e">
        <f>SUMIF(#REF!,종합_Ver2!$B65,#REF!)</f>
        <v>#REF!</v>
      </c>
      <c r="E65" s="3" t="e">
        <f>SUMIF(#REF!,종합_Ver2!$B65,#REF!)</f>
        <v>#REF!</v>
      </c>
      <c r="F65" s="3" t="e">
        <f>SUMIF(#REF!,종합_Ver2!$B65,#REF!)</f>
        <v>#REF!</v>
      </c>
      <c r="G65" s="12" t="e">
        <f>SUMIF(#REF!,종합_Ver2!$B65,#REF!)</f>
        <v>#REF!</v>
      </c>
      <c r="H65" s="13" t="e">
        <f>SUMIF(#REF!,종합_Ver2!$B65,#REF!)</f>
        <v>#REF!</v>
      </c>
      <c r="I65" s="14" t="e">
        <f>SUMIF(#REF!,종합_Ver2!$B65,#REF!)</f>
        <v>#REF!</v>
      </c>
      <c r="J65" s="15" t="e">
        <f>SUMIF(#REF!,종합_Ver2!$B65,#REF!)</f>
        <v>#REF!</v>
      </c>
      <c r="K65" s="16" t="e">
        <f>SUMIF(#REF!,종합_Ver2!$B65,#REF!)</f>
        <v>#REF!</v>
      </c>
      <c r="L65" s="17" t="e">
        <f>SUMIF(#REF!,종합_Ver2!$B65,#REF!)</f>
        <v>#REF!</v>
      </c>
      <c r="M65" s="1">
        <v>-111228000</v>
      </c>
    </row>
    <row r="66" spans="1:13">
      <c r="A66" s="2" t="s">
        <v>96</v>
      </c>
      <c r="B66" s="2" t="s">
        <v>97</v>
      </c>
      <c r="C66" s="5" t="e">
        <f t="shared" si="1"/>
        <v>#REF!</v>
      </c>
      <c r="D66" s="3" t="e">
        <f>SUMIF(#REF!,종합_Ver2!$B66,#REF!)</f>
        <v>#REF!</v>
      </c>
      <c r="E66" s="3" t="e">
        <f>SUMIF(#REF!,종합_Ver2!$B66,#REF!)</f>
        <v>#REF!</v>
      </c>
      <c r="F66" s="3" t="e">
        <f>SUMIF(#REF!,종합_Ver2!$B66,#REF!)</f>
        <v>#REF!</v>
      </c>
      <c r="G66" s="12" t="e">
        <f>SUMIF(#REF!,종합_Ver2!$B66,#REF!)</f>
        <v>#REF!</v>
      </c>
      <c r="H66" s="13" t="e">
        <f>SUMIF(#REF!,종합_Ver2!$B66,#REF!)</f>
        <v>#REF!</v>
      </c>
      <c r="I66" s="14" t="e">
        <f>SUMIF(#REF!,종합_Ver2!$B66,#REF!)</f>
        <v>#REF!</v>
      </c>
      <c r="J66" s="15" t="e">
        <f>SUMIF(#REF!,종합_Ver2!$B66,#REF!)</f>
        <v>#REF!</v>
      </c>
      <c r="K66" s="16" t="e">
        <f>SUMIF(#REF!,종합_Ver2!$B66,#REF!)</f>
        <v>#REF!</v>
      </c>
      <c r="L66" s="17" t="e">
        <f>SUMIF(#REF!,종합_Ver2!$B66,#REF!)</f>
        <v>#REF!</v>
      </c>
      <c r="M66" s="1">
        <v>-71198400</v>
      </c>
    </row>
    <row r="67" spans="1:13">
      <c r="A67" s="2" t="s">
        <v>98</v>
      </c>
      <c r="B67" s="2" t="s">
        <v>99</v>
      </c>
      <c r="C67" s="5" t="e">
        <f t="shared" si="1"/>
        <v>#REF!</v>
      </c>
      <c r="D67" s="3" t="e">
        <f>SUMIF(#REF!,종합_Ver2!$B67,#REF!)</f>
        <v>#REF!</v>
      </c>
      <c r="E67" s="3" t="e">
        <f>SUMIF(#REF!,종합_Ver2!$B67,#REF!)</f>
        <v>#REF!</v>
      </c>
      <c r="F67" s="3" t="e">
        <f>SUMIF(#REF!,종합_Ver2!$B67,#REF!)</f>
        <v>#REF!</v>
      </c>
      <c r="G67" s="12" t="e">
        <f>SUMIF(#REF!,종합_Ver2!$B67,#REF!)</f>
        <v>#REF!</v>
      </c>
      <c r="H67" s="13" t="e">
        <f>SUMIF(#REF!,종합_Ver2!$B67,#REF!)</f>
        <v>#REF!</v>
      </c>
      <c r="I67" s="14" t="e">
        <f>SUMIF(#REF!,종합_Ver2!$B67,#REF!)</f>
        <v>#REF!</v>
      </c>
      <c r="J67" s="15" t="e">
        <f>SUMIF(#REF!,종합_Ver2!$B67,#REF!)</f>
        <v>#REF!</v>
      </c>
      <c r="K67" s="16" t="e">
        <f>SUMIF(#REF!,종합_Ver2!$B67,#REF!)</f>
        <v>#REF!</v>
      </c>
      <c r="L67" s="17" t="e">
        <f>SUMIF(#REF!,종합_Ver2!$B67,#REF!)</f>
        <v>#REF!</v>
      </c>
      <c r="M67" s="1">
        <v>-149055000</v>
      </c>
    </row>
    <row r="68" spans="1:13">
      <c r="A68" s="2" t="s">
        <v>100</v>
      </c>
      <c r="B68" s="2" t="s">
        <v>101</v>
      </c>
      <c r="C68" s="5" t="e">
        <f t="shared" si="1"/>
        <v>#REF!</v>
      </c>
      <c r="D68" s="3" t="e">
        <f>SUMIF(#REF!,종합_Ver2!$B68,#REF!)</f>
        <v>#REF!</v>
      </c>
      <c r="E68" s="3" t="e">
        <f>SUMIF(#REF!,종합_Ver2!$B68,#REF!)</f>
        <v>#REF!</v>
      </c>
      <c r="F68" s="3" t="e">
        <f>SUMIF(#REF!,종합_Ver2!$B68,#REF!)</f>
        <v>#REF!</v>
      </c>
      <c r="G68" s="12" t="e">
        <f>SUMIF(#REF!,종합_Ver2!$B68,#REF!)</f>
        <v>#REF!</v>
      </c>
      <c r="H68" s="13" t="e">
        <f>SUMIF(#REF!,종합_Ver2!$B68,#REF!)</f>
        <v>#REF!</v>
      </c>
      <c r="I68" s="14" t="e">
        <f>SUMIF(#REF!,종합_Ver2!$B68,#REF!)</f>
        <v>#REF!</v>
      </c>
      <c r="J68" s="15" t="e">
        <f>SUMIF(#REF!,종합_Ver2!$B68,#REF!)</f>
        <v>#REF!</v>
      </c>
      <c r="K68" s="16" t="e">
        <f>SUMIF(#REF!,종합_Ver2!$B68,#REF!)</f>
        <v>#REF!</v>
      </c>
      <c r="L68" s="17" t="e">
        <f>SUMIF(#REF!,종합_Ver2!$B68,#REF!)</f>
        <v>#REF!</v>
      </c>
      <c r="M68" s="1">
        <v>-165141600</v>
      </c>
    </row>
    <row r="69" spans="1:13">
      <c r="A69" s="2" t="s">
        <v>102</v>
      </c>
      <c r="B69" s="2" t="s">
        <v>103</v>
      </c>
      <c r="C69" s="5" t="e">
        <f t="shared" si="1"/>
        <v>#REF!</v>
      </c>
      <c r="D69" s="3" t="e">
        <f>SUMIF(#REF!,종합_Ver2!$B69,#REF!)</f>
        <v>#REF!</v>
      </c>
      <c r="E69" s="3" t="e">
        <f>SUMIF(#REF!,종합_Ver2!$B69,#REF!)</f>
        <v>#REF!</v>
      </c>
      <c r="F69" s="3" t="e">
        <f>SUMIF(#REF!,종합_Ver2!$B69,#REF!)</f>
        <v>#REF!</v>
      </c>
      <c r="G69" s="12" t="e">
        <f>SUMIF(#REF!,종합_Ver2!$B69,#REF!)</f>
        <v>#REF!</v>
      </c>
      <c r="H69" s="13" t="e">
        <f>SUMIF(#REF!,종합_Ver2!$B69,#REF!)</f>
        <v>#REF!</v>
      </c>
      <c r="I69" s="14" t="e">
        <f>SUMIF(#REF!,종합_Ver2!$B69,#REF!)</f>
        <v>#REF!</v>
      </c>
      <c r="J69" s="15" t="e">
        <f>SUMIF(#REF!,종합_Ver2!$B69,#REF!)</f>
        <v>#REF!</v>
      </c>
      <c r="K69" s="16" t="e">
        <f>SUMIF(#REF!,종합_Ver2!$B69,#REF!)</f>
        <v>#REF!</v>
      </c>
      <c r="L69" s="17" t="e">
        <f>SUMIF(#REF!,종합_Ver2!$B69,#REF!)</f>
        <v>#REF!</v>
      </c>
      <c r="M69" s="1">
        <v>-79500000</v>
      </c>
    </row>
    <row r="70" spans="1:13">
      <c r="A70" s="2" t="s">
        <v>104</v>
      </c>
      <c r="B70" s="2" t="s">
        <v>105</v>
      </c>
      <c r="C70" s="5" t="e">
        <f t="shared" ref="C70:C101" si="2">IF(SUM(G70:I70)&gt;0,"L",IF(SUM(G70:I70)&lt;0,"S",""))</f>
        <v>#REF!</v>
      </c>
      <c r="D70" s="3" t="e">
        <f>SUMIF(#REF!,종합_Ver2!$B70,#REF!)</f>
        <v>#REF!</v>
      </c>
      <c r="E70" s="3" t="e">
        <f>SUMIF(#REF!,종합_Ver2!$B70,#REF!)</f>
        <v>#REF!</v>
      </c>
      <c r="F70" s="3" t="e">
        <f>SUMIF(#REF!,종합_Ver2!$B70,#REF!)</f>
        <v>#REF!</v>
      </c>
      <c r="G70" s="12" t="e">
        <f>SUMIF(#REF!,종합_Ver2!$B70,#REF!)</f>
        <v>#REF!</v>
      </c>
      <c r="H70" s="13" t="e">
        <f>SUMIF(#REF!,종합_Ver2!$B70,#REF!)</f>
        <v>#REF!</v>
      </c>
      <c r="I70" s="14" t="e">
        <f>SUMIF(#REF!,종합_Ver2!$B70,#REF!)</f>
        <v>#REF!</v>
      </c>
      <c r="J70" s="15" t="e">
        <f>SUMIF(#REF!,종합_Ver2!$B70,#REF!)</f>
        <v>#REF!</v>
      </c>
      <c r="K70" s="16" t="e">
        <f>SUMIF(#REF!,종합_Ver2!$B70,#REF!)</f>
        <v>#REF!</v>
      </c>
      <c r="L70" s="17" t="e">
        <f>SUMIF(#REF!,종합_Ver2!$B70,#REF!)</f>
        <v>#REF!</v>
      </c>
      <c r="M70" s="1">
        <v>-112837500</v>
      </c>
    </row>
    <row r="71" spans="1:13">
      <c r="A71" s="2" t="s">
        <v>2</v>
      </c>
      <c r="B71" s="2" t="s">
        <v>3</v>
      </c>
      <c r="C71" s="5" t="e">
        <f t="shared" si="2"/>
        <v>#REF!</v>
      </c>
      <c r="D71" s="3" t="e">
        <f>SUMIF(#REF!,종합_Ver2!$B71,#REF!)</f>
        <v>#REF!</v>
      </c>
      <c r="E71" s="3" t="e">
        <f>SUMIF(#REF!,종합_Ver2!$B71,#REF!)</f>
        <v>#REF!</v>
      </c>
      <c r="F71" s="3" t="e">
        <f>SUMIF(#REF!,종합_Ver2!$B71,#REF!)</f>
        <v>#REF!</v>
      </c>
      <c r="G71" s="12" t="e">
        <f>SUMIF(#REF!,종합_Ver2!$B71,#REF!)</f>
        <v>#REF!</v>
      </c>
      <c r="H71" s="13" t="e">
        <f>SUMIF(#REF!,종합_Ver2!$B71,#REF!)</f>
        <v>#REF!</v>
      </c>
      <c r="I71" s="14" t="e">
        <f>SUMIF(#REF!,종합_Ver2!$B71,#REF!)</f>
        <v>#REF!</v>
      </c>
      <c r="J71" s="15" t="e">
        <f>SUMIF(#REF!,종합_Ver2!$B71,#REF!)</f>
        <v>#REF!</v>
      </c>
      <c r="K71" s="16" t="e">
        <f>SUMIF(#REF!,종합_Ver2!$B71,#REF!)</f>
        <v>#REF!</v>
      </c>
      <c r="L71" s="17" t="e">
        <f>SUMIF(#REF!,종합_Ver2!$B71,#REF!)</f>
        <v>#REF!</v>
      </c>
      <c r="M71" s="1">
        <v>-174980000</v>
      </c>
    </row>
    <row r="72" spans="1:13">
      <c r="A72" s="2" t="s">
        <v>228</v>
      </c>
      <c r="B72" s="2" t="s">
        <v>229</v>
      </c>
      <c r="C72" s="5" t="e">
        <f t="shared" si="2"/>
        <v>#REF!</v>
      </c>
      <c r="D72" s="3" t="e">
        <f>SUMIF(#REF!,종합_Ver2!$B72,#REF!)</f>
        <v>#REF!</v>
      </c>
      <c r="E72" s="3" t="e">
        <f>SUMIF(#REF!,종합_Ver2!$B72,#REF!)</f>
        <v>#REF!</v>
      </c>
      <c r="F72" s="3" t="e">
        <f>SUMIF(#REF!,종합_Ver2!$B72,#REF!)</f>
        <v>#REF!</v>
      </c>
      <c r="G72" s="12" t="e">
        <f>SUMIF(#REF!,종합_Ver2!$B72,#REF!)</f>
        <v>#REF!</v>
      </c>
      <c r="H72" s="13" t="e">
        <f>SUMIF(#REF!,종합_Ver2!$B72,#REF!)</f>
        <v>#REF!</v>
      </c>
      <c r="I72" s="14" t="e">
        <f>SUMIF(#REF!,종합_Ver2!$B72,#REF!)</f>
        <v>#REF!</v>
      </c>
      <c r="J72" s="15" t="e">
        <f>SUMIF(#REF!,종합_Ver2!$B72,#REF!)</f>
        <v>#REF!</v>
      </c>
      <c r="K72" s="16" t="e">
        <f>SUMIF(#REF!,종합_Ver2!$B72,#REF!)</f>
        <v>#REF!</v>
      </c>
      <c r="L72" s="17" t="e">
        <f>SUMIF(#REF!,종합_Ver2!$B72,#REF!)</f>
        <v>#REF!</v>
      </c>
      <c r="M72" s="1">
        <v>-232750000</v>
      </c>
    </row>
    <row r="73" spans="1:13">
      <c r="A73" s="2" t="s">
        <v>226</v>
      </c>
      <c r="B73" s="2" t="s">
        <v>227</v>
      </c>
      <c r="C73" s="5" t="e">
        <f t="shared" si="2"/>
        <v>#REF!</v>
      </c>
      <c r="D73" s="3" t="e">
        <f>SUMIF(#REF!,종합_Ver2!$B73,#REF!)</f>
        <v>#REF!</v>
      </c>
      <c r="E73" s="3" t="e">
        <f>SUMIF(#REF!,종합_Ver2!$B73,#REF!)</f>
        <v>#REF!</v>
      </c>
      <c r="F73" s="3" t="e">
        <f>SUMIF(#REF!,종합_Ver2!$B73,#REF!)</f>
        <v>#REF!</v>
      </c>
      <c r="G73" s="12" t="e">
        <f>SUMIF(#REF!,종합_Ver2!$B73,#REF!)</f>
        <v>#REF!</v>
      </c>
      <c r="H73" s="13" t="e">
        <f>SUMIF(#REF!,종합_Ver2!$B73,#REF!)</f>
        <v>#REF!</v>
      </c>
      <c r="I73" s="14" t="e">
        <f>SUMIF(#REF!,종합_Ver2!$B73,#REF!)</f>
        <v>#REF!</v>
      </c>
      <c r="J73" s="15" t="e">
        <f>SUMIF(#REF!,종합_Ver2!$B73,#REF!)</f>
        <v>#REF!</v>
      </c>
      <c r="K73" s="16" t="e">
        <f>SUMIF(#REF!,종합_Ver2!$B73,#REF!)</f>
        <v>#REF!</v>
      </c>
      <c r="L73" s="17" t="e">
        <f>SUMIF(#REF!,종합_Ver2!$B73,#REF!)</f>
        <v>#REF!</v>
      </c>
      <c r="M73" s="1">
        <v>-113109650</v>
      </c>
    </row>
    <row r="74" spans="1:13">
      <c r="A74" s="2" t="s">
        <v>220</v>
      </c>
      <c r="B74" s="2" t="s">
        <v>221</v>
      </c>
      <c r="C74" s="5" t="e">
        <f t="shared" si="2"/>
        <v>#REF!</v>
      </c>
      <c r="D74" s="3" t="e">
        <f>SUMIF(#REF!,종합_Ver2!$B74,#REF!)</f>
        <v>#REF!</v>
      </c>
      <c r="E74" s="3" t="e">
        <f>SUMIF(#REF!,종합_Ver2!$B74,#REF!)</f>
        <v>#REF!</v>
      </c>
      <c r="F74" s="3" t="e">
        <f>SUMIF(#REF!,종합_Ver2!$B74,#REF!)</f>
        <v>#REF!</v>
      </c>
      <c r="G74" s="12" t="e">
        <f>SUMIF(#REF!,종합_Ver2!$B74,#REF!)</f>
        <v>#REF!</v>
      </c>
      <c r="H74" s="13" t="e">
        <f>SUMIF(#REF!,종합_Ver2!$B74,#REF!)</f>
        <v>#REF!</v>
      </c>
      <c r="I74" s="14" t="e">
        <f>SUMIF(#REF!,종합_Ver2!$B74,#REF!)</f>
        <v>#REF!</v>
      </c>
      <c r="J74" s="15" t="e">
        <f>SUMIF(#REF!,종합_Ver2!$B74,#REF!)</f>
        <v>#REF!</v>
      </c>
      <c r="K74" s="16" t="e">
        <f>SUMIF(#REF!,종합_Ver2!$B74,#REF!)</f>
        <v>#REF!</v>
      </c>
      <c r="L74" s="17" t="e">
        <f>SUMIF(#REF!,종합_Ver2!$B74,#REF!)</f>
        <v>#REF!</v>
      </c>
      <c r="M74" s="1">
        <v>-49640000</v>
      </c>
    </row>
    <row r="75" spans="1:13">
      <c r="A75" s="2" t="s">
        <v>222</v>
      </c>
      <c r="B75" s="2" t="s">
        <v>223</v>
      </c>
      <c r="C75" s="5" t="e">
        <f t="shared" si="2"/>
        <v>#REF!</v>
      </c>
      <c r="D75" s="3" t="e">
        <f>SUMIF(#REF!,종합_Ver2!$B75,#REF!)</f>
        <v>#REF!</v>
      </c>
      <c r="E75" s="3" t="e">
        <f>SUMIF(#REF!,종합_Ver2!$B75,#REF!)</f>
        <v>#REF!</v>
      </c>
      <c r="F75" s="3" t="e">
        <f>SUMIF(#REF!,종합_Ver2!$B75,#REF!)</f>
        <v>#REF!</v>
      </c>
      <c r="G75" s="12" t="e">
        <f>SUMIF(#REF!,종합_Ver2!$B75,#REF!)</f>
        <v>#REF!</v>
      </c>
      <c r="H75" s="13" t="e">
        <f>SUMIF(#REF!,종합_Ver2!$B75,#REF!)</f>
        <v>#REF!</v>
      </c>
      <c r="I75" s="14" t="e">
        <f>SUMIF(#REF!,종합_Ver2!$B75,#REF!)</f>
        <v>#REF!</v>
      </c>
      <c r="J75" s="15" t="e">
        <f>SUMIF(#REF!,종합_Ver2!$B75,#REF!)</f>
        <v>#REF!</v>
      </c>
      <c r="K75" s="16" t="e">
        <f>SUMIF(#REF!,종합_Ver2!$B75,#REF!)</f>
        <v>#REF!</v>
      </c>
      <c r="L75" s="17" t="e">
        <f>SUMIF(#REF!,종합_Ver2!$B75,#REF!)</f>
        <v>#REF!</v>
      </c>
      <c r="M75" s="1">
        <v>-111500000</v>
      </c>
    </row>
    <row r="76" spans="1:13">
      <c r="A76" s="2" t="s">
        <v>224</v>
      </c>
      <c r="B76" s="2" t="s">
        <v>225</v>
      </c>
      <c r="C76" s="5" t="e">
        <f t="shared" si="2"/>
        <v>#REF!</v>
      </c>
      <c r="D76" s="3" t="e">
        <f>SUMIF(#REF!,종합_Ver2!$B76,#REF!)</f>
        <v>#REF!</v>
      </c>
      <c r="E76" s="3" t="e">
        <f>SUMIF(#REF!,종합_Ver2!$B76,#REF!)</f>
        <v>#REF!</v>
      </c>
      <c r="F76" s="3" t="e">
        <f>SUMIF(#REF!,종합_Ver2!$B76,#REF!)</f>
        <v>#REF!</v>
      </c>
      <c r="G76" s="12" t="e">
        <f>SUMIF(#REF!,종합_Ver2!$B76,#REF!)</f>
        <v>#REF!</v>
      </c>
      <c r="H76" s="13" t="e">
        <f>SUMIF(#REF!,종합_Ver2!$B76,#REF!)</f>
        <v>#REF!</v>
      </c>
      <c r="I76" s="14" t="e">
        <f>SUMIF(#REF!,종합_Ver2!$B76,#REF!)</f>
        <v>#REF!</v>
      </c>
      <c r="J76" s="15" t="e">
        <f>SUMIF(#REF!,종합_Ver2!$B76,#REF!)</f>
        <v>#REF!</v>
      </c>
      <c r="K76" s="16" t="e">
        <f>SUMIF(#REF!,종합_Ver2!$B76,#REF!)</f>
        <v>#REF!</v>
      </c>
      <c r="L76" s="17" t="e">
        <f>SUMIF(#REF!,종합_Ver2!$B76,#REF!)</f>
        <v>#REF!</v>
      </c>
      <c r="M76" s="1">
        <v>-41480100</v>
      </c>
    </row>
    <row r="77" spans="1:13">
      <c r="A77" s="2" t="s">
        <v>230</v>
      </c>
      <c r="B77" s="2" t="s">
        <v>231</v>
      </c>
      <c r="C77" s="5" t="e">
        <f t="shared" si="2"/>
        <v>#REF!</v>
      </c>
      <c r="D77" s="3" t="e">
        <f>SUMIF(#REF!,종합_Ver2!$B77,#REF!)</f>
        <v>#REF!</v>
      </c>
      <c r="E77" s="3" t="e">
        <f>SUMIF(#REF!,종합_Ver2!$B77,#REF!)</f>
        <v>#REF!</v>
      </c>
      <c r="F77" s="3" t="e">
        <f>SUMIF(#REF!,종합_Ver2!$B77,#REF!)</f>
        <v>#REF!</v>
      </c>
      <c r="G77" s="12" t="e">
        <f>SUMIF(#REF!,종합_Ver2!$B77,#REF!)</f>
        <v>#REF!</v>
      </c>
      <c r="H77" s="13" t="e">
        <f>SUMIF(#REF!,종합_Ver2!$B77,#REF!)</f>
        <v>#REF!</v>
      </c>
      <c r="I77" s="14" t="e">
        <f>SUMIF(#REF!,종합_Ver2!$B77,#REF!)</f>
        <v>#REF!</v>
      </c>
      <c r="J77" s="15" t="e">
        <f>SUMIF(#REF!,종합_Ver2!$B77,#REF!)</f>
        <v>#REF!</v>
      </c>
      <c r="K77" s="16" t="e">
        <f>SUMIF(#REF!,종합_Ver2!$B77,#REF!)</f>
        <v>#REF!</v>
      </c>
      <c r="L77" s="17" t="e">
        <f>SUMIF(#REF!,종합_Ver2!$B77,#REF!)</f>
        <v>#REF!</v>
      </c>
      <c r="M77" s="1">
        <v>-110979000</v>
      </c>
    </row>
    <row r="78" spans="1:13">
      <c r="A78" s="18" t="s">
        <v>109</v>
      </c>
      <c r="B78" s="18" t="s">
        <v>110</v>
      </c>
      <c r="C78" s="19" t="e">
        <f t="shared" si="2"/>
        <v>#REF!</v>
      </c>
      <c r="D78" s="3" t="e">
        <f>SUMIF(#REF!,종합_Ver2!$B78,#REF!)</f>
        <v>#REF!</v>
      </c>
      <c r="E78" s="20" t="e">
        <f>SUMIF(#REF!,종합_Ver2!$B78,#REF!)</f>
        <v>#REF!</v>
      </c>
      <c r="F78" s="26" t="e">
        <f>SUMIF(#REF!,종합_Ver2!$B78,#REF!)</f>
        <v>#REF!</v>
      </c>
      <c r="G78" s="12" t="e">
        <f>SUMIF(#REF!,종합_Ver2!$B78,#REF!)</f>
        <v>#REF!</v>
      </c>
      <c r="H78" s="21" t="e">
        <f>SUMIF(#REF!,종합_Ver2!$B78,#REF!)</f>
        <v>#REF!</v>
      </c>
      <c r="I78" s="22" t="e">
        <f>SUMIF(#REF!,종합_Ver2!$B78,#REF!)</f>
        <v>#REF!</v>
      </c>
      <c r="J78" s="23" t="e">
        <f>SUMIF(#REF!,종합_Ver2!$B78,#REF!)</f>
        <v>#REF!</v>
      </c>
      <c r="K78" s="24" t="e">
        <f>SUMIF(#REF!,종합_Ver2!$B78,#REF!)</f>
        <v>#REF!</v>
      </c>
      <c r="L78" s="25" t="e">
        <f>SUMIF(#REF!,종합_Ver2!$B78,#REF!)</f>
        <v>#REF!</v>
      </c>
      <c r="M78" s="1">
        <v>-62020000</v>
      </c>
    </row>
    <row r="79" spans="1:13">
      <c r="A79" s="4" t="s">
        <v>111</v>
      </c>
      <c r="B79" s="4" t="s">
        <v>112</v>
      </c>
      <c r="C79" s="5" t="e">
        <f t="shared" si="2"/>
        <v>#REF!</v>
      </c>
      <c r="D79" s="3" t="e">
        <f>SUMIF(#REF!,종합_Ver2!$B79,#REF!)</f>
        <v>#REF!</v>
      </c>
      <c r="E79" s="3" t="e">
        <f>SUMIF(#REF!,종합_Ver2!$B79,#REF!)</f>
        <v>#REF!</v>
      </c>
      <c r="F79" s="3" t="e">
        <f>SUMIF(#REF!,종합_Ver2!$B79,#REF!)</f>
        <v>#REF!</v>
      </c>
      <c r="G79" s="12" t="e">
        <f>SUMIF(#REF!,종합_Ver2!$B79,#REF!)</f>
        <v>#REF!</v>
      </c>
      <c r="H79" s="13" t="e">
        <f>SUMIF(#REF!,종합_Ver2!$B79,#REF!)</f>
        <v>#REF!</v>
      </c>
      <c r="I79" s="14" t="e">
        <f>SUMIF(#REF!,종합_Ver2!$B79,#REF!)</f>
        <v>#REF!</v>
      </c>
      <c r="J79" s="15" t="e">
        <f>SUMIF(#REF!,종합_Ver2!$B79,#REF!)</f>
        <v>#REF!</v>
      </c>
      <c r="K79" s="16" t="e">
        <f>SUMIF(#REF!,종합_Ver2!$B79,#REF!)</f>
        <v>#REF!</v>
      </c>
      <c r="L79" s="17" t="e">
        <f>SUMIF(#REF!,종합_Ver2!$B79,#REF!)</f>
        <v>#REF!</v>
      </c>
      <c r="M79" s="1">
        <v>-70743500</v>
      </c>
    </row>
    <row r="80" spans="1:13">
      <c r="A80" s="4" t="s">
        <v>113</v>
      </c>
      <c r="B80" s="4" t="s">
        <v>114</v>
      </c>
      <c r="C80" s="5" t="e">
        <f t="shared" si="2"/>
        <v>#REF!</v>
      </c>
      <c r="D80" s="3" t="e">
        <f>SUMIF(#REF!,종합_Ver2!$B80,#REF!)</f>
        <v>#REF!</v>
      </c>
      <c r="E80" s="3" t="e">
        <f>SUMIF(#REF!,종합_Ver2!$B80,#REF!)</f>
        <v>#REF!</v>
      </c>
      <c r="F80" s="3" t="e">
        <f>SUMIF(#REF!,종합_Ver2!$B80,#REF!)</f>
        <v>#REF!</v>
      </c>
      <c r="G80" s="12" t="e">
        <f>SUMIF(#REF!,종합_Ver2!$B80,#REF!)</f>
        <v>#REF!</v>
      </c>
      <c r="H80" s="13" t="e">
        <f>SUMIF(#REF!,종합_Ver2!$B80,#REF!)</f>
        <v>#REF!</v>
      </c>
      <c r="I80" s="14" t="e">
        <f>SUMIF(#REF!,종합_Ver2!$B80,#REF!)</f>
        <v>#REF!</v>
      </c>
      <c r="J80" s="15" t="e">
        <f>SUMIF(#REF!,종합_Ver2!$B80,#REF!)</f>
        <v>#REF!</v>
      </c>
      <c r="K80" s="16" t="e">
        <f>SUMIF(#REF!,종합_Ver2!$B80,#REF!)</f>
        <v>#REF!</v>
      </c>
      <c r="L80" s="17" t="e">
        <f>SUMIF(#REF!,종합_Ver2!$B80,#REF!)</f>
        <v>#REF!</v>
      </c>
      <c r="M80" s="1">
        <v>-165135000</v>
      </c>
    </row>
    <row r="81" spans="1:13">
      <c r="A81" s="4" t="s">
        <v>115</v>
      </c>
      <c r="B81" s="4" t="s">
        <v>116</v>
      </c>
      <c r="C81" s="5" t="e">
        <f t="shared" si="2"/>
        <v>#REF!</v>
      </c>
      <c r="D81" s="3" t="e">
        <f>SUMIF(#REF!,종합_Ver2!$B81,#REF!)</f>
        <v>#REF!</v>
      </c>
      <c r="E81" s="3" t="e">
        <f>SUMIF(#REF!,종합_Ver2!$B81,#REF!)</f>
        <v>#REF!</v>
      </c>
      <c r="F81" s="3" t="e">
        <f>SUMIF(#REF!,종합_Ver2!$B81,#REF!)</f>
        <v>#REF!</v>
      </c>
      <c r="G81" s="12" t="e">
        <f>SUMIF(#REF!,종합_Ver2!$B81,#REF!)</f>
        <v>#REF!</v>
      </c>
      <c r="H81" s="13" t="e">
        <f>SUMIF(#REF!,종합_Ver2!$B81,#REF!)</f>
        <v>#REF!</v>
      </c>
      <c r="I81" s="14" t="e">
        <f>SUMIF(#REF!,종합_Ver2!$B81,#REF!)</f>
        <v>#REF!</v>
      </c>
      <c r="J81" s="15" t="e">
        <f>SUMIF(#REF!,종합_Ver2!$B81,#REF!)</f>
        <v>#REF!</v>
      </c>
      <c r="K81" s="16" t="e">
        <f>SUMIF(#REF!,종합_Ver2!$B81,#REF!)</f>
        <v>#REF!</v>
      </c>
      <c r="L81" s="17" t="e">
        <f>SUMIF(#REF!,종합_Ver2!$B81,#REF!)</f>
        <v>#REF!</v>
      </c>
      <c r="M81" s="1">
        <v>-54718000</v>
      </c>
    </row>
    <row r="82" spans="1:13">
      <c r="A82" s="4" t="s">
        <v>117</v>
      </c>
      <c r="B82" s="4" t="s">
        <v>118</v>
      </c>
      <c r="C82" s="5" t="e">
        <f t="shared" si="2"/>
        <v>#REF!</v>
      </c>
      <c r="D82" s="3" t="e">
        <f>SUMIF(#REF!,종합_Ver2!$B82,#REF!)</f>
        <v>#REF!</v>
      </c>
      <c r="E82" s="3" t="e">
        <f>SUMIF(#REF!,종합_Ver2!$B82,#REF!)</f>
        <v>#REF!</v>
      </c>
      <c r="F82" s="3" t="e">
        <f>SUMIF(#REF!,종합_Ver2!$B82,#REF!)</f>
        <v>#REF!</v>
      </c>
      <c r="G82" s="12" t="e">
        <f>SUMIF(#REF!,종합_Ver2!$B82,#REF!)</f>
        <v>#REF!</v>
      </c>
      <c r="H82" s="13" t="e">
        <f>SUMIF(#REF!,종합_Ver2!$B82,#REF!)</f>
        <v>#REF!</v>
      </c>
      <c r="I82" s="14" t="e">
        <f>SUMIF(#REF!,종합_Ver2!$B82,#REF!)</f>
        <v>#REF!</v>
      </c>
      <c r="J82" s="15" t="e">
        <f>SUMIF(#REF!,종합_Ver2!$B82,#REF!)</f>
        <v>#REF!</v>
      </c>
      <c r="K82" s="16" t="e">
        <f>SUMIF(#REF!,종합_Ver2!$B82,#REF!)</f>
        <v>#REF!</v>
      </c>
      <c r="L82" s="17" t="e">
        <f>SUMIF(#REF!,종합_Ver2!$B82,#REF!)</f>
        <v>#REF!</v>
      </c>
      <c r="M82" s="1">
        <v>-217750000</v>
      </c>
    </row>
    <row r="83" spans="1:13">
      <c r="A83" s="2" t="s">
        <v>119</v>
      </c>
      <c r="B83" s="2" t="s">
        <v>120</v>
      </c>
      <c r="C83" s="5" t="e">
        <f t="shared" si="2"/>
        <v>#REF!</v>
      </c>
      <c r="D83" s="3" t="e">
        <f>SUMIF(#REF!,종합_Ver2!$B83,#REF!)</f>
        <v>#REF!</v>
      </c>
      <c r="E83" s="3" t="e">
        <f>SUMIF(#REF!,종합_Ver2!$B83,#REF!)</f>
        <v>#REF!</v>
      </c>
      <c r="F83" s="3" t="e">
        <f>SUMIF(#REF!,종합_Ver2!$B83,#REF!)</f>
        <v>#REF!</v>
      </c>
      <c r="G83" s="12" t="e">
        <f>SUMIF(#REF!,종합_Ver2!$B83,#REF!)</f>
        <v>#REF!</v>
      </c>
      <c r="H83" s="13" t="e">
        <f>SUMIF(#REF!,종합_Ver2!$B83,#REF!)</f>
        <v>#REF!</v>
      </c>
      <c r="I83" s="14" t="e">
        <f>SUMIF(#REF!,종합_Ver2!$B83,#REF!)</f>
        <v>#REF!</v>
      </c>
      <c r="J83" s="15" t="e">
        <f>SUMIF(#REF!,종합_Ver2!$B83,#REF!)</f>
        <v>#REF!</v>
      </c>
      <c r="K83" s="16" t="e">
        <f>SUMIF(#REF!,종합_Ver2!$B83,#REF!)</f>
        <v>#REF!</v>
      </c>
      <c r="L83" s="17" t="e">
        <f>SUMIF(#REF!,종합_Ver2!$B83,#REF!)</f>
        <v>#REF!</v>
      </c>
      <c r="M83" s="1">
        <v>-120120000</v>
      </c>
    </row>
    <row r="84" spans="1:13">
      <c r="A84" s="2" t="s">
        <v>121</v>
      </c>
      <c r="B84" s="2" t="s">
        <v>122</v>
      </c>
      <c r="C84" s="5" t="e">
        <f t="shared" si="2"/>
        <v>#REF!</v>
      </c>
      <c r="D84" s="3" t="e">
        <f>SUMIF(#REF!,종합_Ver2!$B84,#REF!)</f>
        <v>#REF!</v>
      </c>
      <c r="E84" s="3" t="e">
        <f>SUMIF(#REF!,종합_Ver2!$B84,#REF!)</f>
        <v>#REF!</v>
      </c>
      <c r="F84" s="3" t="e">
        <f>SUMIF(#REF!,종합_Ver2!$B84,#REF!)</f>
        <v>#REF!</v>
      </c>
      <c r="G84" s="12" t="e">
        <f>SUMIF(#REF!,종합_Ver2!$B84,#REF!)</f>
        <v>#REF!</v>
      </c>
      <c r="H84" s="13" t="e">
        <f>SUMIF(#REF!,종합_Ver2!$B84,#REF!)</f>
        <v>#REF!</v>
      </c>
      <c r="I84" s="14" t="e">
        <f>SUMIF(#REF!,종합_Ver2!$B84,#REF!)</f>
        <v>#REF!</v>
      </c>
      <c r="J84" s="15" t="e">
        <f>SUMIF(#REF!,종합_Ver2!$B84,#REF!)</f>
        <v>#REF!</v>
      </c>
      <c r="K84" s="16" t="e">
        <f>SUMIF(#REF!,종합_Ver2!$B84,#REF!)</f>
        <v>#REF!</v>
      </c>
      <c r="L84" s="17" t="e">
        <f>SUMIF(#REF!,종합_Ver2!$B84,#REF!)</f>
        <v>#REF!</v>
      </c>
      <c r="M84" s="1">
        <v>-87952000</v>
      </c>
    </row>
    <row r="85" spans="1:13">
      <c r="A85" s="2" t="s">
        <v>123</v>
      </c>
      <c r="B85" s="2" t="s">
        <v>124</v>
      </c>
      <c r="C85" s="5" t="e">
        <f t="shared" si="2"/>
        <v>#REF!</v>
      </c>
      <c r="D85" s="3" t="e">
        <f>SUMIF(#REF!,종합_Ver2!$B85,#REF!)</f>
        <v>#REF!</v>
      </c>
      <c r="E85" s="3" t="e">
        <f>SUMIF(#REF!,종합_Ver2!$B85,#REF!)</f>
        <v>#REF!</v>
      </c>
      <c r="F85" s="3" t="e">
        <f>SUMIF(#REF!,종합_Ver2!$B85,#REF!)</f>
        <v>#REF!</v>
      </c>
      <c r="G85" s="12" t="e">
        <f>SUMIF(#REF!,종합_Ver2!$B85,#REF!)</f>
        <v>#REF!</v>
      </c>
      <c r="H85" s="13" t="e">
        <f>SUMIF(#REF!,종합_Ver2!$B85,#REF!)</f>
        <v>#REF!</v>
      </c>
      <c r="I85" s="14" t="e">
        <f>SUMIF(#REF!,종합_Ver2!$B85,#REF!)</f>
        <v>#REF!</v>
      </c>
      <c r="J85" s="15" t="e">
        <f>SUMIF(#REF!,종합_Ver2!$B85,#REF!)</f>
        <v>#REF!</v>
      </c>
      <c r="K85" s="16" t="e">
        <f>SUMIF(#REF!,종합_Ver2!$B85,#REF!)</f>
        <v>#REF!</v>
      </c>
      <c r="L85" s="17" t="e">
        <f>SUMIF(#REF!,종합_Ver2!$B85,#REF!)</f>
        <v>#REF!</v>
      </c>
      <c r="M85" s="1">
        <v>-37500000</v>
      </c>
    </row>
    <row r="86" spans="1:13">
      <c r="A86" s="2" t="s">
        <v>125</v>
      </c>
      <c r="B86" s="2" t="s">
        <v>126</v>
      </c>
      <c r="C86" s="5" t="e">
        <f t="shared" si="2"/>
        <v>#REF!</v>
      </c>
      <c r="D86" s="3" t="e">
        <f>SUMIF(#REF!,종합_Ver2!$B86,#REF!)</f>
        <v>#REF!</v>
      </c>
      <c r="E86" s="3" t="e">
        <f>SUMIF(#REF!,종합_Ver2!$B86,#REF!)</f>
        <v>#REF!</v>
      </c>
      <c r="F86" s="3" t="e">
        <f>SUMIF(#REF!,종합_Ver2!$B86,#REF!)</f>
        <v>#REF!</v>
      </c>
      <c r="G86" s="12" t="e">
        <f>SUMIF(#REF!,종합_Ver2!$B86,#REF!)</f>
        <v>#REF!</v>
      </c>
      <c r="H86" s="13" t="e">
        <f>SUMIF(#REF!,종합_Ver2!$B86,#REF!)</f>
        <v>#REF!</v>
      </c>
      <c r="I86" s="14" t="e">
        <f>SUMIF(#REF!,종합_Ver2!$B86,#REF!)</f>
        <v>#REF!</v>
      </c>
      <c r="J86" s="15" t="e">
        <f>SUMIF(#REF!,종합_Ver2!$B86,#REF!)</f>
        <v>#REF!</v>
      </c>
      <c r="K86" s="16" t="e">
        <f>SUMIF(#REF!,종합_Ver2!$B86,#REF!)</f>
        <v>#REF!</v>
      </c>
      <c r="L86" s="17" t="e">
        <f>SUMIF(#REF!,종합_Ver2!$B86,#REF!)</f>
        <v>#REF!</v>
      </c>
      <c r="M86" s="1">
        <v>-55200000</v>
      </c>
    </row>
    <row r="87" spans="1:13">
      <c r="A87" s="2" t="s">
        <v>127</v>
      </c>
      <c r="B87" s="2" t="s">
        <v>128</v>
      </c>
      <c r="C87" s="5" t="e">
        <f t="shared" si="2"/>
        <v>#REF!</v>
      </c>
      <c r="D87" s="3" t="e">
        <f>SUMIF(#REF!,종합_Ver2!$B87,#REF!)</f>
        <v>#REF!</v>
      </c>
      <c r="E87" s="3" t="e">
        <f>SUMIF(#REF!,종합_Ver2!$B87,#REF!)</f>
        <v>#REF!</v>
      </c>
      <c r="F87" s="3" t="e">
        <f>SUMIF(#REF!,종합_Ver2!$B87,#REF!)</f>
        <v>#REF!</v>
      </c>
      <c r="G87" s="12" t="e">
        <f>SUMIF(#REF!,종합_Ver2!$B87,#REF!)</f>
        <v>#REF!</v>
      </c>
      <c r="H87" s="13" t="e">
        <f>SUMIF(#REF!,종합_Ver2!$B87,#REF!)</f>
        <v>#REF!</v>
      </c>
      <c r="I87" s="14" t="e">
        <f>SUMIF(#REF!,종합_Ver2!$B87,#REF!)</f>
        <v>#REF!</v>
      </c>
      <c r="J87" s="15" t="e">
        <f>SUMIF(#REF!,종합_Ver2!$B87,#REF!)</f>
        <v>#REF!</v>
      </c>
      <c r="K87" s="16" t="e">
        <f>SUMIF(#REF!,종합_Ver2!$B87,#REF!)</f>
        <v>#REF!</v>
      </c>
      <c r="L87" s="17" t="e">
        <f>SUMIF(#REF!,종합_Ver2!$B87,#REF!)</f>
        <v>#REF!</v>
      </c>
      <c r="M87" s="1">
        <v>-114296000</v>
      </c>
    </row>
    <row r="88" spans="1:13">
      <c r="A88" s="2" t="s">
        <v>129</v>
      </c>
      <c r="B88" s="2" t="s">
        <v>130</v>
      </c>
      <c r="C88" s="5" t="e">
        <f t="shared" si="2"/>
        <v>#REF!</v>
      </c>
      <c r="D88" s="3" t="e">
        <f>SUMIF(#REF!,종합_Ver2!$B88,#REF!)</f>
        <v>#REF!</v>
      </c>
      <c r="E88" s="3" t="e">
        <f>SUMIF(#REF!,종합_Ver2!$B88,#REF!)</f>
        <v>#REF!</v>
      </c>
      <c r="F88" s="3" t="e">
        <f>SUMIF(#REF!,종합_Ver2!$B88,#REF!)</f>
        <v>#REF!</v>
      </c>
      <c r="G88" s="12" t="e">
        <f>SUMIF(#REF!,종합_Ver2!$B88,#REF!)</f>
        <v>#REF!</v>
      </c>
      <c r="H88" s="13" t="e">
        <f>SUMIF(#REF!,종합_Ver2!$B88,#REF!)</f>
        <v>#REF!</v>
      </c>
      <c r="I88" s="14" t="e">
        <f>SUMIF(#REF!,종합_Ver2!$B88,#REF!)</f>
        <v>#REF!</v>
      </c>
      <c r="J88" s="15" t="e">
        <f>SUMIF(#REF!,종합_Ver2!$B88,#REF!)</f>
        <v>#REF!</v>
      </c>
      <c r="K88" s="16" t="e">
        <f>SUMIF(#REF!,종합_Ver2!$B88,#REF!)</f>
        <v>#REF!</v>
      </c>
      <c r="L88" s="17" t="e">
        <f>SUMIF(#REF!,종합_Ver2!$B88,#REF!)</f>
        <v>#REF!</v>
      </c>
      <c r="M88" s="1">
        <v>-196364500</v>
      </c>
    </row>
    <row r="89" spans="1:13">
      <c r="A89" s="2" t="s">
        <v>131</v>
      </c>
      <c r="B89" s="2" t="s">
        <v>132</v>
      </c>
      <c r="C89" s="5" t="e">
        <f t="shared" si="2"/>
        <v>#REF!</v>
      </c>
      <c r="D89" s="3" t="e">
        <f>SUMIF(#REF!,종합_Ver2!$B89,#REF!)</f>
        <v>#REF!</v>
      </c>
      <c r="E89" s="3" t="e">
        <f>SUMIF(#REF!,종합_Ver2!$B89,#REF!)</f>
        <v>#REF!</v>
      </c>
      <c r="F89" s="3" t="e">
        <f>SUMIF(#REF!,종합_Ver2!$B89,#REF!)</f>
        <v>#REF!</v>
      </c>
      <c r="G89" s="12" t="e">
        <f>SUMIF(#REF!,종합_Ver2!$B89,#REF!)</f>
        <v>#REF!</v>
      </c>
      <c r="H89" s="13" t="e">
        <f>SUMIF(#REF!,종합_Ver2!$B89,#REF!)</f>
        <v>#REF!</v>
      </c>
      <c r="I89" s="14" t="e">
        <f>SUMIF(#REF!,종합_Ver2!$B89,#REF!)</f>
        <v>#REF!</v>
      </c>
      <c r="J89" s="15" t="e">
        <f>SUMIF(#REF!,종합_Ver2!$B89,#REF!)</f>
        <v>#REF!</v>
      </c>
      <c r="K89" s="16" t="e">
        <f>SUMIF(#REF!,종합_Ver2!$B89,#REF!)</f>
        <v>#REF!</v>
      </c>
      <c r="L89" s="17" t="e">
        <f>SUMIF(#REF!,종합_Ver2!$B89,#REF!)</f>
        <v>#REF!</v>
      </c>
      <c r="M89" s="1">
        <v>-102400000</v>
      </c>
    </row>
    <row r="90" spans="1:13">
      <c r="A90" s="2" t="s">
        <v>133</v>
      </c>
      <c r="B90" s="2" t="s">
        <v>134</v>
      </c>
      <c r="C90" s="5" t="e">
        <f t="shared" si="2"/>
        <v>#REF!</v>
      </c>
      <c r="D90" s="3" t="e">
        <f>SUMIF(#REF!,종합_Ver2!$B90,#REF!)</f>
        <v>#REF!</v>
      </c>
      <c r="E90" s="3" t="e">
        <f>SUMIF(#REF!,종합_Ver2!$B90,#REF!)</f>
        <v>#REF!</v>
      </c>
      <c r="F90" s="3" t="e">
        <f>SUMIF(#REF!,종합_Ver2!$B90,#REF!)</f>
        <v>#REF!</v>
      </c>
      <c r="G90" s="12" t="e">
        <f>SUMIF(#REF!,종합_Ver2!$B90,#REF!)</f>
        <v>#REF!</v>
      </c>
      <c r="H90" s="13" t="e">
        <f>SUMIF(#REF!,종합_Ver2!$B90,#REF!)</f>
        <v>#REF!</v>
      </c>
      <c r="I90" s="14" t="e">
        <f>SUMIF(#REF!,종합_Ver2!$B90,#REF!)</f>
        <v>#REF!</v>
      </c>
      <c r="J90" s="15" t="e">
        <f>SUMIF(#REF!,종합_Ver2!$B90,#REF!)</f>
        <v>#REF!</v>
      </c>
      <c r="K90" s="16" t="e">
        <f>SUMIF(#REF!,종합_Ver2!$B90,#REF!)</f>
        <v>#REF!</v>
      </c>
      <c r="L90" s="17" t="e">
        <f>SUMIF(#REF!,종합_Ver2!$B90,#REF!)</f>
        <v>#REF!</v>
      </c>
      <c r="M90" s="1">
        <v>-72030000</v>
      </c>
    </row>
    <row r="91" spans="1:13">
      <c r="A91" s="2" t="s">
        <v>135</v>
      </c>
      <c r="B91" s="2" t="s">
        <v>136</v>
      </c>
      <c r="C91" s="5" t="e">
        <f t="shared" si="2"/>
        <v>#REF!</v>
      </c>
      <c r="D91" s="3" t="e">
        <f>SUMIF(#REF!,종합_Ver2!$B91,#REF!)</f>
        <v>#REF!</v>
      </c>
      <c r="E91" s="3" t="e">
        <f>SUMIF(#REF!,종합_Ver2!$B91,#REF!)</f>
        <v>#REF!</v>
      </c>
      <c r="F91" s="3" t="e">
        <f>SUMIF(#REF!,종합_Ver2!$B91,#REF!)</f>
        <v>#REF!</v>
      </c>
      <c r="G91" s="12" t="e">
        <f>SUMIF(#REF!,종합_Ver2!$B91,#REF!)</f>
        <v>#REF!</v>
      </c>
      <c r="H91" s="13" t="e">
        <f>SUMIF(#REF!,종합_Ver2!$B91,#REF!)</f>
        <v>#REF!</v>
      </c>
      <c r="I91" s="14" t="e">
        <f>SUMIF(#REF!,종합_Ver2!$B91,#REF!)</f>
        <v>#REF!</v>
      </c>
      <c r="J91" s="15" t="e">
        <f>SUMIF(#REF!,종합_Ver2!$B91,#REF!)</f>
        <v>#REF!</v>
      </c>
      <c r="K91" s="16" t="e">
        <f>SUMIF(#REF!,종합_Ver2!$B91,#REF!)</f>
        <v>#REF!</v>
      </c>
      <c r="L91" s="17" t="e">
        <f>SUMIF(#REF!,종합_Ver2!$B91,#REF!)</f>
        <v>#REF!</v>
      </c>
      <c r="M91" s="1">
        <v>-118371000</v>
      </c>
    </row>
    <row r="92" spans="1:13">
      <c r="A92" s="2" t="s">
        <v>238</v>
      </c>
      <c r="B92" s="2" t="s">
        <v>239</v>
      </c>
      <c r="C92" s="5" t="e">
        <f t="shared" si="2"/>
        <v>#REF!</v>
      </c>
      <c r="D92" s="3" t="e">
        <f>SUMIF(#REF!,종합_Ver2!$B92,#REF!)</f>
        <v>#REF!</v>
      </c>
      <c r="E92" s="3" t="e">
        <f>SUMIF(#REF!,종합_Ver2!$B92,#REF!)</f>
        <v>#REF!</v>
      </c>
      <c r="F92" s="3" t="e">
        <f>SUMIF(#REF!,종합_Ver2!$B92,#REF!)</f>
        <v>#REF!</v>
      </c>
      <c r="G92" s="12" t="e">
        <f>SUMIF(#REF!,종합_Ver2!$B92,#REF!)</f>
        <v>#REF!</v>
      </c>
      <c r="H92" s="13" t="e">
        <f>SUMIF(#REF!,종합_Ver2!$B92,#REF!)</f>
        <v>#REF!</v>
      </c>
      <c r="I92" s="14" t="e">
        <f>SUMIF(#REF!,종합_Ver2!$B92,#REF!)</f>
        <v>#REF!</v>
      </c>
      <c r="J92" s="15" t="e">
        <f>SUMIF(#REF!,종합_Ver2!$B92,#REF!)</f>
        <v>#REF!</v>
      </c>
      <c r="K92" s="16" t="e">
        <f>SUMIF(#REF!,종합_Ver2!$B92,#REF!)</f>
        <v>#REF!</v>
      </c>
      <c r="L92" s="17" t="e">
        <f>SUMIF(#REF!,종합_Ver2!$B92,#REF!)</f>
        <v>#REF!</v>
      </c>
      <c r="M92" s="1">
        <v>-115500000</v>
      </c>
    </row>
    <row r="93" spans="1:13">
      <c r="A93" s="2" t="s">
        <v>189</v>
      </c>
      <c r="B93" s="2" t="s">
        <v>190</v>
      </c>
      <c r="C93" s="5" t="e">
        <f t="shared" si="2"/>
        <v>#REF!</v>
      </c>
      <c r="D93" s="3" t="e">
        <f>SUMIF(#REF!,종합_Ver2!$B93,#REF!)</f>
        <v>#REF!</v>
      </c>
      <c r="E93" s="3" t="e">
        <f>SUMIF(#REF!,종합_Ver2!$B93,#REF!)</f>
        <v>#REF!</v>
      </c>
      <c r="F93" s="3" t="e">
        <f>SUMIF(#REF!,종합_Ver2!$B93,#REF!)</f>
        <v>#REF!</v>
      </c>
      <c r="G93" s="12" t="e">
        <f>SUMIF(#REF!,종합_Ver2!$B93,#REF!)</f>
        <v>#REF!</v>
      </c>
      <c r="H93" s="13" t="e">
        <f>SUMIF(#REF!,종합_Ver2!$B93,#REF!)</f>
        <v>#REF!</v>
      </c>
      <c r="I93" s="14" t="e">
        <f>SUMIF(#REF!,종합_Ver2!$B93,#REF!)</f>
        <v>#REF!</v>
      </c>
      <c r="J93" s="15" t="e">
        <f>SUMIF(#REF!,종합_Ver2!$B93,#REF!)</f>
        <v>#REF!</v>
      </c>
      <c r="K93" s="16" t="e">
        <f>SUMIF(#REF!,종합_Ver2!$B93,#REF!)</f>
        <v>#REF!</v>
      </c>
      <c r="L93" s="17" t="e">
        <f>SUMIF(#REF!,종합_Ver2!$B93,#REF!)</f>
        <v>#REF!</v>
      </c>
      <c r="M93" s="1">
        <v>-74480000</v>
      </c>
    </row>
    <row r="94" spans="1:13">
      <c r="A94" s="2" t="s">
        <v>137</v>
      </c>
      <c r="B94" s="2" t="s">
        <v>138</v>
      </c>
      <c r="C94" s="5" t="e">
        <f t="shared" si="2"/>
        <v>#REF!</v>
      </c>
      <c r="D94" s="3" t="e">
        <f>SUMIF(#REF!,종합_Ver2!$B94,#REF!)</f>
        <v>#REF!</v>
      </c>
      <c r="E94" s="3" t="e">
        <f>SUMIF(#REF!,종합_Ver2!$B94,#REF!)</f>
        <v>#REF!</v>
      </c>
      <c r="F94" s="3" t="e">
        <f>SUMIF(#REF!,종합_Ver2!$B94,#REF!)</f>
        <v>#REF!</v>
      </c>
      <c r="G94" s="12" t="e">
        <f>SUMIF(#REF!,종합_Ver2!$B94,#REF!)</f>
        <v>#REF!</v>
      </c>
      <c r="H94" s="13" t="e">
        <f>SUMIF(#REF!,종합_Ver2!$B94,#REF!)</f>
        <v>#REF!</v>
      </c>
      <c r="I94" s="14" t="e">
        <f>SUMIF(#REF!,종합_Ver2!$B94,#REF!)</f>
        <v>#REF!</v>
      </c>
      <c r="J94" s="15" t="e">
        <f>SUMIF(#REF!,종합_Ver2!$B94,#REF!)</f>
        <v>#REF!</v>
      </c>
      <c r="K94" s="16" t="e">
        <f>SUMIF(#REF!,종합_Ver2!$B94,#REF!)</f>
        <v>#REF!</v>
      </c>
      <c r="L94" s="17" t="e">
        <f>SUMIF(#REF!,종합_Ver2!$B94,#REF!)</f>
        <v>#REF!</v>
      </c>
      <c r="M94" s="1">
        <v>-75600000</v>
      </c>
    </row>
    <row r="95" spans="1:13">
      <c r="A95" s="2" t="s">
        <v>139</v>
      </c>
      <c r="B95" s="2" t="s">
        <v>140</v>
      </c>
      <c r="C95" s="5" t="e">
        <f t="shared" si="2"/>
        <v>#REF!</v>
      </c>
      <c r="D95" s="3" t="e">
        <f>SUMIF(#REF!,종합_Ver2!$B95,#REF!)</f>
        <v>#REF!</v>
      </c>
      <c r="E95" s="3" t="e">
        <f>SUMIF(#REF!,종합_Ver2!$B95,#REF!)</f>
        <v>#REF!</v>
      </c>
      <c r="F95" s="3" t="e">
        <f>SUMIF(#REF!,종합_Ver2!$B95,#REF!)</f>
        <v>#REF!</v>
      </c>
      <c r="G95" s="12" t="e">
        <f>SUMIF(#REF!,종합_Ver2!$B95,#REF!)</f>
        <v>#REF!</v>
      </c>
      <c r="H95" s="13" t="e">
        <f>SUMIF(#REF!,종합_Ver2!$B95,#REF!)</f>
        <v>#REF!</v>
      </c>
      <c r="I95" s="14" t="e">
        <f>SUMIF(#REF!,종합_Ver2!$B95,#REF!)</f>
        <v>#REF!</v>
      </c>
      <c r="J95" s="15" t="e">
        <f>SUMIF(#REF!,종합_Ver2!$B95,#REF!)</f>
        <v>#REF!</v>
      </c>
      <c r="K95" s="16" t="e">
        <f>SUMIF(#REF!,종합_Ver2!$B95,#REF!)</f>
        <v>#REF!</v>
      </c>
      <c r="L95" s="17" t="e">
        <f>SUMIF(#REF!,종합_Ver2!$B95,#REF!)</f>
        <v>#REF!</v>
      </c>
      <c r="M95" s="1">
        <v>-83276000</v>
      </c>
    </row>
    <row r="96" spans="1:13">
      <c r="A96" s="2" t="s">
        <v>141</v>
      </c>
      <c r="B96" s="2" t="s">
        <v>142</v>
      </c>
      <c r="C96" s="5" t="e">
        <f t="shared" si="2"/>
        <v>#REF!</v>
      </c>
      <c r="D96" s="3" t="e">
        <f>SUMIF(#REF!,종합_Ver2!$B96,#REF!)</f>
        <v>#REF!</v>
      </c>
      <c r="E96" s="3" t="e">
        <f>SUMIF(#REF!,종합_Ver2!$B96,#REF!)</f>
        <v>#REF!</v>
      </c>
      <c r="F96" s="3" t="e">
        <f>SUMIF(#REF!,종합_Ver2!$B96,#REF!)</f>
        <v>#REF!</v>
      </c>
      <c r="G96" s="12" t="e">
        <f>SUMIF(#REF!,종합_Ver2!$B96,#REF!)</f>
        <v>#REF!</v>
      </c>
      <c r="H96" s="13" t="e">
        <f>SUMIF(#REF!,종합_Ver2!$B96,#REF!)</f>
        <v>#REF!</v>
      </c>
      <c r="I96" s="14" t="e">
        <f>SUMIF(#REF!,종합_Ver2!$B96,#REF!)</f>
        <v>#REF!</v>
      </c>
      <c r="J96" s="15" t="e">
        <f>SUMIF(#REF!,종합_Ver2!$B96,#REF!)</f>
        <v>#REF!</v>
      </c>
      <c r="K96" s="16" t="e">
        <f>SUMIF(#REF!,종합_Ver2!$B96,#REF!)</f>
        <v>#REF!</v>
      </c>
      <c r="L96" s="17" t="e">
        <f>SUMIF(#REF!,종합_Ver2!$B96,#REF!)</f>
        <v>#REF!</v>
      </c>
      <c r="M96" s="1">
        <v>-74370000</v>
      </c>
    </row>
    <row r="97" spans="1:13">
      <c r="A97" s="2" t="s">
        <v>143</v>
      </c>
      <c r="B97" s="2" t="s">
        <v>144</v>
      </c>
      <c r="C97" s="5" t="e">
        <f t="shared" si="2"/>
        <v>#REF!</v>
      </c>
      <c r="D97" s="3" t="e">
        <f>SUMIF(#REF!,종합_Ver2!$B97,#REF!)</f>
        <v>#REF!</v>
      </c>
      <c r="E97" s="3" t="e">
        <f>SUMIF(#REF!,종합_Ver2!$B97,#REF!)</f>
        <v>#REF!</v>
      </c>
      <c r="F97" s="3" t="e">
        <f>SUMIF(#REF!,종합_Ver2!$B97,#REF!)</f>
        <v>#REF!</v>
      </c>
      <c r="G97" s="12" t="e">
        <f>SUMIF(#REF!,종합_Ver2!$B97,#REF!)</f>
        <v>#REF!</v>
      </c>
      <c r="H97" s="13" t="e">
        <f>SUMIF(#REF!,종합_Ver2!$B97,#REF!)</f>
        <v>#REF!</v>
      </c>
      <c r="I97" s="14" t="e">
        <f>SUMIF(#REF!,종합_Ver2!$B97,#REF!)</f>
        <v>#REF!</v>
      </c>
      <c r="J97" s="15" t="e">
        <f>SUMIF(#REF!,종합_Ver2!$B97,#REF!)</f>
        <v>#REF!</v>
      </c>
      <c r="K97" s="16" t="e">
        <f>SUMIF(#REF!,종합_Ver2!$B97,#REF!)</f>
        <v>#REF!</v>
      </c>
      <c r="L97" s="17" t="e">
        <f>SUMIF(#REF!,종합_Ver2!$B97,#REF!)</f>
        <v>#REF!</v>
      </c>
      <c r="M97" s="1">
        <v>-124800000</v>
      </c>
    </row>
    <row r="98" spans="1:13">
      <c r="A98" s="2" t="s">
        <v>145</v>
      </c>
      <c r="B98" s="2" t="s">
        <v>146</v>
      </c>
      <c r="C98" s="5" t="e">
        <f t="shared" si="2"/>
        <v>#REF!</v>
      </c>
      <c r="D98" s="3" t="e">
        <f>SUMIF(#REF!,종합_Ver2!$B98,#REF!)</f>
        <v>#REF!</v>
      </c>
      <c r="E98" s="3" t="e">
        <f>SUMIF(#REF!,종합_Ver2!$B98,#REF!)</f>
        <v>#REF!</v>
      </c>
      <c r="F98" s="3" t="e">
        <f>SUMIF(#REF!,종합_Ver2!$B98,#REF!)</f>
        <v>#REF!</v>
      </c>
      <c r="G98" s="12" t="e">
        <f>SUMIF(#REF!,종합_Ver2!$B98,#REF!)</f>
        <v>#REF!</v>
      </c>
      <c r="H98" s="13" t="e">
        <f>SUMIF(#REF!,종합_Ver2!$B98,#REF!)</f>
        <v>#REF!</v>
      </c>
      <c r="I98" s="14" t="e">
        <f>SUMIF(#REF!,종합_Ver2!$B98,#REF!)</f>
        <v>#REF!</v>
      </c>
      <c r="J98" s="15" t="e">
        <f>SUMIF(#REF!,종합_Ver2!$B98,#REF!)</f>
        <v>#REF!</v>
      </c>
      <c r="K98" s="16" t="e">
        <f>SUMIF(#REF!,종합_Ver2!$B98,#REF!)</f>
        <v>#REF!</v>
      </c>
      <c r="L98" s="17" t="e">
        <f>SUMIF(#REF!,종합_Ver2!$B98,#REF!)</f>
        <v>#REF!</v>
      </c>
      <c r="M98" s="1">
        <v>-115670000</v>
      </c>
    </row>
    <row r="99" spans="1:13">
      <c r="A99" s="2" t="s">
        <v>147</v>
      </c>
      <c r="B99" s="2" t="s">
        <v>148</v>
      </c>
      <c r="C99" s="5" t="e">
        <f t="shared" si="2"/>
        <v>#REF!</v>
      </c>
      <c r="D99" s="3" t="e">
        <f>SUMIF(#REF!,종합_Ver2!$B99,#REF!)</f>
        <v>#REF!</v>
      </c>
      <c r="E99" s="3" t="e">
        <f>SUMIF(#REF!,종합_Ver2!$B99,#REF!)</f>
        <v>#REF!</v>
      </c>
      <c r="F99" s="3" t="e">
        <f>SUMIF(#REF!,종합_Ver2!$B99,#REF!)</f>
        <v>#REF!</v>
      </c>
      <c r="G99" s="12" t="e">
        <f>SUMIF(#REF!,종합_Ver2!$B99,#REF!)</f>
        <v>#REF!</v>
      </c>
      <c r="H99" s="13" t="e">
        <f>SUMIF(#REF!,종합_Ver2!$B99,#REF!)</f>
        <v>#REF!</v>
      </c>
      <c r="I99" s="14" t="e">
        <f>SUMIF(#REF!,종합_Ver2!$B99,#REF!)</f>
        <v>#REF!</v>
      </c>
      <c r="J99" s="15" t="e">
        <f>SUMIF(#REF!,종합_Ver2!$B99,#REF!)</f>
        <v>#REF!</v>
      </c>
      <c r="K99" s="16" t="e">
        <f>SUMIF(#REF!,종합_Ver2!$B99,#REF!)</f>
        <v>#REF!</v>
      </c>
      <c r="L99" s="17" t="e">
        <f>SUMIF(#REF!,종합_Ver2!$B99,#REF!)</f>
        <v>#REF!</v>
      </c>
      <c r="M99" s="1">
        <v>-88900000</v>
      </c>
    </row>
    <row r="100" spans="1:13">
      <c r="A100" s="2" t="s">
        <v>149</v>
      </c>
      <c r="B100" s="2" t="s">
        <v>150</v>
      </c>
      <c r="C100" s="5" t="e">
        <f t="shared" si="2"/>
        <v>#REF!</v>
      </c>
      <c r="D100" s="3" t="e">
        <f>SUMIF(#REF!,종합_Ver2!$B100,#REF!)</f>
        <v>#REF!</v>
      </c>
      <c r="E100" s="3" t="e">
        <f>SUMIF(#REF!,종합_Ver2!$B100,#REF!)</f>
        <v>#REF!</v>
      </c>
      <c r="F100" s="3" t="e">
        <f>SUMIF(#REF!,종합_Ver2!$B100,#REF!)</f>
        <v>#REF!</v>
      </c>
      <c r="G100" s="12" t="e">
        <f>SUMIF(#REF!,종합_Ver2!$B100,#REF!)</f>
        <v>#REF!</v>
      </c>
      <c r="H100" s="13" t="e">
        <f>SUMIF(#REF!,종합_Ver2!$B100,#REF!)</f>
        <v>#REF!</v>
      </c>
      <c r="I100" s="14" t="e">
        <f>SUMIF(#REF!,종합_Ver2!$B100,#REF!)</f>
        <v>#REF!</v>
      </c>
      <c r="J100" s="15" t="e">
        <f>SUMIF(#REF!,종합_Ver2!$B100,#REF!)</f>
        <v>#REF!</v>
      </c>
      <c r="K100" s="16" t="e">
        <f>SUMIF(#REF!,종합_Ver2!$B100,#REF!)</f>
        <v>#REF!</v>
      </c>
      <c r="L100" s="17" t="e">
        <f>SUMIF(#REF!,종합_Ver2!$B100,#REF!)</f>
        <v>#REF!</v>
      </c>
      <c r="M100" s="1">
        <v>-109500000</v>
      </c>
    </row>
    <row r="101" spans="1:13">
      <c r="A101" s="2" t="s">
        <v>151</v>
      </c>
      <c r="B101" s="2" t="s">
        <v>152</v>
      </c>
      <c r="C101" s="5" t="e">
        <f t="shared" si="2"/>
        <v>#REF!</v>
      </c>
      <c r="D101" s="3" t="e">
        <f>SUMIF(#REF!,종합_Ver2!$B101,#REF!)</f>
        <v>#REF!</v>
      </c>
      <c r="E101" s="3" t="e">
        <f>SUMIF(#REF!,종합_Ver2!$B101,#REF!)</f>
        <v>#REF!</v>
      </c>
      <c r="F101" s="3" t="e">
        <f>SUMIF(#REF!,종합_Ver2!$B101,#REF!)</f>
        <v>#REF!</v>
      </c>
      <c r="G101" s="12" t="e">
        <f>SUMIF(#REF!,종합_Ver2!$B101,#REF!)</f>
        <v>#REF!</v>
      </c>
      <c r="H101" s="13" t="e">
        <f>SUMIF(#REF!,종합_Ver2!$B101,#REF!)</f>
        <v>#REF!</v>
      </c>
      <c r="I101" s="14" t="e">
        <f>SUMIF(#REF!,종합_Ver2!$B101,#REF!)</f>
        <v>#REF!</v>
      </c>
      <c r="J101" s="15" t="e">
        <f>SUMIF(#REF!,종합_Ver2!$B101,#REF!)</f>
        <v>#REF!</v>
      </c>
      <c r="K101" s="16" t="e">
        <f>SUMIF(#REF!,종합_Ver2!$B101,#REF!)</f>
        <v>#REF!</v>
      </c>
      <c r="L101" s="17" t="e">
        <f>SUMIF(#REF!,종합_Ver2!$B101,#REF!)</f>
        <v>#REF!</v>
      </c>
      <c r="M101" s="1">
        <v>-159600000</v>
      </c>
    </row>
    <row r="102" spans="1:13">
      <c r="A102" s="2" t="s">
        <v>153</v>
      </c>
      <c r="B102" s="2" t="s">
        <v>154</v>
      </c>
      <c r="C102" s="5" t="e">
        <f t="shared" ref="C102:C123" si="3">IF(SUM(G102:I102)&gt;0,"L",IF(SUM(G102:I102)&lt;0,"S",""))</f>
        <v>#REF!</v>
      </c>
      <c r="D102" s="3" t="e">
        <f>SUMIF(#REF!,종합_Ver2!$B102,#REF!)</f>
        <v>#REF!</v>
      </c>
      <c r="E102" s="3" t="e">
        <f>SUMIF(#REF!,종합_Ver2!$B102,#REF!)</f>
        <v>#REF!</v>
      </c>
      <c r="F102" s="3" t="e">
        <f>SUMIF(#REF!,종합_Ver2!$B102,#REF!)</f>
        <v>#REF!</v>
      </c>
      <c r="G102" s="12" t="e">
        <f>SUMIF(#REF!,종합_Ver2!$B102,#REF!)</f>
        <v>#REF!</v>
      </c>
      <c r="H102" s="13" t="e">
        <f>SUMIF(#REF!,종합_Ver2!$B102,#REF!)</f>
        <v>#REF!</v>
      </c>
      <c r="I102" s="14" t="e">
        <f>SUMIF(#REF!,종합_Ver2!$B102,#REF!)</f>
        <v>#REF!</v>
      </c>
      <c r="J102" s="15" t="e">
        <f>SUMIF(#REF!,종합_Ver2!$B102,#REF!)</f>
        <v>#REF!</v>
      </c>
      <c r="K102" s="16" t="e">
        <f>SUMIF(#REF!,종합_Ver2!$B102,#REF!)</f>
        <v>#REF!</v>
      </c>
      <c r="L102" s="17" t="e">
        <f>SUMIF(#REF!,종합_Ver2!$B102,#REF!)</f>
        <v>#REF!</v>
      </c>
      <c r="M102" s="1">
        <v>-167796000</v>
      </c>
    </row>
    <row r="103" spans="1:13">
      <c r="A103" s="2" t="s">
        <v>155</v>
      </c>
      <c r="B103" s="2" t="s">
        <v>156</v>
      </c>
      <c r="C103" s="5" t="e">
        <f t="shared" si="3"/>
        <v>#REF!</v>
      </c>
      <c r="D103" s="3" t="e">
        <f>SUMIF(#REF!,종합_Ver2!$B103,#REF!)</f>
        <v>#REF!</v>
      </c>
      <c r="E103" s="3" t="e">
        <f>SUMIF(#REF!,종합_Ver2!$B103,#REF!)</f>
        <v>#REF!</v>
      </c>
      <c r="F103" s="3" t="e">
        <f>SUMIF(#REF!,종합_Ver2!$B103,#REF!)</f>
        <v>#REF!</v>
      </c>
      <c r="G103" s="12" t="e">
        <f>SUMIF(#REF!,종합_Ver2!$B103,#REF!)</f>
        <v>#REF!</v>
      </c>
      <c r="H103" s="13" t="e">
        <f>SUMIF(#REF!,종합_Ver2!$B103,#REF!)</f>
        <v>#REF!</v>
      </c>
      <c r="I103" s="14" t="e">
        <f>SUMIF(#REF!,종합_Ver2!$B103,#REF!)</f>
        <v>#REF!</v>
      </c>
      <c r="J103" s="15" t="e">
        <f>SUMIF(#REF!,종합_Ver2!$B103,#REF!)</f>
        <v>#REF!</v>
      </c>
      <c r="K103" s="16" t="e">
        <f>SUMIF(#REF!,종합_Ver2!$B103,#REF!)</f>
        <v>#REF!</v>
      </c>
      <c r="L103" s="17" t="e">
        <f>SUMIF(#REF!,종합_Ver2!$B103,#REF!)</f>
        <v>#REF!</v>
      </c>
      <c r="M103" s="1">
        <v>169600000</v>
      </c>
    </row>
    <row r="104" spans="1:13">
      <c r="A104" s="2" t="s">
        <v>157</v>
      </c>
      <c r="B104" s="2" t="s">
        <v>158</v>
      </c>
      <c r="C104" s="5" t="e">
        <f t="shared" si="3"/>
        <v>#REF!</v>
      </c>
      <c r="D104" s="3" t="e">
        <f>SUMIF(#REF!,종합_Ver2!$B104,#REF!)</f>
        <v>#REF!</v>
      </c>
      <c r="E104" s="3" t="e">
        <f>SUMIF(#REF!,종합_Ver2!$B104,#REF!)</f>
        <v>#REF!</v>
      </c>
      <c r="F104" s="3" t="e">
        <f>SUMIF(#REF!,종합_Ver2!$B104,#REF!)</f>
        <v>#REF!</v>
      </c>
      <c r="G104" s="12" t="e">
        <f>SUMIF(#REF!,종합_Ver2!$B104,#REF!)</f>
        <v>#REF!</v>
      </c>
      <c r="H104" s="13" t="e">
        <f>SUMIF(#REF!,종합_Ver2!$B104,#REF!)</f>
        <v>#REF!</v>
      </c>
      <c r="I104" s="14" t="e">
        <f>SUMIF(#REF!,종합_Ver2!$B104,#REF!)</f>
        <v>#REF!</v>
      </c>
      <c r="J104" s="15" t="e">
        <f>SUMIF(#REF!,종합_Ver2!$B104,#REF!)</f>
        <v>#REF!</v>
      </c>
      <c r="K104" s="16" t="e">
        <f>SUMIF(#REF!,종합_Ver2!$B104,#REF!)</f>
        <v>#REF!</v>
      </c>
      <c r="L104" s="17" t="e">
        <f>SUMIF(#REF!,종합_Ver2!$B104,#REF!)</f>
        <v>#REF!</v>
      </c>
      <c r="M104" s="1">
        <v>164800000</v>
      </c>
    </row>
    <row r="105" spans="1:13">
      <c r="A105" s="2" t="s">
        <v>159</v>
      </c>
      <c r="B105" s="2" t="s">
        <v>160</v>
      </c>
      <c r="C105" s="5" t="e">
        <f t="shared" si="3"/>
        <v>#REF!</v>
      </c>
      <c r="D105" s="3" t="e">
        <f>SUMIF(#REF!,종합_Ver2!$B105,#REF!)</f>
        <v>#REF!</v>
      </c>
      <c r="E105" s="3" t="e">
        <f>SUMIF(#REF!,종합_Ver2!$B105,#REF!)</f>
        <v>#REF!</v>
      </c>
      <c r="F105" s="3" t="e">
        <f>SUMIF(#REF!,종합_Ver2!$B105,#REF!)</f>
        <v>#REF!</v>
      </c>
      <c r="G105" s="12" t="e">
        <f>SUMIF(#REF!,종합_Ver2!$B105,#REF!)</f>
        <v>#REF!</v>
      </c>
      <c r="H105" s="13" t="e">
        <f>SUMIF(#REF!,종합_Ver2!$B105,#REF!)</f>
        <v>#REF!</v>
      </c>
      <c r="I105" s="14" t="e">
        <f>SUMIF(#REF!,종합_Ver2!$B105,#REF!)</f>
        <v>#REF!</v>
      </c>
      <c r="J105" s="15" t="e">
        <f>SUMIF(#REF!,종합_Ver2!$B105,#REF!)</f>
        <v>#REF!</v>
      </c>
      <c r="K105" s="16" t="e">
        <f>SUMIF(#REF!,종합_Ver2!$B105,#REF!)</f>
        <v>#REF!</v>
      </c>
      <c r="L105" s="17" t="e">
        <f>SUMIF(#REF!,종합_Ver2!$B105,#REF!)</f>
        <v>#REF!</v>
      </c>
      <c r="M105" s="1">
        <v>104648000</v>
      </c>
    </row>
    <row r="106" spans="1:13">
      <c r="A106" s="2" t="s">
        <v>161</v>
      </c>
      <c r="B106" s="2" t="s">
        <v>162</v>
      </c>
      <c r="C106" s="5" t="e">
        <f t="shared" si="3"/>
        <v>#REF!</v>
      </c>
      <c r="D106" s="3" t="e">
        <f>SUMIF(#REF!,종합_Ver2!$B106,#REF!)</f>
        <v>#REF!</v>
      </c>
      <c r="E106" s="3" t="e">
        <f>SUMIF(#REF!,종합_Ver2!$B106,#REF!)</f>
        <v>#REF!</v>
      </c>
      <c r="F106" s="3" t="e">
        <f>SUMIF(#REF!,종합_Ver2!$B106,#REF!)</f>
        <v>#REF!</v>
      </c>
      <c r="G106" s="12" t="e">
        <f>SUMIF(#REF!,종합_Ver2!$B106,#REF!)</f>
        <v>#REF!</v>
      </c>
      <c r="H106" s="13" t="e">
        <f>SUMIF(#REF!,종합_Ver2!$B106,#REF!)</f>
        <v>#REF!</v>
      </c>
      <c r="I106" s="14" t="e">
        <f>SUMIF(#REF!,종합_Ver2!$B106,#REF!)</f>
        <v>#REF!</v>
      </c>
      <c r="J106" s="15" t="e">
        <f>SUMIF(#REF!,종합_Ver2!$B106,#REF!)</f>
        <v>#REF!</v>
      </c>
      <c r="K106" s="16" t="e">
        <f>SUMIF(#REF!,종합_Ver2!$B106,#REF!)</f>
        <v>#REF!</v>
      </c>
      <c r="L106" s="17" t="e">
        <f>SUMIF(#REF!,종합_Ver2!$B106,#REF!)</f>
        <v>#REF!</v>
      </c>
      <c r="M106" s="1">
        <v>-511650000</v>
      </c>
    </row>
    <row r="107" spans="1:13">
      <c r="A107" s="2" t="s">
        <v>163</v>
      </c>
      <c r="B107" s="2" t="s">
        <v>164</v>
      </c>
      <c r="C107" s="5" t="e">
        <f t="shared" si="3"/>
        <v>#REF!</v>
      </c>
      <c r="D107" s="3" t="e">
        <f>SUMIF(#REF!,종합_Ver2!$B107,#REF!)</f>
        <v>#REF!</v>
      </c>
      <c r="E107" s="3" t="e">
        <f>SUMIF(#REF!,종합_Ver2!$B107,#REF!)</f>
        <v>#REF!</v>
      </c>
      <c r="F107" s="3" t="e">
        <f>SUMIF(#REF!,종합_Ver2!$B107,#REF!)</f>
        <v>#REF!</v>
      </c>
      <c r="G107" s="12" t="e">
        <f>SUMIF(#REF!,종합_Ver2!$B107,#REF!)</f>
        <v>#REF!</v>
      </c>
      <c r="H107" s="13" t="e">
        <f>SUMIF(#REF!,종합_Ver2!$B107,#REF!)</f>
        <v>#REF!</v>
      </c>
      <c r="I107" s="14" t="e">
        <f>SUMIF(#REF!,종합_Ver2!$B107,#REF!)</f>
        <v>#REF!</v>
      </c>
      <c r="J107" s="15" t="e">
        <f>SUMIF(#REF!,종합_Ver2!$B107,#REF!)</f>
        <v>#REF!</v>
      </c>
      <c r="K107" s="16" t="e">
        <f>SUMIF(#REF!,종합_Ver2!$B107,#REF!)</f>
        <v>#REF!</v>
      </c>
      <c r="L107" s="17" t="e">
        <f>SUMIF(#REF!,종합_Ver2!$B107,#REF!)</f>
        <v>#REF!</v>
      </c>
      <c r="M107" s="1">
        <v>-1532375000</v>
      </c>
    </row>
    <row r="108" spans="1:13">
      <c r="A108" s="2" t="s">
        <v>165</v>
      </c>
      <c r="B108" s="2" t="s">
        <v>166</v>
      </c>
      <c r="C108" s="5" t="e">
        <f t="shared" si="3"/>
        <v>#REF!</v>
      </c>
      <c r="D108" s="3" t="e">
        <f>SUMIF(#REF!,종합_Ver2!$B108,#REF!)</f>
        <v>#REF!</v>
      </c>
      <c r="E108" s="3" t="e">
        <f>SUMIF(#REF!,종합_Ver2!$B108,#REF!)</f>
        <v>#REF!</v>
      </c>
      <c r="F108" s="3" t="e">
        <f>SUMIF(#REF!,종합_Ver2!$B108,#REF!)</f>
        <v>#REF!</v>
      </c>
      <c r="G108" s="12" t="e">
        <f>SUMIF(#REF!,종합_Ver2!$B108,#REF!)</f>
        <v>#REF!</v>
      </c>
      <c r="H108" s="13" t="e">
        <f>SUMIF(#REF!,종합_Ver2!$B108,#REF!)</f>
        <v>#REF!</v>
      </c>
      <c r="I108" s="14" t="e">
        <f>SUMIF(#REF!,종합_Ver2!$B108,#REF!)</f>
        <v>#REF!</v>
      </c>
      <c r="J108" s="15" t="e">
        <f>SUMIF(#REF!,종합_Ver2!$B108,#REF!)</f>
        <v>#REF!</v>
      </c>
      <c r="K108" s="16" t="e">
        <f>SUMIF(#REF!,종합_Ver2!$B108,#REF!)</f>
        <v>#REF!</v>
      </c>
      <c r="L108" s="17" t="e">
        <f>SUMIF(#REF!,종합_Ver2!$B108,#REF!)</f>
        <v>#REF!</v>
      </c>
      <c r="M108" s="1">
        <v>-104040000</v>
      </c>
    </row>
    <row r="109" spans="1:13">
      <c r="A109" s="2" t="s">
        <v>167</v>
      </c>
      <c r="B109" s="2" t="s">
        <v>168</v>
      </c>
      <c r="C109" s="5" t="e">
        <f t="shared" si="3"/>
        <v>#REF!</v>
      </c>
      <c r="D109" s="3" t="e">
        <f>SUMIF(#REF!,종합_Ver2!$B109,#REF!)</f>
        <v>#REF!</v>
      </c>
      <c r="E109" s="3" t="e">
        <f>SUMIF(#REF!,종합_Ver2!$B109,#REF!)</f>
        <v>#REF!</v>
      </c>
      <c r="F109" s="3" t="e">
        <f>SUMIF(#REF!,종합_Ver2!$B109,#REF!)</f>
        <v>#REF!</v>
      </c>
      <c r="G109" s="12" t="e">
        <f>SUMIF(#REF!,종합_Ver2!$B109,#REF!)</f>
        <v>#REF!</v>
      </c>
      <c r="H109" s="13" t="e">
        <f>SUMIF(#REF!,종합_Ver2!$B109,#REF!)</f>
        <v>#REF!</v>
      </c>
      <c r="I109" s="14" t="e">
        <f>SUMIF(#REF!,종합_Ver2!$B109,#REF!)</f>
        <v>#REF!</v>
      </c>
      <c r="J109" s="15" t="e">
        <f>SUMIF(#REF!,종합_Ver2!$B109,#REF!)</f>
        <v>#REF!</v>
      </c>
      <c r="K109" s="16" t="e">
        <f>SUMIF(#REF!,종합_Ver2!$B109,#REF!)</f>
        <v>#REF!</v>
      </c>
      <c r="L109" s="17" t="e">
        <f>SUMIF(#REF!,종합_Ver2!$B109,#REF!)</f>
        <v>#REF!</v>
      </c>
      <c r="M109" s="1">
        <v>103700000</v>
      </c>
    </row>
    <row r="110" spans="1:13">
      <c r="A110" s="2" t="s">
        <v>169</v>
      </c>
      <c r="B110" s="2" t="s">
        <v>170</v>
      </c>
      <c r="C110" s="5" t="e">
        <f t="shared" si="3"/>
        <v>#REF!</v>
      </c>
      <c r="D110" s="3" t="e">
        <f>SUMIF(#REF!,종합_Ver2!$B110,#REF!)</f>
        <v>#REF!</v>
      </c>
      <c r="E110" s="3" t="e">
        <f>SUMIF(#REF!,종합_Ver2!$B110,#REF!)</f>
        <v>#REF!</v>
      </c>
      <c r="F110" s="3" t="e">
        <f>SUMIF(#REF!,종합_Ver2!$B110,#REF!)</f>
        <v>#REF!</v>
      </c>
      <c r="G110" s="12" t="e">
        <f>SUMIF(#REF!,종합_Ver2!$B110,#REF!)</f>
        <v>#REF!</v>
      </c>
      <c r="H110" s="13" t="e">
        <f>SUMIF(#REF!,종합_Ver2!$B110,#REF!)</f>
        <v>#REF!</v>
      </c>
      <c r="I110" s="14" t="e">
        <f>SUMIF(#REF!,종합_Ver2!$B110,#REF!)</f>
        <v>#REF!</v>
      </c>
      <c r="J110" s="15" t="e">
        <f>SUMIF(#REF!,종합_Ver2!$B110,#REF!)</f>
        <v>#REF!</v>
      </c>
      <c r="K110" s="16" t="e">
        <f>SUMIF(#REF!,종합_Ver2!$B110,#REF!)</f>
        <v>#REF!</v>
      </c>
      <c r="L110" s="17" t="e">
        <f>SUMIF(#REF!,종합_Ver2!$B110,#REF!)</f>
        <v>#REF!</v>
      </c>
      <c r="M110" s="1">
        <v>115034000</v>
      </c>
    </row>
    <row r="111" spans="1:13">
      <c r="A111" s="2" t="s">
        <v>171</v>
      </c>
      <c r="B111" s="2" t="s">
        <v>172</v>
      </c>
      <c r="C111" s="5" t="e">
        <f t="shared" si="3"/>
        <v>#REF!</v>
      </c>
      <c r="D111" s="3" t="e">
        <f>SUMIF(#REF!,종합_Ver2!$B111,#REF!)</f>
        <v>#REF!</v>
      </c>
      <c r="E111" s="3" t="e">
        <f>SUMIF(#REF!,종합_Ver2!$B111,#REF!)</f>
        <v>#REF!</v>
      </c>
      <c r="F111" s="3" t="e">
        <f>SUMIF(#REF!,종합_Ver2!$B111,#REF!)</f>
        <v>#REF!</v>
      </c>
      <c r="G111" s="12" t="e">
        <f>SUMIF(#REF!,종합_Ver2!$B111,#REF!)</f>
        <v>#REF!</v>
      </c>
      <c r="H111" s="13" t="e">
        <f>SUMIF(#REF!,종합_Ver2!$B111,#REF!)</f>
        <v>#REF!</v>
      </c>
      <c r="I111" s="14" t="e">
        <f>SUMIF(#REF!,종합_Ver2!$B111,#REF!)</f>
        <v>#REF!</v>
      </c>
      <c r="J111" s="15" t="e">
        <f>SUMIF(#REF!,종합_Ver2!$B111,#REF!)</f>
        <v>#REF!</v>
      </c>
      <c r="K111" s="16" t="e">
        <f>SUMIF(#REF!,종합_Ver2!$B111,#REF!)</f>
        <v>#REF!</v>
      </c>
      <c r="L111" s="17" t="e">
        <f>SUMIF(#REF!,종합_Ver2!$B111,#REF!)</f>
        <v>#REF!</v>
      </c>
      <c r="M111" s="1">
        <v>111658500</v>
      </c>
    </row>
    <row r="112" spans="1:13">
      <c r="A112" s="2" t="s">
        <v>173</v>
      </c>
      <c r="B112" s="2" t="s">
        <v>174</v>
      </c>
      <c r="C112" s="5" t="e">
        <f t="shared" si="3"/>
        <v>#REF!</v>
      </c>
      <c r="D112" s="3" t="e">
        <f>SUMIF(#REF!,종합_Ver2!$B112,#REF!)</f>
        <v>#REF!</v>
      </c>
      <c r="E112" s="3" t="e">
        <f>SUMIF(#REF!,종합_Ver2!$B112,#REF!)</f>
        <v>#REF!</v>
      </c>
      <c r="F112" s="3" t="e">
        <f>SUMIF(#REF!,종합_Ver2!$B112,#REF!)</f>
        <v>#REF!</v>
      </c>
      <c r="G112" s="12" t="e">
        <f>SUMIF(#REF!,종합_Ver2!$B112,#REF!)</f>
        <v>#REF!</v>
      </c>
      <c r="H112" s="13" t="e">
        <f>SUMIF(#REF!,종합_Ver2!$B112,#REF!)</f>
        <v>#REF!</v>
      </c>
      <c r="I112" s="14" t="e">
        <f>SUMIF(#REF!,종합_Ver2!$B112,#REF!)</f>
        <v>#REF!</v>
      </c>
      <c r="J112" s="15" t="e">
        <f>SUMIF(#REF!,종합_Ver2!$B112,#REF!)</f>
        <v>#REF!</v>
      </c>
      <c r="K112" s="16" t="e">
        <f>SUMIF(#REF!,종합_Ver2!$B112,#REF!)</f>
        <v>#REF!</v>
      </c>
      <c r="L112" s="17" t="e">
        <f>SUMIF(#REF!,종합_Ver2!$B112,#REF!)</f>
        <v>#REF!</v>
      </c>
      <c r="M112" s="1">
        <v>196650000</v>
      </c>
    </row>
    <row r="113" spans="1:13">
      <c r="A113" s="2" t="s">
        <v>240</v>
      </c>
      <c r="B113" s="2" t="s">
        <v>241</v>
      </c>
      <c r="C113" s="5" t="e">
        <f t="shared" si="3"/>
        <v>#REF!</v>
      </c>
      <c r="D113" s="3" t="e">
        <f>SUMIF(#REF!,종합_Ver2!$B113,#REF!)</f>
        <v>#REF!</v>
      </c>
      <c r="E113" s="3" t="e">
        <f>SUMIF(#REF!,종합_Ver2!$B113,#REF!)</f>
        <v>#REF!</v>
      </c>
      <c r="F113" s="3" t="e">
        <f>SUMIF(#REF!,종합_Ver2!$B113,#REF!)</f>
        <v>#REF!</v>
      </c>
      <c r="G113" s="12" t="e">
        <f>SUMIF(#REF!,종합_Ver2!$B113,#REF!)</f>
        <v>#REF!</v>
      </c>
      <c r="H113" s="13" t="e">
        <f>SUMIF(#REF!,종합_Ver2!$B113,#REF!)</f>
        <v>#REF!</v>
      </c>
      <c r="I113" s="14" t="e">
        <f>SUMIF(#REF!,종합_Ver2!$B113,#REF!)</f>
        <v>#REF!</v>
      </c>
      <c r="J113" s="15" t="e">
        <f>SUMIF(#REF!,종합_Ver2!$B113,#REF!)</f>
        <v>#REF!</v>
      </c>
      <c r="K113" s="16" t="e">
        <f>SUMIF(#REF!,종합_Ver2!$B113,#REF!)</f>
        <v>#REF!</v>
      </c>
      <c r="L113" s="17" t="e">
        <f>SUMIF(#REF!,종합_Ver2!$B113,#REF!)</f>
        <v>#REF!</v>
      </c>
      <c r="M113" s="1">
        <v>197801000</v>
      </c>
    </row>
    <row r="114" spans="1:13">
      <c r="A114" s="2" t="s">
        <v>175</v>
      </c>
      <c r="B114" s="2" t="s">
        <v>176</v>
      </c>
      <c r="C114" s="5" t="e">
        <f t="shared" si="3"/>
        <v>#REF!</v>
      </c>
      <c r="D114" s="3" t="e">
        <f>SUMIF(#REF!,종합_Ver2!$B114,#REF!)</f>
        <v>#REF!</v>
      </c>
      <c r="E114" s="3" t="e">
        <f>SUMIF(#REF!,종합_Ver2!$B114,#REF!)</f>
        <v>#REF!</v>
      </c>
      <c r="F114" s="3" t="e">
        <f>SUMIF(#REF!,종합_Ver2!$B114,#REF!)</f>
        <v>#REF!</v>
      </c>
      <c r="G114" s="12" t="e">
        <f>SUMIF(#REF!,종합_Ver2!$B114,#REF!)</f>
        <v>#REF!</v>
      </c>
      <c r="H114" s="13" t="e">
        <f>SUMIF(#REF!,종합_Ver2!$B114,#REF!)</f>
        <v>#REF!</v>
      </c>
      <c r="I114" s="14" t="e">
        <f>SUMIF(#REF!,종합_Ver2!$B114,#REF!)</f>
        <v>#REF!</v>
      </c>
      <c r="J114" s="15" t="e">
        <f>SUMIF(#REF!,종합_Ver2!$B114,#REF!)</f>
        <v>#REF!</v>
      </c>
      <c r="K114" s="16" t="e">
        <f>SUMIF(#REF!,종합_Ver2!$B114,#REF!)</f>
        <v>#REF!</v>
      </c>
      <c r="L114" s="17" t="e">
        <f>SUMIF(#REF!,종합_Ver2!$B114,#REF!)</f>
        <v>#REF!</v>
      </c>
      <c r="M114" s="1">
        <v>191280000</v>
      </c>
    </row>
    <row r="115" spans="1:13">
      <c r="A115" s="2" t="s">
        <v>177</v>
      </c>
      <c r="B115" s="2" t="s">
        <v>178</v>
      </c>
      <c r="C115" s="5" t="e">
        <f t="shared" si="3"/>
        <v>#REF!</v>
      </c>
      <c r="D115" s="3" t="e">
        <f>SUMIF(#REF!,종합_Ver2!$B115,#REF!)</f>
        <v>#REF!</v>
      </c>
      <c r="E115" s="3" t="e">
        <f>SUMIF(#REF!,종합_Ver2!$B115,#REF!)</f>
        <v>#REF!</v>
      </c>
      <c r="F115" s="3" t="e">
        <f>SUMIF(#REF!,종합_Ver2!$B115,#REF!)</f>
        <v>#REF!</v>
      </c>
      <c r="G115" s="12" t="e">
        <f>SUMIF(#REF!,종합_Ver2!$B115,#REF!)</f>
        <v>#REF!</v>
      </c>
      <c r="H115" s="13" t="e">
        <f>SUMIF(#REF!,종합_Ver2!$B115,#REF!)</f>
        <v>#REF!</v>
      </c>
      <c r="I115" s="14" t="e">
        <f>SUMIF(#REF!,종합_Ver2!$B115,#REF!)</f>
        <v>#REF!</v>
      </c>
      <c r="J115" s="15" t="e">
        <f>SUMIF(#REF!,종합_Ver2!$B115,#REF!)</f>
        <v>#REF!</v>
      </c>
      <c r="K115" s="16" t="e">
        <f>SUMIF(#REF!,종합_Ver2!$B115,#REF!)</f>
        <v>#REF!</v>
      </c>
      <c r="L115" s="17" t="e">
        <f>SUMIF(#REF!,종합_Ver2!$B115,#REF!)</f>
        <v>#REF!</v>
      </c>
      <c r="M115" s="1">
        <v>197376000</v>
      </c>
    </row>
    <row r="116" spans="1:13">
      <c r="A116" s="2" t="s">
        <v>179</v>
      </c>
      <c r="B116" s="2" t="s">
        <v>180</v>
      </c>
      <c r="C116" s="5" t="e">
        <f t="shared" si="3"/>
        <v>#REF!</v>
      </c>
      <c r="D116" s="3" t="e">
        <f>SUMIF(#REF!,종합_Ver2!$B116,#REF!)</f>
        <v>#REF!</v>
      </c>
      <c r="E116" s="3" t="e">
        <f>SUMIF(#REF!,종합_Ver2!$B116,#REF!)</f>
        <v>#REF!</v>
      </c>
      <c r="F116" s="3" t="e">
        <f>SUMIF(#REF!,종합_Ver2!$B116,#REF!)</f>
        <v>#REF!</v>
      </c>
      <c r="G116" s="12" t="e">
        <f>SUMIF(#REF!,종합_Ver2!$B116,#REF!)</f>
        <v>#REF!</v>
      </c>
      <c r="H116" s="13" t="e">
        <f>SUMIF(#REF!,종합_Ver2!$B116,#REF!)</f>
        <v>#REF!</v>
      </c>
      <c r="I116" s="14" t="e">
        <f>SUMIF(#REF!,종합_Ver2!$B116,#REF!)</f>
        <v>#REF!</v>
      </c>
      <c r="J116" s="15" t="e">
        <f>SUMIF(#REF!,종합_Ver2!$B116,#REF!)</f>
        <v>#REF!</v>
      </c>
      <c r="K116" s="16" t="e">
        <f>SUMIF(#REF!,종합_Ver2!$B116,#REF!)</f>
        <v>#REF!</v>
      </c>
      <c r="L116" s="17" t="e">
        <f>SUMIF(#REF!,종합_Ver2!$B116,#REF!)</f>
        <v>#REF!</v>
      </c>
      <c r="M116" s="1">
        <v>194824000</v>
      </c>
    </row>
    <row r="117" spans="1:13">
      <c r="A117" s="2" t="s">
        <v>181</v>
      </c>
      <c r="B117" s="2" t="s">
        <v>182</v>
      </c>
      <c r="C117" s="5" t="e">
        <f t="shared" si="3"/>
        <v>#REF!</v>
      </c>
      <c r="D117" s="3" t="e">
        <f>SUMIF(#REF!,종합_Ver2!$B117,#REF!)</f>
        <v>#REF!</v>
      </c>
      <c r="E117" s="3" t="e">
        <f>SUMIF(#REF!,종합_Ver2!$B117,#REF!)</f>
        <v>#REF!</v>
      </c>
      <c r="F117" s="3" t="e">
        <f>SUMIF(#REF!,종합_Ver2!$B117,#REF!)</f>
        <v>#REF!</v>
      </c>
      <c r="G117" s="12" t="e">
        <f>SUMIF(#REF!,종합_Ver2!$B117,#REF!)</f>
        <v>#REF!</v>
      </c>
      <c r="H117" s="13" t="e">
        <f>SUMIF(#REF!,종합_Ver2!$B117,#REF!)</f>
        <v>#REF!</v>
      </c>
      <c r="I117" s="14" t="e">
        <f>SUMIF(#REF!,종합_Ver2!$B117,#REF!)</f>
        <v>#REF!</v>
      </c>
      <c r="J117" s="15" t="e">
        <f>SUMIF(#REF!,종합_Ver2!$B117,#REF!)</f>
        <v>#REF!</v>
      </c>
      <c r="K117" s="16" t="e">
        <f>SUMIF(#REF!,종합_Ver2!$B117,#REF!)</f>
        <v>#REF!</v>
      </c>
      <c r="L117" s="17" t="e">
        <f>SUMIF(#REF!,종합_Ver2!$B117,#REF!)</f>
        <v>#REF!</v>
      </c>
      <c r="M117" s="1">
        <v>191096360</v>
      </c>
    </row>
    <row r="118" spans="1:13">
      <c r="A118" s="2" t="s">
        <v>183</v>
      </c>
      <c r="B118" s="2" t="s">
        <v>184</v>
      </c>
      <c r="C118" s="5" t="e">
        <f t="shared" si="3"/>
        <v>#REF!</v>
      </c>
      <c r="D118" s="3" t="e">
        <f>SUMIF(#REF!,종합_Ver2!$B118,#REF!)</f>
        <v>#REF!</v>
      </c>
      <c r="E118" s="3" t="e">
        <f>SUMIF(#REF!,종합_Ver2!$B118,#REF!)</f>
        <v>#REF!</v>
      </c>
      <c r="F118" s="3" t="e">
        <f>SUMIF(#REF!,종합_Ver2!$B118,#REF!)</f>
        <v>#REF!</v>
      </c>
      <c r="G118" s="12" t="e">
        <f>SUMIF(#REF!,종합_Ver2!$B118,#REF!)</f>
        <v>#REF!</v>
      </c>
      <c r="H118" s="13" t="e">
        <f>SUMIF(#REF!,종합_Ver2!$B118,#REF!)</f>
        <v>#REF!</v>
      </c>
      <c r="I118" s="14" t="e">
        <f>SUMIF(#REF!,종합_Ver2!$B118,#REF!)</f>
        <v>#REF!</v>
      </c>
      <c r="J118" s="15" t="e">
        <f>SUMIF(#REF!,종합_Ver2!$B118,#REF!)</f>
        <v>#REF!</v>
      </c>
      <c r="K118" s="16" t="e">
        <f>SUMIF(#REF!,종합_Ver2!$B118,#REF!)</f>
        <v>#REF!</v>
      </c>
      <c r="L118" s="17" t="e">
        <f>SUMIF(#REF!,종합_Ver2!$B118,#REF!)</f>
        <v>#REF!</v>
      </c>
      <c r="M118" s="1">
        <v>-1178750000</v>
      </c>
    </row>
    <row r="119" spans="1:13">
      <c r="A119" s="2" t="s">
        <v>185</v>
      </c>
      <c r="B119" s="2" t="s">
        <v>186</v>
      </c>
      <c r="C119" s="5" t="e">
        <f t="shared" si="3"/>
        <v>#REF!</v>
      </c>
      <c r="D119" s="3" t="e">
        <f>SUMIF(#REF!,종합_Ver2!$B119,#REF!)</f>
        <v>#REF!</v>
      </c>
      <c r="E119" s="3" t="e">
        <f>SUMIF(#REF!,종합_Ver2!$B119,#REF!)</f>
        <v>#REF!</v>
      </c>
      <c r="F119" s="3" t="e">
        <f>SUMIF(#REF!,종합_Ver2!$B119,#REF!)</f>
        <v>#REF!</v>
      </c>
      <c r="G119" s="12" t="e">
        <f>SUMIF(#REF!,종합_Ver2!$B119,#REF!)</f>
        <v>#REF!</v>
      </c>
      <c r="H119" s="13" t="e">
        <f>SUMIF(#REF!,종합_Ver2!$B119,#REF!)</f>
        <v>#REF!</v>
      </c>
      <c r="I119" s="14" t="e">
        <f>SUMIF(#REF!,종합_Ver2!$B119,#REF!)</f>
        <v>#REF!</v>
      </c>
      <c r="J119" s="15" t="e">
        <f>SUMIF(#REF!,종합_Ver2!$B119,#REF!)</f>
        <v>#REF!</v>
      </c>
      <c r="K119" s="16" t="e">
        <f>SUMIF(#REF!,종합_Ver2!$B119,#REF!)</f>
        <v>#REF!</v>
      </c>
      <c r="L119" s="17" t="e">
        <f>SUMIF(#REF!,종합_Ver2!$B119,#REF!)</f>
        <v>#REF!</v>
      </c>
      <c r="M119" s="1">
        <v>120000000</v>
      </c>
    </row>
    <row r="120" spans="1:13">
      <c r="A120" s="2" t="s">
        <v>187</v>
      </c>
      <c r="B120" s="2" t="s">
        <v>188</v>
      </c>
      <c r="C120" s="5" t="e">
        <f t="shared" si="3"/>
        <v>#REF!</v>
      </c>
      <c r="D120" s="3" t="e">
        <f>SUMIF(#REF!,종합_Ver2!$B120,#REF!)</f>
        <v>#REF!</v>
      </c>
      <c r="E120" s="3" t="e">
        <f>SUMIF(#REF!,종합_Ver2!$B120,#REF!)</f>
        <v>#REF!</v>
      </c>
      <c r="F120" s="3" t="e">
        <f>SUMIF(#REF!,종합_Ver2!$B120,#REF!)</f>
        <v>#REF!</v>
      </c>
      <c r="G120" s="12" t="e">
        <f>SUMIF(#REF!,종합_Ver2!$B120,#REF!)</f>
        <v>#REF!</v>
      </c>
      <c r="H120" s="13" t="e">
        <f>SUMIF(#REF!,종합_Ver2!$B120,#REF!)</f>
        <v>#REF!</v>
      </c>
      <c r="I120" s="14" t="e">
        <f>SUMIF(#REF!,종합_Ver2!$B120,#REF!)</f>
        <v>#REF!</v>
      </c>
      <c r="J120" s="15" t="e">
        <f>SUMIF(#REF!,종합_Ver2!$B120,#REF!)</f>
        <v>#REF!</v>
      </c>
      <c r="K120" s="16" t="e">
        <f>SUMIF(#REF!,종합_Ver2!$B120,#REF!)</f>
        <v>#REF!</v>
      </c>
      <c r="L120" s="17" t="e">
        <f>SUMIF(#REF!,종합_Ver2!$B120,#REF!)</f>
        <v>#REF!</v>
      </c>
      <c r="M120" s="1">
        <v>469866193</v>
      </c>
    </row>
    <row r="121" spans="1:13">
      <c r="A121" s="2" t="s">
        <v>198</v>
      </c>
      <c r="B121" s="2" t="s">
        <v>199</v>
      </c>
      <c r="C121" s="5" t="e">
        <f t="shared" si="3"/>
        <v>#REF!</v>
      </c>
      <c r="D121" s="3" t="e">
        <f>SUMIF(#REF!,종합_Ver2!$B121,#REF!)</f>
        <v>#REF!</v>
      </c>
      <c r="E121" s="3" t="e">
        <f>SUMIF(#REF!,종합_Ver2!$B121,#REF!)</f>
        <v>#REF!</v>
      </c>
      <c r="F121" s="3" t="e">
        <f>SUMIF(#REF!,종합_Ver2!$B121,#REF!)</f>
        <v>#REF!</v>
      </c>
      <c r="G121" s="12" t="e">
        <f>SUMIF(#REF!,종합_Ver2!$B121,#REF!)</f>
        <v>#REF!</v>
      </c>
      <c r="H121" s="13" t="e">
        <f>SUMIF(#REF!,종합_Ver2!$B121,#REF!)</f>
        <v>#REF!</v>
      </c>
      <c r="I121" s="14" t="e">
        <f>SUMIF(#REF!,종합_Ver2!$B121,#REF!)</f>
        <v>#REF!</v>
      </c>
      <c r="J121" s="15" t="e">
        <f>SUMIF(#REF!,종합_Ver2!$B121,#REF!)</f>
        <v>#REF!</v>
      </c>
      <c r="K121" s="16" t="e">
        <f>SUMIF(#REF!,종합_Ver2!$B121,#REF!)</f>
        <v>#REF!</v>
      </c>
      <c r="L121" s="17" t="e">
        <f>SUMIF(#REF!,종합_Ver2!$B121,#REF!)</f>
        <v>#REF!</v>
      </c>
      <c r="M121" s="1">
        <v>170498763</v>
      </c>
    </row>
    <row r="122" spans="1:13">
      <c r="A122" s="2" t="s">
        <v>195</v>
      </c>
      <c r="B122" s="2" t="s">
        <v>196</v>
      </c>
      <c r="C122" s="5" t="e">
        <f t="shared" si="3"/>
        <v>#REF!</v>
      </c>
      <c r="D122" s="3" t="e">
        <f>SUMIF(#REF!,종합_Ver2!$B122,#REF!)</f>
        <v>#REF!</v>
      </c>
      <c r="E122" s="3" t="e">
        <f>SUMIF(#REF!,종합_Ver2!$B122,#REF!)</f>
        <v>#REF!</v>
      </c>
      <c r="F122" s="3" t="e">
        <f>SUMIF(#REF!,종합_Ver2!$B122,#REF!)</f>
        <v>#REF!</v>
      </c>
      <c r="G122" s="12" t="e">
        <f>SUMIF(#REF!,종합_Ver2!$B122,#REF!)</f>
        <v>#REF!</v>
      </c>
      <c r="H122" s="13" t="e">
        <f>SUMIF(#REF!,종합_Ver2!$B122,#REF!)</f>
        <v>#REF!</v>
      </c>
      <c r="I122" s="14" t="e">
        <f>SUMIF(#REF!,종합_Ver2!$B122,#REF!)</f>
        <v>#REF!</v>
      </c>
      <c r="J122" s="15" t="e">
        <f>SUMIF(#REF!,종합_Ver2!$B122,#REF!)</f>
        <v>#REF!</v>
      </c>
      <c r="K122" s="16" t="e">
        <f>SUMIF(#REF!,종합_Ver2!$B122,#REF!)</f>
        <v>#REF!</v>
      </c>
      <c r="L122" s="17" t="e">
        <f>SUMIF(#REF!,종합_Ver2!$B122,#REF!)</f>
        <v>#REF!</v>
      </c>
      <c r="M122" s="1">
        <v>865609105</v>
      </c>
    </row>
    <row r="123" spans="1:13">
      <c r="A123" s="2" t="s">
        <v>200</v>
      </c>
      <c r="B123" s="2" t="s">
        <v>201</v>
      </c>
      <c r="C123" s="5" t="e">
        <f t="shared" si="3"/>
        <v>#REF!</v>
      </c>
      <c r="D123" s="3" t="e">
        <f>SUMIF(#REF!,종합_Ver2!$B123,#REF!)</f>
        <v>#REF!</v>
      </c>
      <c r="E123" s="3" t="e">
        <f>SUMIF(#REF!,종합_Ver2!$B123,#REF!)</f>
        <v>#REF!</v>
      </c>
      <c r="F123" s="3" t="e">
        <f>SUMIF(#REF!,종합_Ver2!$B123,#REF!)</f>
        <v>#REF!</v>
      </c>
      <c r="G123" s="12" t="e">
        <f>SUMIF(#REF!,종합_Ver2!$B123,#REF!)</f>
        <v>#REF!</v>
      </c>
      <c r="H123" s="13" t="e">
        <f>SUMIF(#REF!,종합_Ver2!$B123,#REF!)</f>
        <v>#REF!</v>
      </c>
      <c r="I123" s="14" t="e">
        <f>SUMIF(#REF!,종합_Ver2!$B123,#REF!)</f>
        <v>#REF!</v>
      </c>
      <c r="J123" s="15" t="e">
        <f>SUMIF(#REF!,종합_Ver2!$B123,#REF!)</f>
        <v>#REF!</v>
      </c>
      <c r="K123" s="16" t="e">
        <f>SUMIF(#REF!,종합_Ver2!$B123,#REF!)</f>
        <v>#REF!</v>
      </c>
      <c r="L123" s="17" t="e">
        <f>SUMIF(#REF!,종합_Ver2!$B123,#REF!)</f>
        <v>#REF!</v>
      </c>
      <c r="M123" s="1">
        <v>1291954728</v>
      </c>
    </row>
    <row r="124" spans="1:13">
      <c r="A124" s="2"/>
      <c r="B124" s="2"/>
      <c r="M124" s="1">
        <v>393094482</v>
      </c>
    </row>
    <row r="125" spans="1:13">
      <c r="A125" s="2"/>
      <c r="B125" s="2"/>
      <c r="M125" s="1">
        <v>563008229</v>
      </c>
    </row>
    <row r="126" spans="1:13">
      <c r="A126" s="2"/>
      <c r="B126" s="2"/>
    </row>
    <row r="127" spans="1:13">
      <c r="A127" s="2"/>
      <c r="B127" s="2"/>
    </row>
    <row r="128" spans="1:13">
      <c r="A128" s="2"/>
      <c r="B128" s="2"/>
    </row>
    <row r="129" spans="1:2">
      <c r="A129" s="2"/>
      <c r="B129" s="2"/>
    </row>
    <row r="130" spans="1:2">
      <c r="A130" s="2"/>
      <c r="B130" s="2"/>
    </row>
    <row r="131" spans="1:2">
      <c r="A131" s="2"/>
      <c r="B131" s="2"/>
    </row>
    <row r="132" spans="1:2">
      <c r="A132" s="2"/>
      <c r="B132" s="2"/>
    </row>
    <row r="133" spans="1:2">
      <c r="A133" s="2"/>
      <c r="B133" s="2"/>
    </row>
    <row r="134" spans="1:2">
      <c r="A134" s="2"/>
      <c r="B134" s="2"/>
    </row>
    <row r="135" spans="1:2">
      <c r="A135" s="2"/>
      <c r="B135" s="2"/>
    </row>
    <row r="136" spans="1:2">
      <c r="A136" s="2"/>
      <c r="B136" s="2"/>
    </row>
    <row r="137" spans="1:2">
      <c r="A137" s="2"/>
      <c r="B137" s="2"/>
    </row>
    <row r="138" spans="1:2">
      <c r="A138" s="2"/>
      <c r="B138" s="2"/>
    </row>
    <row r="139" spans="1:2">
      <c r="A139" s="2"/>
      <c r="B139" s="2"/>
    </row>
    <row r="140" spans="1:2">
      <c r="A140" s="2"/>
      <c r="B140" s="2"/>
    </row>
    <row r="141" spans="1:2">
      <c r="A141" s="2"/>
      <c r="B141" s="2"/>
    </row>
    <row r="142" spans="1:2">
      <c r="A142" s="2"/>
      <c r="B142" s="2"/>
    </row>
    <row r="143" spans="1:2">
      <c r="A143" s="2"/>
      <c r="B143" s="2"/>
    </row>
    <row r="144" spans="1:2">
      <c r="A144" s="2"/>
      <c r="B144" s="2"/>
    </row>
    <row r="145" spans="1:2">
      <c r="A145" s="2"/>
      <c r="B145" s="2"/>
    </row>
    <row r="146" spans="1:2">
      <c r="A146" s="2"/>
      <c r="B146" s="2"/>
    </row>
    <row r="147" spans="1:2">
      <c r="A147" s="2"/>
      <c r="B147" s="2"/>
    </row>
    <row r="148" spans="1:2">
      <c r="A148" s="2"/>
      <c r="B148" s="2"/>
    </row>
    <row r="149" spans="1:2">
      <c r="A149" s="2"/>
      <c r="B149" s="2"/>
    </row>
    <row r="150" spans="1:2">
      <c r="A150" s="2"/>
      <c r="B150" s="2"/>
    </row>
    <row r="151" spans="1:2">
      <c r="A151" s="2"/>
      <c r="B151" s="2"/>
    </row>
    <row r="152" spans="1:2">
      <c r="A152" s="2"/>
      <c r="B152" s="2"/>
    </row>
    <row r="153" spans="1:2">
      <c r="A153" s="2"/>
      <c r="B153" s="2"/>
    </row>
    <row r="154" spans="1:2">
      <c r="A154" s="2"/>
      <c r="B154" s="2"/>
    </row>
    <row r="155" spans="1:2">
      <c r="A155" s="2"/>
      <c r="B155" s="2"/>
    </row>
    <row r="156" spans="1:2">
      <c r="A156" s="2"/>
      <c r="B156" s="2"/>
    </row>
    <row r="157" spans="1:2">
      <c r="A157" s="2"/>
      <c r="B157" s="2"/>
    </row>
    <row r="158" spans="1:2">
      <c r="A158" s="2"/>
      <c r="B158" s="2"/>
    </row>
    <row r="159" spans="1:2">
      <c r="A159" s="2"/>
      <c r="B159" s="2"/>
    </row>
    <row r="160" spans="1:2">
      <c r="A160" s="2"/>
      <c r="B160" s="2"/>
    </row>
    <row r="161" spans="1:2">
      <c r="A161" s="2"/>
      <c r="B161" s="2"/>
    </row>
    <row r="162" spans="1:2">
      <c r="A162" s="2"/>
      <c r="B162" s="2"/>
    </row>
    <row r="163" spans="1:2">
      <c r="A163" s="2"/>
      <c r="B163" s="2"/>
    </row>
    <row r="164" spans="1:2">
      <c r="A164" s="2"/>
      <c r="B164" s="2"/>
    </row>
    <row r="165" spans="1:2">
      <c r="A165" s="2"/>
      <c r="B165" s="2"/>
    </row>
    <row r="166" spans="1:2">
      <c r="A166" s="2"/>
      <c r="B166" s="2"/>
    </row>
    <row r="167" spans="1:2">
      <c r="A167" s="2"/>
      <c r="B167" s="2"/>
    </row>
    <row r="168" spans="1:2">
      <c r="A168" s="2"/>
      <c r="B168" s="2"/>
    </row>
    <row r="169" spans="1:2">
      <c r="A169" s="2"/>
      <c r="B169" s="2"/>
    </row>
    <row r="170" spans="1:2">
      <c r="A170" s="2"/>
      <c r="B170" s="2"/>
    </row>
    <row r="171" spans="1:2">
      <c r="A171" s="2"/>
      <c r="B171" s="2"/>
    </row>
    <row r="172" spans="1:2">
      <c r="A172" s="2"/>
      <c r="B172" s="2"/>
    </row>
    <row r="173" spans="1:2">
      <c r="A173" s="2"/>
      <c r="B173" s="2"/>
    </row>
    <row r="174" spans="1:2">
      <c r="A174" s="2"/>
      <c r="B174" s="2"/>
    </row>
    <row r="175" spans="1:2">
      <c r="A175" s="2"/>
      <c r="B175" s="2"/>
    </row>
    <row r="176" spans="1:2">
      <c r="A176" s="2"/>
      <c r="B176" s="2"/>
    </row>
    <row r="177" spans="1:2">
      <c r="A177" s="2"/>
      <c r="B177" s="2"/>
    </row>
    <row r="178" spans="1:2">
      <c r="A178" s="2"/>
      <c r="B178" s="2"/>
    </row>
    <row r="179" spans="1:2">
      <c r="A179" s="2"/>
      <c r="B179" s="2"/>
    </row>
    <row r="180" spans="1:2">
      <c r="A180" s="2"/>
      <c r="B180" s="2"/>
    </row>
    <row r="181" spans="1:2">
      <c r="A181" s="2"/>
      <c r="B181" s="2"/>
    </row>
    <row r="182" spans="1:2">
      <c r="A182" s="2"/>
      <c r="B182" s="2"/>
    </row>
    <row r="183" spans="1:2">
      <c r="A183" s="2"/>
      <c r="B183" s="2"/>
    </row>
    <row r="184" spans="1:2">
      <c r="A184" s="2"/>
      <c r="B184" s="2"/>
    </row>
    <row r="185" spans="1:2">
      <c r="A185" s="2"/>
      <c r="B185" s="2"/>
    </row>
    <row r="186" spans="1:2">
      <c r="A186" s="2"/>
      <c r="B186" s="2"/>
    </row>
    <row r="187" spans="1:2">
      <c r="A187" s="2"/>
      <c r="B187" s="2"/>
    </row>
    <row r="188" spans="1:2">
      <c r="A188" s="2"/>
      <c r="B188" s="2"/>
    </row>
    <row r="189" spans="1:2">
      <c r="A189" s="2"/>
      <c r="B189" s="2"/>
    </row>
    <row r="190" spans="1:2">
      <c r="A190" s="2"/>
      <c r="B190" s="2"/>
    </row>
    <row r="191" spans="1:2">
      <c r="A191" s="2"/>
      <c r="B191" s="2"/>
    </row>
    <row r="192" spans="1:2">
      <c r="A192" s="2"/>
      <c r="B192" s="2"/>
    </row>
    <row r="193" spans="1:2">
      <c r="A193" s="2"/>
      <c r="B193" s="2"/>
    </row>
    <row r="194" spans="1:2">
      <c r="A194" s="2"/>
      <c r="B194" s="2"/>
    </row>
    <row r="195" spans="1:2">
      <c r="A195" s="2"/>
      <c r="B195" s="2"/>
    </row>
    <row r="196" spans="1:2">
      <c r="A196" s="2"/>
      <c r="B196" s="2"/>
    </row>
    <row r="197" spans="1:2">
      <c r="A197" s="2"/>
      <c r="B197" s="2"/>
    </row>
    <row r="198" spans="1:2">
      <c r="A198" s="2"/>
      <c r="B198" s="2"/>
    </row>
    <row r="199" spans="1:2">
      <c r="A199" s="2"/>
      <c r="B199" s="2"/>
    </row>
    <row r="200" spans="1:2">
      <c r="A200" s="2"/>
      <c r="B200" s="2"/>
    </row>
    <row r="201" spans="1:2">
      <c r="A201" s="2"/>
      <c r="B201" s="2"/>
    </row>
    <row r="202" spans="1:2">
      <c r="A202" s="2"/>
      <c r="B202" s="2"/>
    </row>
    <row r="203" spans="1:2">
      <c r="A203" s="2"/>
      <c r="B203" s="2"/>
    </row>
    <row r="204" spans="1:2">
      <c r="A204" s="2"/>
      <c r="B204" s="2"/>
    </row>
    <row r="205" spans="1:2">
      <c r="A205" s="2"/>
      <c r="B205" s="2"/>
    </row>
    <row r="206" spans="1:2">
      <c r="A206" s="2"/>
      <c r="B206" s="2"/>
    </row>
    <row r="207" spans="1:2">
      <c r="A207" s="2"/>
      <c r="B207" s="2"/>
    </row>
    <row r="208" spans="1:2">
      <c r="A208" s="2"/>
      <c r="B208" s="2"/>
    </row>
    <row r="209" spans="1:2">
      <c r="A209" s="2"/>
      <c r="B209" s="2"/>
    </row>
    <row r="210" spans="1:2">
      <c r="A210" s="2"/>
      <c r="B210" s="2"/>
    </row>
    <row r="211" spans="1:2">
      <c r="A211" s="2"/>
      <c r="B211" s="2"/>
    </row>
    <row r="212" spans="1:2">
      <c r="A212" s="2"/>
      <c r="B212" s="2"/>
    </row>
    <row r="213" spans="1:2">
      <c r="A213" s="2"/>
      <c r="B213" s="2"/>
    </row>
    <row r="214" spans="1:2">
      <c r="A214" s="2"/>
      <c r="B214" s="2"/>
    </row>
    <row r="215" spans="1:2">
      <c r="A215" s="2"/>
      <c r="B215" s="2"/>
    </row>
    <row r="216" spans="1:2">
      <c r="A216" s="2"/>
      <c r="B216" s="2"/>
    </row>
    <row r="217" spans="1:2">
      <c r="A217" s="2"/>
      <c r="B217" s="2"/>
    </row>
    <row r="218" spans="1:2">
      <c r="A218" s="2"/>
      <c r="B218" s="2"/>
    </row>
    <row r="219" spans="1:2">
      <c r="A219" s="2"/>
      <c r="B219" s="2"/>
    </row>
    <row r="220" spans="1:2">
      <c r="A220" s="2"/>
      <c r="B220" s="2"/>
    </row>
    <row r="221" spans="1:2">
      <c r="A221" s="2"/>
      <c r="B221" s="2"/>
    </row>
    <row r="222" spans="1:2">
      <c r="A222" s="2"/>
      <c r="B222" s="2"/>
    </row>
    <row r="223" spans="1:2">
      <c r="A223" s="2"/>
      <c r="B223" s="2"/>
    </row>
    <row r="224" spans="1:2">
      <c r="A224" s="2"/>
      <c r="B224" s="2"/>
    </row>
    <row r="225" spans="1:2">
      <c r="A225" s="2"/>
      <c r="B225" s="2"/>
    </row>
    <row r="226" spans="1:2">
      <c r="A226" s="2"/>
      <c r="B226" s="2"/>
    </row>
    <row r="227" spans="1:2">
      <c r="A227" s="2"/>
      <c r="B227" s="2"/>
    </row>
    <row r="228" spans="1:2">
      <c r="A228" s="2"/>
      <c r="B228" s="2"/>
    </row>
    <row r="229" spans="1:2">
      <c r="A229" s="2"/>
      <c r="B229" s="2"/>
    </row>
    <row r="230" spans="1:2">
      <c r="A230" s="2"/>
      <c r="B230" s="2"/>
    </row>
    <row r="231" spans="1:2">
      <c r="A231" s="2"/>
      <c r="B231" s="2"/>
    </row>
    <row r="232" spans="1:2">
      <c r="A232" s="2"/>
      <c r="B232" s="2"/>
    </row>
    <row r="233" spans="1:2">
      <c r="A233" s="2"/>
      <c r="B233" s="2"/>
    </row>
    <row r="234" spans="1:2">
      <c r="A234" s="2"/>
      <c r="B234" s="2"/>
    </row>
    <row r="235" spans="1:2">
      <c r="A235" s="2"/>
      <c r="B235" s="2"/>
    </row>
    <row r="236" spans="1:2">
      <c r="A236" s="2"/>
      <c r="B236" s="2"/>
    </row>
    <row r="237" spans="1:2">
      <c r="A237" s="2"/>
      <c r="B237" s="2"/>
    </row>
    <row r="238" spans="1:2">
      <c r="A238" s="2"/>
      <c r="B238" s="2"/>
    </row>
    <row r="239" spans="1:2">
      <c r="A239" s="2"/>
      <c r="B239" s="2"/>
    </row>
    <row r="240" spans="1:2">
      <c r="A240" s="2"/>
      <c r="B240" s="2"/>
    </row>
    <row r="241" spans="1:2">
      <c r="A241" s="2"/>
      <c r="B241" s="2"/>
    </row>
    <row r="242" spans="1:2">
      <c r="A242" s="2"/>
      <c r="B242" s="2"/>
    </row>
    <row r="243" spans="1:2">
      <c r="A243" s="2"/>
      <c r="B243" s="2"/>
    </row>
    <row r="244" spans="1:2">
      <c r="A244" s="2"/>
      <c r="B244" s="2"/>
    </row>
    <row r="245" spans="1:2">
      <c r="A245" s="2"/>
      <c r="B245" s="2"/>
    </row>
    <row r="246" spans="1:2">
      <c r="A246" s="2"/>
      <c r="B246" s="2"/>
    </row>
    <row r="247" spans="1:2">
      <c r="A247" s="2"/>
      <c r="B247" s="2"/>
    </row>
    <row r="248" spans="1:2">
      <c r="A248" s="2"/>
      <c r="B248" s="2"/>
    </row>
    <row r="249" spans="1:2">
      <c r="A249" s="2"/>
      <c r="B249" s="2"/>
    </row>
    <row r="250" spans="1:2">
      <c r="A250" s="2"/>
      <c r="B250" s="2"/>
    </row>
    <row r="251" spans="1:2">
      <c r="A251" s="2"/>
      <c r="B251" s="2"/>
    </row>
    <row r="252" spans="1:2">
      <c r="A252" s="2"/>
      <c r="B252" s="2"/>
    </row>
    <row r="253" spans="1:2">
      <c r="A253" s="2"/>
      <c r="B253" s="2"/>
    </row>
    <row r="254" spans="1:2">
      <c r="A254" s="2"/>
      <c r="B254" s="2"/>
    </row>
    <row r="255" spans="1:2">
      <c r="A255" s="2"/>
      <c r="B255" s="2"/>
    </row>
    <row r="256" spans="1:2">
      <c r="A256" s="2"/>
      <c r="B256" s="2"/>
    </row>
    <row r="257" spans="1:2">
      <c r="A257" s="2"/>
      <c r="B257" s="2"/>
    </row>
    <row r="258" spans="1:2">
      <c r="A258" s="2"/>
      <c r="B258" s="2"/>
    </row>
    <row r="259" spans="1:2">
      <c r="A259" s="2"/>
      <c r="B259" s="2"/>
    </row>
    <row r="260" spans="1:2">
      <c r="A260" s="2"/>
      <c r="B260" s="2"/>
    </row>
    <row r="261" spans="1:2">
      <c r="A261" s="2"/>
      <c r="B261" s="2"/>
    </row>
    <row r="262" spans="1:2">
      <c r="A262" s="2"/>
      <c r="B262" s="2"/>
    </row>
    <row r="263" spans="1:2">
      <c r="A263" s="2"/>
      <c r="B263" s="2"/>
    </row>
    <row r="264" spans="1:2">
      <c r="A264" s="2"/>
      <c r="B264" s="2"/>
    </row>
    <row r="265" spans="1:2">
      <c r="A265" s="2"/>
      <c r="B265" s="2"/>
    </row>
    <row r="266" spans="1:2">
      <c r="A266" s="2"/>
      <c r="B266" s="2"/>
    </row>
    <row r="267" spans="1:2">
      <c r="A267" s="2"/>
      <c r="B267" s="2"/>
    </row>
    <row r="268" spans="1:2">
      <c r="A268" s="2"/>
      <c r="B268" s="2"/>
    </row>
    <row r="269" spans="1:2">
      <c r="A269" s="2"/>
      <c r="B269" s="2"/>
    </row>
    <row r="270" spans="1:2">
      <c r="A270" s="2"/>
      <c r="B270" s="2"/>
    </row>
    <row r="271" spans="1:2">
      <c r="A271" s="2"/>
      <c r="B271" s="2"/>
    </row>
    <row r="272" spans="1:2">
      <c r="A272" s="2"/>
      <c r="B272" s="2"/>
    </row>
    <row r="273" spans="1:2">
      <c r="A273" s="2"/>
      <c r="B273" s="2"/>
    </row>
    <row r="274" spans="1:2">
      <c r="A274" s="2"/>
      <c r="B274" s="2"/>
    </row>
    <row r="275" spans="1:2">
      <c r="A275" s="2"/>
      <c r="B275" s="2"/>
    </row>
    <row r="276" spans="1:2">
      <c r="A276" s="2"/>
      <c r="B276" s="2"/>
    </row>
    <row r="277" spans="1:2">
      <c r="A277" s="2"/>
      <c r="B277" s="2"/>
    </row>
    <row r="278" spans="1:2">
      <c r="A278" s="2"/>
      <c r="B278" s="2"/>
    </row>
    <row r="279" spans="1:2">
      <c r="A279" s="2"/>
      <c r="B279" s="2"/>
    </row>
    <row r="280" spans="1:2">
      <c r="A280" s="2"/>
      <c r="B280" s="2"/>
    </row>
    <row r="281" spans="1:2">
      <c r="A281" s="2"/>
      <c r="B281" s="2"/>
    </row>
    <row r="282" spans="1:2">
      <c r="A282" s="2"/>
      <c r="B282" s="2"/>
    </row>
    <row r="283" spans="1:2">
      <c r="A283" s="2"/>
      <c r="B283" s="2"/>
    </row>
    <row r="284" spans="1:2">
      <c r="A284" s="2"/>
      <c r="B284" s="2"/>
    </row>
    <row r="285" spans="1:2">
      <c r="A285" s="2"/>
      <c r="B285" s="2"/>
    </row>
    <row r="286" spans="1:2">
      <c r="A286" s="2"/>
      <c r="B286" s="2"/>
    </row>
    <row r="287" spans="1:2">
      <c r="A287" s="2"/>
      <c r="B287" s="2"/>
    </row>
    <row r="288" spans="1:2">
      <c r="A288" s="2"/>
      <c r="B288" s="2"/>
    </row>
    <row r="289" spans="1:2">
      <c r="A289" s="2"/>
      <c r="B289" s="2"/>
    </row>
    <row r="290" spans="1:2">
      <c r="A290" s="2"/>
      <c r="B290" s="2"/>
    </row>
    <row r="291" spans="1:2">
      <c r="A291" s="2"/>
      <c r="B291" s="2"/>
    </row>
    <row r="292" spans="1:2">
      <c r="A292" s="2"/>
      <c r="B292" s="2"/>
    </row>
    <row r="293" spans="1:2">
      <c r="A293" s="2"/>
      <c r="B293" s="2"/>
    </row>
    <row r="294" spans="1:2">
      <c r="A294" s="2"/>
      <c r="B294" s="2"/>
    </row>
    <row r="295" spans="1:2">
      <c r="A295" s="2"/>
      <c r="B295" s="2"/>
    </row>
    <row r="296" spans="1:2">
      <c r="A296" s="2"/>
      <c r="B296" s="2"/>
    </row>
    <row r="297" spans="1:2">
      <c r="A297" s="2"/>
      <c r="B297" s="2"/>
    </row>
    <row r="298" spans="1:2">
      <c r="A298" s="2"/>
      <c r="B298" s="2"/>
    </row>
    <row r="299" spans="1:2">
      <c r="A299" s="2"/>
      <c r="B299" s="2"/>
    </row>
    <row r="300" spans="1:2">
      <c r="A300" s="2"/>
      <c r="B300" s="2"/>
    </row>
    <row r="301" spans="1:2">
      <c r="A301" s="2"/>
      <c r="B301" s="2"/>
    </row>
    <row r="302" spans="1:2">
      <c r="A302" s="2"/>
      <c r="B302" s="2"/>
    </row>
    <row r="303" spans="1:2">
      <c r="A303" s="2"/>
      <c r="B303" s="2"/>
    </row>
    <row r="304" spans="1:2">
      <c r="A304" s="2"/>
      <c r="B304" s="2"/>
    </row>
    <row r="305" spans="1:2">
      <c r="A305" s="2"/>
      <c r="B305" s="2"/>
    </row>
    <row r="306" spans="1:2">
      <c r="A306" s="2"/>
      <c r="B306" s="2"/>
    </row>
    <row r="307" spans="1:2">
      <c r="A307" s="2"/>
      <c r="B307" s="2"/>
    </row>
    <row r="308" spans="1:2">
      <c r="A308" s="2"/>
      <c r="B308" s="2"/>
    </row>
    <row r="309" spans="1:2">
      <c r="A309" s="2"/>
      <c r="B309" s="2"/>
    </row>
    <row r="310" spans="1:2">
      <c r="A310" s="2"/>
      <c r="B310" s="2"/>
    </row>
    <row r="311" spans="1:2">
      <c r="A311" s="2"/>
      <c r="B311" s="2"/>
    </row>
    <row r="312" spans="1:2">
      <c r="A312" s="2"/>
      <c r="B312" s="2"/>
    </row>
    <row r="313" spans="1:2">
      <c r="A313" s="2"/>
      <c r="B313" s="2"/>
    </row>
    <row r="314" spans="1:2">
      <c r="A314" s="2"/>
      <c r="B314" s="2"/>
    </row>
    <row r="315" spans="1:2">
      <c r="A315" s="2"/>
      <c r="B315" s="2"/>
    </row>
    <row r="316" spans="1:2">
      <c r="A316" s="2"/>
      <c r="B316" s="2"/>
    </row>
    <row r="317" spans="1:2">
      <c r="A317" s="2"/>
      <c r="B317" s="2"/>
    </row>
    <row r="318" spans="1:2">
      <c r="A318" s="2"/>
      <c r="B318" s="2"/>
    </row>
    <row r="319" spans="1:2">
      <c r="A319" s="2"/>
      <c r="B319" s="2"/>
    </row>
    <row r="320" spans="1:2">
      <c r="A320" s="2"/>
      <c r="B320" s="2"/>
    </row>
    <row r="321" spans="1:2">
      <c r="A321" s="2"/>
      <c r="B321" s="2"/>
    </row>
    <row r="322" spans="1:2">
      <c r="A322" s="2"/>
      <c r="B322" s="2"/>
    </row>
    <row r="323" spans="1:2">
      <c r="A323" s="2"/>
      <c r="B323" s="2"/>
    </row>
    <row r="324" spans="1:2">
      <c r="A324" s="2"/>
      <c r="B324" s="2"/>
    </row>
    <row r="325" spans="1:2">
      <c r="A325" s="2"/>
      <c r="B325" s="2"/>
    </row>
    <row r="326" spans="1:2">
      <c r="A326" s="2"/>
      <c r="B326" s="2"/>
    </row>
    <row r="327" spans="1:2">
      <c r="A327" s="2"/>
      <c r="B327" s="2"/>
    </row>
    <row r="328" spans="1:2">
      <c r="A328" s="2"/>
      <c r="B328" s="2"/>
    </row>
    <row r="329" spans="1:2">
      <c r="A329" s="2"/>
      <c r="B329" s="2"/>
    </row>
    <row r="330" spans="1:2">
      <c r="A330" s="2"/>
      <c r="B330" s="2"/>
    </row>
    <row r="331" spans="1:2">
      <c r="A331" s="2"/>
      <c r="B331" s="2"/>
    </row>
    <row r="332" spans="1:2">
      <c r="A332" s="2"/>
      <c r="B332" s="2"/>
    </row>
    <row r="333" spans="1:2">
      <c r="A333" s="2"/>
      <c r="B333" s="2"/>
    </row>
    <row r="334" spans="1:2">
      <c r="A334" s="2"/>
      <c r="B334" s="2"/>
    </row>
    <row r="335" spans="1:2">
      <c r="A335" s="2"/>
      <c r="B335" s="2"/>
    </row>
    <row r="336" spans="1:2">
      <c r="A336" s="2"/>
      <c r="B336" s="2"/>
    </row>
    <row r="337" spans="1:2">
      <c r="A337" s="2"/>
      <c r="B337" s="2"/>
    </row>
    <row r="338" spans="1:2">
      <c r="A338" s="2"/>
      <c r="B338" s="2"/>
    </row>
    <row r="339" spans="1:2">
      <c r="A339" s="2"/>
      <c r="B339" s="2"/>
    </row>
    <row r="340" spans="1:2">
      <c r="A340" s="2"/>
      <c r="B340" s="2"/>
    </row>
    <row r="341" spans="1:2">
      <c r="A341" s="2"/>
      <c r="B341" s="2"/>
    </row>
    <row r="342" spans="1:2">
      <c r="A342" s="2"/>
      <c r="B342" s="2"/>
    </row>
    <row r="343" spans="1:2">
      <c r="A343" s="2"/>
      <c r="B343" s="2"/>
    </row>
    <row r="344" spans="1:2">
      <c r="A344" s="2"/>
      <c r="B344" s="2"/>
    </row>
    <row r="345" spans="1:2">
      <c r="A345" s="2"/>
      <c r="B345" s="2"/>
    </row>
    <row r="346" spans="1:2">
      <c r="A346" s="2"/>
      <c r="B346" s="2"/>
    </row>
    <row r="347" spans="1:2">
      <c r="A347" s="2"/>
      <c r="B347" s="2"/>
    </row>
    <row r="348" spans="1:2">
      <c r="A348" s="2"/>
      <c r="B348" s="2"/>
    </row>
    <row r="349" spans="1:2">
      <c r="A349" s="2"/>
      <c r="B349" s="2"/>
    </row>
    <row r="350" spans="1:2">
      <c r="A350" s="2"/>
      <c r="B350" s="2"/>
    </row>
    <row r="351" spans="1:2">
      <c r="A351" s="2"/>
      <c r="B351" s="2"/>
    </row>
    <row r="352" spans="1:2">
      <c r="A352" s="2"/>
      <c r="B352" s="2"/>
    </row>
    <row r="353" spans="1:2">
      <c r="A353" s="2"/>
      <c r="B353" s="2"/>
    </row>
    <row r="354" spans="1:2">
      <c r="A354" s="2"/>
      <c r="B354" s="2"/>
    </row>
    <row r="355" spans="1:2">
      <c r="A355" s="2"/>
      <c r="B355" s="2"/>
    </row>
    <row r="356" spans="1:2">
      <c r="A356" s="2"/>
      <c r="B356" s="2"/>
    </row>
    <row r="357" spans="1:2">
      <c r="A357" s="2"/>
      <c r="B357" s="2"/>
    </row>
    <row r="358" spans="1:2">
      <c r="A358" s="2"/>
      <c r="B358" s="2"/>
    </row>
    <row r="359" spans="1:2">
      <c r="A359" s="2"/>
      <c r="B359" s="2"/>
    </row>
    <row r="360" spans="1:2">
      <c r="A360" s="2"/>
      <c r="B360" s="2"/>
    </row>
    <row r="361" spans="1:2">
      <c r="A361" s="2"/>
      <c r="B361" s="2"/>
    </row>
    <row r="362" spans="1:2">
      <c r="A362" s="2"/>
      <c r="B362" s="2"/>
    </row>
    <row r="363" spans="1:2">
      <c r="A363" s="2"/>
      <c r="B363" s="2"/>
    </row>
    <row r="364" spans="1:2">
      <c r="A364" s="2"/>
      <c r="B364" s="2"/>
    </row>
    <row r="365" spans="1:2">
      <c r="A365" s="2"/>
      <c r="B365" s="2"/>
    </row>
    <row r="366" spans="1:2">
      <c r="A366" s="2"/>
      <c r="B366" s="2"/>
    </row>
    <row r="367" spans="1:2">
      <c r="A367" s="2"/>
      <c r="B367" s="2"/>
    </row>
    <row r="368" spans="1:2">
      <c r="A368" s="2"/>
      <c r="B368" s="2"/>
    </row>
    <row r="369" spans="1:2">
      <c r="A369" s="2"/>
      <c r="B369" s="2"/>
    </row>
    <row r="370" spans="1:2">
      <c r="A370" s="2"/>
      <c r="B370" s="2"/>
    </row>
    <row r="371" spans="1:2">
      <c r="A371" s="2"/>
      <c r="B371" s="2"/>
    </row>
    <row r="372" spans="1:2">
      <c r="A372" s="2"/>
      <c r="B372" s="2"/>
    </row>
    <row r="373" spans="1:2">
      <c r="A373" s="2"/>
      <c r="B373" s="2"/>
    </row>
    <row r="374" spans="1:2">
      <c r="A374" s="2"/>
      <c r="B374" s="2"/>
    </row>
    <row r="375" spans="1:2">
      <c r="A375" s="2"/>
      <c r="B375" s="2"/>
    </row>
    <row r="376" spans="1:2">
      <c r="A376" s="2"/>
      <c r="B376" s="2"/>
    </row>
    <row r="377" spans="1:2">
      <c r="A377" s="2"/>
      <c r="B377" s="2"/>
    </row>
    <row r="378" spans="1:2">
      <c r="A378" s="2"/>
      <c r="B378" s="2"/>
    </row>
    <row r="379" spans="1:2">
      <c r="A379" s="2"/>
      <c r="B379" s="2"/>
    </row>
    <row r="380" spans="1:2">
      <c r="A380" s="2"/>
      <c r="B380" s="2"/>
    </row>
    <row r="381" spans="1:2">
      <c r="A381" s="2"/>
      <c r="B381" s="2"/>
    </row>
    <row r="382" spans="1:2">
      <c r="A382" s="2"/>
      <c r="B382" s="2"/>
    </row>
    <row r="383" spans="1:2">
      <c r="A383" s="2"/>
      <c r="B383" s="2"/>
    </row>
    <row r="384" spans="1:2">
      <c r="A384" s="2"/>
      <c r="B384" s="2"/>
    </row>
    <row r="385" spans="1:2">
      <c r="A385" s="2"/>
      <c r="B385" s="2"/>
    </row>
    <row r="386" spans="1:2">
      <c r="A386" s="2"/>
      <c r="B386" s="2"/>
    </row>
    <row r="387" spans="1:2">
      <c r="A387" s="2"/>
      <c r="B387" s="2"/>
    </row>
    <row r="388" spans="1:2">
      <c r="A388" s="2"/>
      <c r="B388" s="2"/>
    </row>
    <row r="389" spans="1:2">
      <c r="A389" s="2"/>
      <c r="B389" s="2"/>
    </row>
    <row r="390" spans="1:2">
      <c r="A390" s="2"/>
      <c r="B390" s="2"/>
    </row>
    <row r="391" spans="1:2">
      <c r="A391" s="2"/>
      <c r="B391" s="2"/>
    </row>
    <row r="392" spans="1:2">
      <c r="A392" s="2"/>
      <c r="B392" s="2"/>
    </row>
    <row r="393" spans="1:2">
      <c r="A393" s="2"/>
      <c r="B393" s="2"/>
    </row>
    <row r="394" spans="1:2">
      <c r="A394" s="2"/>
      <c r="B394" s="2"/>
    </row>
    <row r="395" spans="1:2">
      <c r="A395" s="2"/>
      <c r="B395" s="2"/>
    </row>
    <row r="396" spans="1:2">
      <c r="A396" s="2"/>
      <c r="B396" s="2"/>
    </row>
    <row r="397" spans="1:2">
      <c r="A397" s="2"/>
      <c r="B397" s="2"/>
    </row>
    <row r="398" spans="1:2">
      <c r="A398" s="2"/>
      <c r="B398" s="2"/>
    </row>
    <row r="399" spans="1:2">
      <c r="A399" s="2"/>
      <c r="B399" s="2"/>
    </row>
    <row r="400" spans="1:2">
      <c r="A400" s="2"/>
      <c r="B400" s="2"/>
    </row>
    <row r="401" spans="1:2">
      <c r="A401" s="2"/>
      <c r="B401" s="2"/>
    </row>
    <row r="402" spans="1:2">
      <c r="A402" s="2"/>
      <c r="B402" s="2"/>
    </row>
    <row r="403" spans="1:2">
      <c r="A403" s="2"/>
      <c r="B403" s="2"/>
    </row>
    <row r="404" spans="1:2">
      <c r="A404" s="2"/>
      <c r="B404" s="2"/>
    </row>
    <row r="405" spans="1:2">
      <c r="A405" s="2"/>
      <c r="B405" s="2"/>
    </row>
    <row r="406" spans="1:2">
      <c r="A406" s="2"/>
      <c r="B406" s="2"/>
    </row>
    <row r="407" spans="1:2">
      <c r="A407" s="2"/>
      <c r="B407" s="2"/>
    </row>
    <row r="408" spans="1:2">
      <c r="A408" s="2"/>
      <c r="B408" s="2"/>
    </row>
    <row r="409" spans="1:2">
      <c r="A409" s="2"/>
      <c r="B409" s="2"/>
    </row>
    <row r="410" spans="1:2">
      <c r="A410" s="2"/>
      <c r="B410" s="2"/>
    </row>
    <row r="411" spans="1:2">
      <c r="A411" s="2"/>
      <c r="B411" s="2"/>
    </row>
    <row r="412" spans="1:2">
      <c r="A412" s="2"/>
      <c r="B412" s="2"/>
    </row>
    <row r="413" spans="1:2">
      <c r="A413" s="2"/>
      <c r="B413" s="2"/>
    </row>
    <row r="414" spans="1:2">
      <c r="A414" s="2"/>
      <c r="B414" s="2"/>
    </row>
    <row r="415" spans="1:2">
      <c r="A415" s="2"/>
      <c r="B415" s="2"/>
    </row>
    <row r="416" spans="1:2">
      <c r="A416" s="2"/>
      <c r="B416" s="2"/>
    </row>
    <row r="417" spans="1:2">
      <c r="A417" s="2"/>
      <c r="B417" s="2"/>
    </row>
    <row r="418" spans="1:2">
      <c r="A418" s="2"/>
      <c r="B418" s="2"/>
    </row>
    <row r="419" spans="1:2">
      <c r="A419" s="2"/>
      <c r="B419" s="2"/>
    </row>
    <row r="420" spans="1:2">
      <c r="A420" s="2"/>
      <c r="B420" s="2"/>
    </row>
    <row r="421" spans="1:2">
      <c r="A421" s="2"/>
      <c r="B421" s="2"/>
    </row>
    <row r="422" spans="1:2">
      <c r="A422" s="2"/>
      <c r="B422" s="2"/>
    </row>
    <row r="423" spans="1:2">
      <c r="A423" s="2"/>
      <c r="B423" s="2"/>
    </row>
    <row r="424" spans="1:2">
      <c r="A424" s="2"/>
      <c r="B424" s="2"/>
    </row>
    <row r="425" spans="1:2">
      <c r="A425" s="2"/>
      <c r="B425" s="2"/>
    </row>
    <row r="426" spans="1:2">
      <c r="A426" s="2"/>
      <c r="B426" s="2"/>
    </row>
    <row r="427" spans="1:2">
      <c r="A427" s="2"/>
      <c r="B427" s="2"/>
    </row>
    <row r="428" spans="1:2">
      <c r="A428" s="2"/>
      <c r="B428" s="2"/>
    </row>
    <row r="429" spans="1:2">
      <c r="A429" s="2"/>
      <c r="B429" s="2"/>
    </row>
    <row r="430" spans="1:2">
      <c r="A430" s="2"/>
      <c r="B430" s="2"/>
    </row>
    <row r="431" spans="1:2">
      <c r="A431" s="2"/>
      <c r="B431" s="2"/>
    </row>
    <row r="432" spans="1:2">
      <c r="A432" s="2"/>
      <c r="B432" s="2"/>
    </row>
    <row r="433" spans="1:2">
      <c r="A433" s="2"/>
      <c r="B433" s="2"/>
    </row>
    <row r="434" spans="1:2">
      <c r="A434" s="2"/>
      <c r="B434" s="2"/>
    </row>
    <row r="435" spans="1:2">
      <c r="A435" s="2"/>
      <c r="B435" s="2"/>
    </row>
    <row r="436" spans="1:2">
      <c r="A436" s="2"/>
      <c r="B436" s="2"/>
    </row>
    <row r="437" spans="1:2">
      <c r="A437" s="2"/>
      <c r="B437" s="2"/>
    </row>
    <row r="438" spans="1:2">
      <c r="A438" s="2"/>
      <c r="B438" s="2"/>
    </row>
    <row r="439" spans="1:2">
      <c r="A439" s="2"/>
      <c r="B439" s="2"/>
    </row>
    <row r="440" spans="1:2">
      <c r="A440" s="2"/>
      <c r="B440" s="2"/>
    </row>
    <row r="441" spans="1:2">
      <c r="A441" s="2"/>
      <c r="B441" s="2"/>
    </row>
    <row r="442" spans="1:2">
      <c r="A442" s="2"/>
      <c r="B442" s="2"/>
    </row>
    <row r="443" spans="1:2">
      <c r="A443" s="2"/>
      <c r="B443" s="2"/>
    </row>
    <row r="444" spans="1:2">
      <c r="A444" s="2"/>
      <c r="B444" s="2"/>
    </row>
    <row r="445" spans="1:2">
      <c r="A445" s="2"/>
      <c r="B445" s="2"/>
    </row>
    <row r="446" spans="1:2">
      <c r="A446" s="2"/>
      <c r="B446" s="2"/>
    </row>
    <row r="447" spans="1:2">
      <c r="A447" s="2"/>
      <c r="B447" s="2"/>
    </row>
    <row r="448" spans="1:2">
      <c r="A448" s="2"/>
      <c r="B448" s="2"/>
    </row>
    <row r="449" spans="1:2">
      <c r="A449" s="2"/>
      <c r="B449" s="2"/>
    </row>
    <row r="450" spans="1:2">
      <c r="A450" s="2"/>
      <c r="B450" s="2"/>
    </row>
    <row r="451" spans="1:2">
      <c r="A451" s="2"/>
      <c r="B451" s="2"/>
    </row>
    <row r="452" spans="1:2">
      <c r="A452" s="2"/>
      <c r="B452" s="2"/>
    </row>
    <row r="453" spans="1:2">
      <c r="A453" s="2"/>
      <c r="B453" s="2"/>
    </row>
    <row r="454" spans="1:2">
      <c r="A454" s="2"/>
      <c r="B454" s="2"/>
    </row>
    <row r="455" spans="1:2">
      <c r="A455" s="2"/>
      <c r="B455" s="2"/>
    </row>
    <row r="456" spans="1:2">
      <c r="A456" s="2"/>
      <c r="B456" s="2"/>
    </row>
    <row r="457" spans="1:2">
      <c r="A457" s="2"/>
      <c r="B457" s="2"/>
    </row>
    <row r="458" spans="1:2">
      <c r="A458" s="2"/>
      <c r="B458" s="2"/>
    </row>
    <row r="459" spans="1:2">
      <c r="A459" s="2"/>
      <c r="B459" s="2"/>
    </row>
    <row r="460" spans="1:2">
      <c r="A460" s="2"/>
      <c r="B460" s="2"/>
    </row>
    <row r="461" spans="1:2">
      <c r="A461" s="2"/>
      <c r="B461" s="2"/>
    </row>
    <row r="462" spans="1:2">
      <c r="A462" s="2"/>
      <c r="B462" s="2"/>
    </row>
    <row r="463" spans="1:2">
      <c r="A463" s="2"/>
      <c r="B463" s="2"/>
    </row>
    <row r="464" spans="1:2">
      <c r="A464" s="2"/>
      <c r="B464" s="2"/>
    </row>
    <row r="465" spans="1:2">
      <c r="A465" s="2"/>
      <c r="B465" s="2"/>
    </row>
    <row r="466" spans="1:2">
      <c r="A466" s="2"/>
      <c r="B466" s="2"/>
    </row>
    <row r="467" spans="1:2">
      <c r="A467" s="2"/>
      <c r="B467" s="2"/>
    </row>
    <row r="468" spans="1:2">
      <c r="A468" s="2"/>
      <c r="B468" s="2"/>
    </row>
    <row r="469" spans="1:2">
      <c r="A469" s="2"/>
      <c r="B469" s="2"/>
    </row>
    <row r="470" spans="1:2">
      <c r="A470" s="2"/>
      <c r="B470" s="2"/>
    </row>
    <row r="471" spans="1:2">
      <c r="A471" s="2"/>
      <c r="B471" s="2"/>
    </row>
    <row r="472" spans="1:2">
      <c r="A472" s="2"/>
      <c r="B472" s="2"/>
    </row>
    <row r="473" spans="1:2">
      <c r="A473" s="2"/>
      <c r="B473" s="2"/>
    </row>
    <row r="474" spans="1:2">
      <c r="A474" s="2"/>
      <c r="B474" s="2"/>
    </row>
    <row r="475" spans="1:2">
      <c r="A475" s="2"/>
      <c r="B475" s="2"/>
    </row>
    <row r="476" spans="1:2">
      <c r="A476" s="2"/>
      <c r="B476" s="2"/>
    </row>
    <row r="477" spans="1:2">
      <c r="A477" s="2"/>
      <c r="B477" s="2"/>
    </row>
    <row r="478" spans="1:2">
      <c r="A478" s="2"/>
      <c r="B478" s="2"/>
    </row>
    <row r="479" spans="1:2">
      <c r="A479" s="2"/>
      <c r="B479" s="2"/>
    </row>
    <row r="480" spans="1:2">
      <c r="A480" s="2"/>
      <c r="B480" s="2"/>
    </row>
    <row r="481" spans="1:2">
      <c r="A481" s="2"/>
      <c r="B481" s="2"/>
    </row>
    <row r="482" spans="1:2">
      <c r="A482" s="2"/>
      <c r="B482" s="2"/>
    </row>
    <row r="483" spans="1:2">
      <c r="A483" s="2"/>
      <c r="B483" s="2"/>
    </row>
    <row r="484" spans="1:2">
      <c r="A484" s="2"/>
      <c r="B484" s="2"/>
    </row>
    <row r="485" spans="1:2">
      <c r="A485" s="2"/>
      <c r="B485" s="2"/>
    </row>
    <row r="486" spans="1:2">
      <c r="A486" s="2"/>
      <c r="B486" s="2"/>
    </row>
    <row r="487" spans="1:2">
      <c r="A487" s="2"/>
      <c r="B487" s="2"/>
    </row>
    <row r="488" spans="1:2">
      <c r="A488" s="2"/>
      <c r="B488" s="2"/>
    </row>
    <row r="489" spans="1:2">
      <c r="A489" s="2"/>
      <c r="B489" s="2"/>
    </row>
    <row r="490" spans="1:2">
      <c r="A490" s="2"/>
      <c r="B490" s="2"/>
    </row>
    <row r="491" spans="1:2">
      <c r="A491" s="2"/>
      <c r="B491" s="2"/>
    </row>
    <row r="492" spans="1:2">
      <c r="A492" s="2"/>
      <c r="B492" s="2"/>
    </row>
    <row r="493" spans="1:2">
      <c r="A493" s="2"/>
      <c r="B493" s="2"/>
    </row>
    <row r="494" spans="1:2">
      <c r="A494" s="2"/>
      <c r="B494" s="2"/>
    </row>
    <row r="495" spans="1:2">
      <c r="A495" s="2"/>
      <c r="B495" s="2"/>
    </row>
    <row r="496" spans="1:2">
      <c r="A496" s="2"/>
      <c r="B496" s="2"/>
    </row>
    <row r="497" spans="1:2">
      <c r="A497" s="2"/>
      <c r="B497" s="2"/>
    </row>
    <row r="498" spans="1:2">
      <c r="A498" s="2"/>
      <c r="B498" s="2"/>
    </row>
    <row r="499" spans="1:2">
      <c r="A499" s="2"/>
      <c r="B499" s="2"/>
    </row>
    <row r="500" spans="1:2">
      <c r="A500" s="2"/>
      <c r="B500" s="2"/>
    </row>
    <row r="501" spans="1:2">
      <c r="A501" s="2"/>
      <c r="B501" s="2"/>
    </row>
    <row r="502" spans="1:2">
      <c r="A502" s="2"/>
      <c r="B502" s="2"/>
    </row>
    <row r="503" spans="1:2">
      <c r="A503" s="2"/>
      <c r="B503" s="2"/>
    </row>
    <row r="504" spans="1:2">
      <c r="A504" s="2"/>
      <c r="B504" s="2"/>
    </row>
    <row r="505" spans="1:2">
      <c r="A505" s="2"/>
      <c r="B505" s="2"/>
    </row>
    <row r="506" spans="1:2">
      <c r="A506" s="2"/>
      <c r="B506" s="2"/>
    </row>
    <row r="507" spans="1:2">
      <c r="A507" s="2"/>
      <c r="B507" s="2"/>
    </row>
    <row r="508" spans="1:2">
      <c r="A508" s="2"/>
      <c r="B508" s="2"/>
    </row>
    <row r="509" spans="1:2">
      <c r="A509" s="2"/>
      <c r="B509" s="2"/>
    </row>
    <row r="510" spans="1:2">
      <c r="A510" s="2"/>
      <c r="B510" s="2"/>
    </row>
    <row r="511" spans="1:2">
      <c r="A511" s="2"/>
      <c r="B511" s="2"/>
    </row>
    <row r="512" spans="1:2">
      <c r="A512" s="2"/>
      <c r="B512" s="2"/>
    </row>
    <row r="513" spans="1:2">
      <c r="A513" s="2"/>
      <c r="B513" s="2"/>
    </row>
    <row r="514" spans="1:2">
      <c r="A514" s="2"/>
      <c r="B514" s="2"/>
    </row>
    <row r="515" spans="1:2">
      <c r="A515" s="2"/>
      <c r="B515" s="2"/>
    </row>
    <row r="516" spans="1:2">
      <c r="A516" s="2"/>
      <c r="B516" s="2"/>
    </row>
    <row r="517" spans="1:2">
      <c r="A517" s="2"/>
      <c r="B517" s="2"/>
    </row>
    <row r="518" spans="1:2">
      <c r="A518" s="2"/>
      <c r="B518" s="2"/>
    </row>
    <row r="519" spans="1:2">
      <c r="A519" s="2"/>
      <c r="B519" s="2"/>
    </row>
    <row r="520" spans="1:2">
      <c r="A520" s="2"/>
      <c r="B520" s="2"/>
    </row>
    <row r="521" spans="1:2">
      <c r="A521" s="2"/>
      <c r="B521" s="2"/>
    </row>
    <row r="522" spans="1:2">
      <c r="A522" s="2"/>
      <c r="B522" s="2"/>
    </row>
    <row r="523" spans="1:2">
      <c r="A523" s="2"/>
      <c r="B523" s="2"/>
    </row>
    <row r="524" spans="1:2">
      <c r="A524" s="2"/>
      <c r="B524" s="2"/>
    </row>
    <row r="525" spans="1:2">
      <c r="A525" s="2"/>
      <c r="B525" s="2"/>
    </row>
    <row r="526" spans="1:2">
      <c r="A526" s="2"/>
      <c r="B526" s="2"/>
    </row>
    <row r="527" spans="1:2">
      <c r="A527" s="2"/>
      <c r="B527" s="2"/>
    </row>
    <row r="528" spans="1:2">
      <c r="A528" s="2"/>
      <c r="B528" s="2"/>
    </row>
    <row r="529" spans="1:2">
      <c r="A529" s="2"/>
      <c r="B529" s="2"/>
    </row>
    <row r="530" spans="1:2">
      <c r="A530" s="2"/>
      <c r="B530" s="2"/>
    </row>
    <row r="531" spans="1:2">
      <c r="A531" s="2"/>
      <c r="B531" s="2"/>
    </row>
    <row r="532" spans="1:2">
      <c r="A532" s="2"/>
      <c r="B532" s="2"/>
    </row>
    <row r="533" spans="1:2">
      <c r="A533" s="2"/>
      <c r="B533" s="2"/>
    </row>
    <row r="534" spans="1:2">
      <c r="A534" s="2"/>
      <c r="B534" s="2"/>
    </row>
    <row r="535" spans="1:2">
      <c r="A535" s="2"/>
      <c r="B535" s="2"/>
    </row>
    <row r="536" spans="1:2">
      <c r="A536" s="2"/>
      <c r="B536" s="2"/>
    </row>
    <row r="537" spans="1:2">
      <c r="A537" s="2"/>
      <c r="B537" s="2"/>
    </row>
    <row r="538" spans="1:2">
      <c r="A538" s="2"/>
      <c r="B538" s="2"/>
    </row>
    <row r="539" spans="1:2">
      <c r="A539" s="2"/>
      <c r="B539" s="2"/>
    </row>
    <row r="540" spans="1:2">
      <c r="A540" s="2"/>
      <c r="B540" s="2"/>
    </row>
    <row r="541" spans="1:2">
      <c r="A541" s="2"/>
      <c r="B541" s="2"/>
    </row>
    <row r="542" spans="1:2">
      <c r="A542" s="2"/>
      <c r="B542" s="2"/>
    </row>
    <row r="543" spans="1:2">
      <c r="A543" s="2"/>
      <c r="B543" s="2"/>
    </row>
    <row r="544" spans="1:2">
      <c r="A544" s="2"/>
      <c r="B544" s="2"/>
    </row>
    <row r="545" spans="1:2">
      <c r="A545" s="2"/>
      <c r="B545" s="2"/>
    </row>
    <row r="546" spans="1:2">
      <c r="A546" s="2"/>
      <c r="B546" s="2"/>
    </row>
    <row r="547" spans="1:2">
      <c r="A547" s="2"/>
      <c r="B547" s="2"/>
    </row>
    <row r="548" spans="1:2">
      <c r="A548" s="2"/>
      <c r="B548" s="2"/>
    </row>
    <row r="549" spans="1:2">
      <c r="A549" s="2"/>
      <c r="B549" s="2"/>
    </row>
    <row r="550" spans="1:2">
      <c r="A550" s="2"/>
      <c r="B550" s="2"/>
    </row>
    <row r="551" spans="1:2">
      <c r="A551" s="2"/>
      <c r="B551" s="2"/>
    </row>
    <row r="552" spans="1:2">
      <c r="A552" s="2"/>
      <c r="B552" s="2"/>
    </row>
    <row r="553" spans="1:2">
      <c r="A553" s="2"/>
      <c r="B553" s="2"/>
    </row>
    <row r="554" spans="1:2">
      <c r="A554" s="2"/>
      <c r="B554" s="2"/>
    </row>
    <row r="555" spans="1:2">
      <c r="A555" s="2"/>
      <c r="B555" s="2"/>
    </row>
    <row r="556" spans="1:2">
      <c r="A556" s="2"/>
      <c r="B556" s="2"/>
    </row>
    <row r="557" spans="1:2">
      <c r="A557" s="2"/>
      <c r="B557" s="2"/>
    </row>
    <row r="558" spans="1:2">
      <c r="A558" s="2"/>
      <c r="B558" s="2"/>
    </row>
    <row r="559" spans="1:2">
      <c r="A559" s="2"/>
      <c r="B559" s="2"/>
    </row>
    <row r="560" spans="1:2">
      <c r="A560" s="2"/>
      <c r="B560" s="2"/>
    </row>
    <row r="561" spans="1:2">
      <c r="A561" s="2"/>
      <c r="B561" s="2"/>
    </row>
    <row r="562" spans="1:2">
      <c r="A562" s="2"/>
      <c r="B562" s="2"/>
    </row>
    <row r="563" spans="1:2">
      <c r="A563" s="2"/>
      <c r="B563" s="2"/>
    </row>
    <row r="564" spans="1:2">
      <c r="A564" s="2"/>
      <c r="B564" s="2"/>
    </row>
    <row r="565" spans="1:2">
      <c r="A565" s="2"/>
      <c r="B565" s="2"/>
    </row>
    <row r="566" spans="1:2">
      <c r="A566" s="2"/>
      <c r="B566" s="2"/>
    </row>
    <row r="567" spans="1:2">
      <c r="A567" s="2"/>
      <c r="B567" s="2"/>
    </row>
    <row r="568" spans="1:2">
      <c r="A568" s="2"/>
      <c r="B568" s="2"/>
    </row>
    <row r="569" spans="1:2">
      <c r="A569" s="2"/>
      <c r="B569" s="2"/>
    </row>
    <row r="570" spans="1:2">
      <c r="A570" s="2"/>
      <c r="B570" s="2"/>
    </row>
    <row r="571" spans="1:2">
      <c r="A571" s="2"/>
      <c r="B571" s="2"/>
    </row>
    <row r="572" spans="1:2">
      <c r="A572" s="2"/>
      <c r="B572" s="2"/>
    </row>
    <row r="573" spans="1:2">
      <c r="A573" s="2"/>
      <c r="B573" s="2"/>
    </row>
    <row r="574" spans="1:2">
      <c r="A574" s="2"/>
      <c r="B574" s="2"/>
    </row>
    <row r="575" spans="1:2">
      <c r="A575" s="2"/>
      <c r="B575" s="2"/>
    </row>
    <row r="576" spans="1:2">
      <c r="A576" s="2"/>
      <c r="B576" s="2"/>
    </row>
    <row r="577" spans="1:2">
      <c r="A577" s="2"/>
      <c r="B577" s="2"/>
    </row>
    <row r="578" spans="1:2">
      <c r="A578" s="2"/>
      <c r="B578" s="2"/>
    </row>
    <row r="579" spans="1:2">
      <c r="A579" s="2"/>
      <c r="B579" s="2"/>
    </row>
    <row r="580" spans="1:2">
      <c r="A580" s="2"/>
      <c r="B580" s="2"/>
    </row>
    <row r="581" spans="1:2">
      <c r="A581" s="2"/>
      <c r="B581" s="2"/>
    </row>
    <row r="582" spans="1:2">
      <c r="A582" s="2"/>
      <c r="B582" s="2"/>
    </row>
    <row r="583" spans="1:2">
      <c r="A583" s="2"/>
      <c r="B583" s="2"/>
    </row>
    <row r="584" spans="1:2">
      <c r="A584" s="2"/>
      <c r="B584" s="2"/>
    </row>
    <row r="585" spans="1:2">
      <c r="A585" s="2"/>
      <c r="B585" s="2"/>
    </row>
    <row r="586" spans="1:2">
      <c r="A586" s="2"/>
      <c r="B586" s="2"/>
    </row>
    <row r="587" spans="1:2">
      <c r="A587" s="2"/>
      <c r="B587" s="2"/>
    </row>
    <row r="588" spans="1:2">
      <c r="A588" s="2"/>
      <c r="B588" s="2"/>
    </row>
    <row r="589" spans="1:2">
      <c r="A589" s="2"/>
      <c r="B589" s="2"/>
    </row>
    <row r="590" spans="1:2">
      <c r="A590" s="2"/>
      <c r="B590" s="2"/>
    </row>
    <row r="591" spans="1:2">
      <c r="A591" s="2"/>
      <c r="B591" s="2"/>
    </row>
    <row r="592" spans="1:2">
      <c r="A592" s="2"/>
      <c r="B592" s="2"/>
    </row>
    <row r="593" spans="1:2">
      <c r="A593" s="2"/>
      <c r="B593" s="2"/>
    </row>
    <row r="594" spans="1:2">
      <c r="A594" s="2"/>
      <c r="B594" s="2"/>
    </row>
    <row r="595" spans="1:2">
      <c r="A595" s="2"/>
      <c r="B595" s="2"/>
    </row>
    <row r="596" spans="1:2">
      <c r="A596" s="2"/>
      <c r="B596" s="2"/>
    </row>
    <row r="597" spans="1:2">
      <c r="A597" s="2"/>
      <c r="B597" s="2"/>
    </row>
    <row r="598" spans="1:2">
      <c r="A598" s="2"/>
      <c r="B598" s="2"/>
    </row>
    <row r="599" spans="1:2">
      <c r="A599" s="2"/>
      <c r="B599" s="2"/>
    </row>
    <row r="600" spans="1:2">
      <c r="A600" s="2"/>
      <c r="B600" s="2"/>
    </row>
    <row r="601" spans="1:2">
      <c r="A601" s="2"/>
      <c r="B601" s="2"/>
    </row>
    <row r="602" spans="1:2">
      <c r="A602" s="2"/>
      <c r="B602" s="2"/>
    </row>
    <row r="603" spans="1:2">
      <c r="A603" s="2"/>
      <c r="B603" s="2"/>
    </row>
    <row r="604" spans="1:2">
      <c r="A604" s="2"/>
      <c r="B604" s="2"/>
    </row>
    <row r="605" spans="1:2">
      <c r="A605" s="2"/>
      <c r="B605" s="2"/>
    </row>
    <row r="606" spans="1:2">
      <c r="A606" s="2"/>
      <c r="B606" s="2"/>
    </row>
    <row r="607" spans="1:2">
      <c r="A607" s="2"/>
      <c r="B607" s="2"/>
    </row>
    <row r="608" spans="1:2">
      <c r="A608" s="2"/>
      <c r="B608" s="2"/>
    </row>
    <row r="609" spans="1:2">
      <c r="A609" s="2"/>
      <c r="B609" s="2"/>
    </row>
    <row r="610" spans="1:2">
      <c r="A610" s="2"/>
      <c r="B610" s="2"/>
    </row>
    <row r="611" spans="1:2">
      <c r="A611" s="2"/>
      <c r="B611" s="2"/>
    </row>
    <row r="612" spans="1:2">
      <c r="A612" s="2"/>
      <c r="B612" s="2"/>
    </row>
    <row r="613" spans="1:2">
      <c r="A613" s="2"/>
      <c r="B613" s="2"/>
    </row>
    <row r="614" spans="1:2">
      <c r="A614" s="2"/>
      <c r="B614" s="2"/>
    </row>
    <row r="615" spans="1:2">
      <c r="A615" s="2"/>
      <c r="B615" s="2"/>
    </row>
    <row r="616" spans="1:2">
      <c r="A616" s="2"/>
      <c r="B616" s="2"/>
    </row>
    <row r="617" spans="1:2">
      <c r="A617" s="2"/>
      <c r="B617" s="2"/>
    </row>
    <row r="618" spans="1:2">
      <c r="A618" s="2"/>
      <c r="B618" s="2"/>
    </row>
    <row r="619" spans="1:2">
      <c r="A619" s="2"/>
      <c r="B619" s="2"/>
    </row>
    <row r="620" spans="1:2">
      <c r="A620" s="2"/>
      <c r="B620" s="2"/>
    </row>
    <row r="621" spans="1:2">
      <c r="A621" s="2"/>
      <c r="B621" s="2"/>
    </row>
    <row r="622" spans="1:2">
      <c r="A622" s="2"/>
      <c r="B622" s="2"/>
    </row>
    <row r="623" spans="1:2">
      <c r="A623" s="2"/>
      <c r="B623" s="2"/>
    </row>
    <row r="624" spans="1:2">
      <c r="A624" s="2"/>
      <c r="B624" s="2"/>
    </row>
    <row r="625" spans="1:2">
      <c r="A625" s="2"/>
      <c r="B625" s="2"/>
    </row>
    <row r="626" spans="1:2">
      <c r="A626" s="2"/>
      <c r="B626" s="2"/>
    </row>
    <row r="627" spans="1:2">
      <c r="A627" s="2"/>
      <c r="B627" s="2"/>
    </row>
    <row r="628" spans="1:2">
      <c r="A628" s="2"/>
      <c r="B628" s="2"/>
    </row>
    <row r="629" spans="1:2">
      <c r="A629" s="2"/>
      <c r="B629" s="2"/>
    </row>
    <row r="630" spans="1:2">
      <c r="A630" s="2"/>
      <c r="B630" s="2"/>
    </row>
    <row r="631" spans="1:2">
      <c r="A631" s="2"/>
      <c r="B631" s="2"/>
    </row>
    <row r="632" spans="1:2">
      <c r="A632" s="2"/>
      <c r="B632" s="2"/>
    </row>
    <row r="633" spans="1:2">
      <c r="A633" s="2"/>
      <c r="B633" s="2"/>
    </row>
    <row r="634" spans="1:2">
      <c r="A634" s="2"/>
      <c r="B634" s="2"/>
    </row>
    <row r="635" spans="1:2">
      <c r="A635" s="2"/>
      <c r="B635" s="2"/>
    </row>
    <row r="636" spans="1:2">
      <c r="A636" s="2"/>
      <c r="B636" s="2"/>
    </row>
    <row r="637" spans="1:2">
      <c r="A637" s="2"/>
      <c r="B637" s="2"/>
    </row>
    <row r="638" spans="1:2">
      <c r="A638" s="2"/>
      <c r="B638" s="2"/>
    </row>
    <row r="639" spans="1:2">
      <c r="A639" s="2"/>
      <c r="B639" s="2"/>
    </row>
    <row r="640" spans="1:2">
      <c r="A640" s="2"/>
      <c r="B640" s="2"/>
    </row>
    <row r="641" spans="1:2">
      <c r="A641" s="2"/>
      <c r="B641" s="2"/>
    </row>
    <row r="642" spans="1:2">
      <c r="A642" s="2"/>
      <c r="B642" s="2"/>
    </row>
    <row r="643" spans="1:2">
      <c r="A643" s="2"/>
      <c r="B643" s="2"/>
    </row>
    <row r="644" spans="1:2">
      <c r="A644" s="2"/>
      <c r="B644" s="2"/>
    </row>
    <row r="645" spans="1:2">
      <c r="A645" s="2"/>
      <c r="B645" s="2"/>
    </row>
    <row r="646" spans="1:2">
      <c r="A646" s="2"/>
      <c r="B646" s="2"/>
    </row>
    <row r="647" spans="1:2">
      <c r="A647" s="2"/>
      <c r="B647" s="2"/>
    </row>
    <row r="648" spans="1:2">
      <c r="A648" s="2"/>
      <c r="B648" s="2"/>
    </row>
    <row r="649" spans="1:2">
      <c r="A649" s="2"/>
      <c r="B649" s="2"/>
    </row>
    <row r="650" spans="1:2">
      <c r="A650" s="2"/>
      <c r="B650" s="2"/>
    </row>
    <row r="651" spans="1:2">
      <c r="A651" s="2"/>
      <c r="B651" s="2"/>
    </row>
    <row r="652" spans="1:2">
      <c r="A652" s="2"/>
      <c r="B652" s="2"/>
    </row>
    <row r="653" spans="1:2">
      <c r="A653" s="2"/>
      <c r="B653" s="2"/>
    </row>
    <row r="654" spans="1:2">
      <c r="A654" s="2"/>
      <c r="B654" s="2"/>
    </row>
    <row r="655" spans="1:2">
      <c r="A655" s="2"/>
      <c r="B655" s="2"/>
    </row>
    <row r="656" spans="1:2">
      <c r="A656" s="2"/>
      <c r="B656" s="2"/>
    </row>
    <row r="657" spans="1:2">
      <c r="A657" s="2"/>
      <c r="B657" s="2"/>
    </row>
    <row r="658" spans="1:2">
      <c r="A658" s="2"/>
      <c r="B658" s="2"/>
    </row>
    <row r="659" spans="1:2">
      <c r="A659" s="2"/>
      <c r="B659" s="2"/>
    </row>
    <row r="660" spans="1:2">
      <c r="A660" s="2"/>
      <c r="B660" s="2"/>
    </row>
    <row r="661" spans="1:2">
      <c r="A661" s="2"/>
      <c r="B661" s="2"/>
    </row>
    <row r="662" spans="1:2">
      <c r="A662" s="2"/>
      <c r="B662" s="2"/>
    </row>
    <row r="663" spans="1:2">
      <c r="A663" s="2"/>
      <c r="B663" s="2"/>
    </row>
    <row r="664" spans="1:2">
      <c r="A664" s="2"/>
      <c r="B664" s="2"/>
    </row>
    <row r="665" spans="1:2">
      <c r="A665" s="2"/>
      <c r="B665" s="2"/>
    </row>
    <row r="666" spans="1:2">
      <c r="A666" s="2"/>
      <c r="B666" s="2"/>
    </row>
    <row r="667" spans="1:2">
      <c r="A667" s="2"/>
      <c r="B667" s="2"/>
    </row>
    <row r="668" spans="1:2">
      <c r="A668" s="2"/>
      <c r="B668" s="2"/>
    </row>
    <row r="669" spans="1:2">
      <c r="A669" s="2"/>
      <c r="B669" s="2"/>
    </row>
    <row r="670" spans="1:2">
      <c r="A670" s="2"/>
      <c r="B670" s="2"/>
    </row>
    <row r="671" spans="1:2">
      <c r="A671" s="2"/>
      <c r="B671" s="2"/>
    </row>
    <row r="672" spans="1:2">
      <c r="A672" s="2"/>
      <c r="B672" s="2"/>
    </row>
    <row r="673" spans="1:2">
      <c r="A673" s="2"/>
      <c r="B673" s="2"/>
    </row>
    <row r="674" spans="1:2">
      <c r="A674" s="2"/>
      <c r="B674" s="2"/>
    </row>
    <row r="675" spans="1:2">
      <c r="A675" s="2"/>
      <c r="B675" s="2"/>
    </row>
    <row r="676" spans="1:2">
      <c r="A676" s="2"/>
      <c r="B676" s="2"/>
    </row>
    <row r="677" spans="1:2">
      <c r="A677" s="2"/>
      <c r="B677" s="2"/>
    </row>
    <row r="678" spans="1:2">
      <c r="A678" s="2"/>
      <c r="B678" s="2"/>
    </row>
    <row r="679" spans="1:2">
      <c r="A679" s="2"/>
      <c r="B679" s="2"/>
    </row>
    <row r="680" spans="1:2">
      <c r="A680" s="2"/>
      <c r="B680" s="2"/>
    </row>
    <row r="681" spans="1:2">
      <c r="A681" s="2"/>
      <c r="B681" s="2"/>
    </row>
    <row r="682" spans="1:2">
      <c r="A682" s="2"/>
      <c r="B682" s="2"/>
    </row>
    <row r="683" spans="1:2">
      <c r="A683" s="2"/>
      <c r="B683" s="2"/>
    </row>
    <row r="684" spans="1:2">
      <c r="A684" s="2"/>
      <c r="B684" s="2"/>
    </row>
    <row r="685" spans="1:2">
      <c r="A685" s="2"/>
      <c r="B685" s="2"/>
    </row>
    <row r="686" spans="1:2">
      <c r="A686" s="2"/>
      <c r="B686" s="2"/>
    </row>
    <row r="687" spans="1:2">
      <c r="A687" s="2"/>
      <c r="B687" s="2"/>
    </row>
    <row r="688" spans="1:2">
      <c r="A688" s="2"/>
      <c r="B688" s="2"/>
    </row>
    <row r="689" spans="1:2">
      <c r="A689" s="2"/>
      <c r="B689" s="2"/>
    </row>
    <row r="690" spans="1:2">
      <c r="A690" s="2"/>
      <c r="B690" s="2"/>
    </row>
    <row r="691" spans="1:2">
      <c r="A691" s="2"/>
      <c r="B691" s="2"/>
    </row>
    <row r="692" spans="1:2">
      <c r="A692" s="2"/>
      <c r="B692" s="2"/>
    </row>
    <row r="693" spans="1:2">
      <c r="A693" s="2"/>
      <c r="B693" s="2"/>
    </row>
    <row r="694" spans="1:2">
      <c r="A694" s="2"/>
      <c r="B694" s="2"/>
    </row>
    <row r="695" spans="1:2">
      <c r="A695" s="2"/>
      <c r="B695" s="2"/>
    </row>
    <row r="696" spans="1:2">
      <c r="A696" s="2"/>
      <c r="B696" s="2"/>
    </row>
    <row r="697" spans="1:2">
      <c r="A697" s="2"/>
      <c r="B697" s="2"/>
    </row>
    <row r="698" spans="1:2">
      <c r="A698" s="2"/>
      <c r="B698" s="2"/>
    </row>
    <row r="699" spans="1:2">
      <c r="A699" s="2"/>
      <c r="B699" s="2"/>
    </row>
    <row r="700" spans="1:2">
      <c r="A700" s="2"/>
      <c r="B700" s="2"/>
    </row>
    <row r="701" spans="1:2">
      <c r="A701" s="2"/>
      <c r="B701" s="2"/>
    </row>
    <row r="702" spans="1:2">
      <c r="A702" s="2"/>
      <c r="B702" s="2"/>
    </row>
    <row r="703" spans="1:2">
      <c r="A703" s="2"/>
      <c r="B703" s="2"/>
    </row>
    <row r="704" spans="1:2">
      <c r="A704" s="2"/>
      <c r="B704" s="2"/>
    </row>
    <row r="705" spans="1:2">
      <c r="A705" s="2"/>
      <c r="B705" s="2"/>
    </row>
    <row r="706" spans="1:2">
      <c r="A706" s="2"/>
      <c r="B706" s="2"/>
    </row>
    <row r="707" spans="1:2">
      <c r="A707" s="2"/>
      <c r="B707" s="2"/>
    </row>
    <row r="708" spans="1:2">
      <c r="A708" s="2"/>
      <c r="B708" s="2"/>
    </row>
    <row r="709" spans="1:2">
      <c r="A709" s="2"/>
      <c r="B709" s="2"/>
    </row>
    <row r="710" spans="1:2">
      <c r="A710" s="2"/>
      <c r="B710" s="2"/>
    </row>
    <row r="711" spans="1:2">
      <c r="A711" s="2"/>
      <c r="B711" s="2"/>
    </row>
    <row r="712" spans="1:2">
      <c r="A712" s="2"/>
      <c r="B712" s="2"/>
    </row>
    <row r="713" spans="1:2">
      <c r="A713" s="2"/>
      <c r="B713" s="2"/>
    </row>
    <row r="714" spans="1:2">
      <c r="A714" s="2"/>
      <c r="B714" s="2"/>
    </row>
    <row r="715" spans="1:2">
      <c r="A715" s="2"/>
      <c r="B715" s="2"/>
    </row>
    <row r="716" spans="1:2">
      <c r="A716" s="2"/>
      <c r="B716" s="2"/>
    </row>
    <row r="717" spans="1:2">
      <c r="A717" s="2"/>
      <c r="B717" s="2"/>
    </row>
    <row r="718" spans="1:2">
      <c r="A718" s="2"/>
      <c r="B718" s="2"/>
    </row>
    <row r="719" spans="1:2">
      <c r="A719" s="2"/>
      <c r="B719" s="2"/>
    </row>
    <row r="720" spans="1:2">
      <c r="A720" s="2"/>
      <c r="B720" s="2"/>
    </row>
    <row r="721" spans="1:2">
      <c r="A721" s="2"/>
      <c r="B721" s="2"/>
    </row>
    <row r="722" spans="1:2">
      <c r="A722" s="2"/>
      <c r="B722" s="2"/>
    </row>
    <row r="723" spans="1:2">
      <c r="A723" s="2"/>
      <c r="B723" s="2"/>
    </row>
    <row r="724" spans="1:2">
      <c r="A724" s="2"/>
      <c r="B724" s="2"/>
    </row>
    <row r="725" spans="1:2">
      <c r="A725" s="2"/>
      <c r="B725" s="2"/>
    </row>
    <row r="726" spans="1:2">
      <c r="A726" s="2"/>
      <c r="B726" s="2"/>
    </row>
    <row r="727" spans="1:2">
      <c r="A727" s="2"/>
      <c r="B727" s="2"/>
    </row>
    <row r="728" spans="1:2">
      <c r="A728" s="2"/>
      <c r="B728" s="2"/>
    </row>
    <row r="729" spans="1:2">
      <c r="A729" s="2"/>
      <c r="B729" s="2"/>
    </row>
    <row r="730" spans="1:2">
      <c r="A730" s="2"/>
      <c r="B730" s="2"/>
    </row>
    <row r="731" spans="1:2">
      <c r="A731" s="2"/>
      <c r="B731" s="2"/>
    </row>
    <row r="732" spans="1:2">
      <c r="A732" s="2"/>
      <c r="B732" s="2"/>
    </row>
    <row r="733" spans="1:2">
      <c r="A733" s="2"/>
      <c r="B733" s="2"/>
    </row>
    <row r="734" spans="1:2">
      <c r="A734" s="2"/>
      <c r="B734" s="2"/>
    </row>
    <row r="735" spans="1:2">
      <c r="A735" s="2"/>
      <c r="B735" s="2"/>
    </row>
    <row r="736" spans="1:2">
      <c r="A736" s="2"/>
      <c r="B736" s="2"/>
    </row>
    <row r="737" spans="1:2">
      <c r="A737" s="2"/>
      <c r="B737" s="2"/>
    </row>
    <row r="738" spans="1:2">
      <c r="A738" s="2"/>
      <c r="B738" s="2"/>
    </row>
    <row r="739" spans="1:2">
      <c r="A739" s="2"/>
      <c r="B739" s="2"/>
    </row>
    <row r="740" spans="1:2">
      <c r="A740" s="2"/>
      <c r="B740" s="2"/>
    </row>
    <row r="741" spans="1:2">
      <c r="A741" s="2"/>
      <c r="B741" s="2"/>
    </row>
    <row r="742" spans="1:2">
      <c r="A742" s="2"/>
      <c r="B742" s="2"/>
    </row>
    <row r="743" spans="1:2">
      <c r="A743" s="2"/>
      <c r="B743" s="2"/>
    </row>
    <row r="744" spans="1:2">
      <c r="A744" s="2"/>
      <c r="B744" s="2"/>
    </row>
    <row r="745" spans="1:2">
      <c r="A745" s="2"/>
      <c r="B745" s="2"/>
    </row>
    <row r="746" spans="1:2">
      <c r="A746" s="2"/>
      <c r="B746" s="2"/>
    </row>
    <row r="747" spans="1:2">
      <c r="A747" s="2"/>
      <c r="B747" s="2"/>
    </row>
    <row r="748" spans="1:2">
      <c r="A748" s="2"/>
      <c r="B748" s="2"/>
    </row>
    <row r="749" spans="1:2">
      <c r="A749" s="2"/>
      <c r="B749" s="2"/>
    </row>
    <row r="750" spans="1:2">
      <c r="A750" s="2"/>
      <c r="B750" s="2"/>
    </row>
    <row r="751" spans="1:2">
      <c r="A751" s="2"/>
      <c r="B751" s="2"/>
    </row>
    <row r="752" spans="1:2">
      <c r="A752" s="2"/>
      <c r="B752" s="2"/>
    </row>
    <row r="753" spans="1:2">
      <c r="A753" s="2"/>
      <c r="B753" s="2"/>
    </row>
    <row r="754" spans="1:2">
      <c r="A754" s="2"/>
      <c r="B754" s="2"/>
    </row>
    <row r="755" spans="1:2">
      <c r="A755" s="2"/>
      <c r="B755" s="2"/>
    </row>
    <row r="756" spans="1:2">
      <c r="A756" s="2"/>
      <c r="B756" s="2"/>
    </row>
    <row r="757" spans="1:2">
      <c r="A757" s="2"/>
      <c r="B757" s="2"/>
    </row>
    <row r="758" spans="1:2">
      <c r="A758" s="2"/>
      <c r="B758" s="2"/>
    </row>
    <row r="759" spans="1:2">
      <c r="A759" s="2"/>
      <c r="B759" s="2"/>
    </row>
    <row r="760" spans="1:2">
      <c r="A760" s="2"/>
      <c r="B760" s="2"/>
    </row>
    <row r="761" spans="1:2">
      <c r="A761" s="2"/>
      <c r="B761" s="2"/>
    </row>
    <row r="762" spans="1:2">
      <c r="A762" s="2"/>
      <c r="B762" s="2"/>
    </row>
    <row r="763" spans="1:2">
      <c r="A763" s="2"/>
      <c r="B763" s="2"/>
    </row>
    <row r="764" spans="1:2">
      <c r="A764" s="2"/>
      <c r="B764" s="2"/>
    </row>
    <row r="765" spans="1:2">
      <c r="A765" s="2"/>
      <c r="B765" s="2"/>
    </row>
    <row r="766" spans="1:2">
      <c r="A766" s="2"/>
      <c r="B766" s="2"/>
    </row>
    <row r="767" spans="1:2">
      <c r="A767" s="2"/>
      <c r="B767" s="2"/>
    </row>
    <row r="768" spans="1:2">
      <c r="A768" s="2"/>
      <c r="B768" s="2"/>
    </row>
    <row r="769" spans="1:2">
      <c r="A769" s="2"/>
      <c r="B769" s="2"/>
    </row>
    <row r="770" spans="1:2">
      <c r="A770" s="2"/>
      <c r="B770" s="2"/>
    </row>
    <row r="771" spans="1:2">
      <c r="A771" s="2"/>
      <c r="B771" s="2"/>
    </row>
    <row r="772" spans="1:2">
      <c r="A772" s="2"/>
      <c r="B772" s="2"/>
    </row>
    <row r="773" spans="1:2">
      <c r="A773" s="2"/>
      <c r="B773" s="2"/>
    </row>
    <row r="774" spans="1:2">
      <c r="A774" s="2"/>
      <c r="B774" s="2"/>
    </row>
    <row r="775" spans="1:2">
      <c r="A775" s="2"/>
      <c r="B775" s="2"/>
    </row>
    <row r="776" spans="1:2">
      <c r="A776" s="2"/>
      <c r="B776" s="2"/>
    </row>
    <row r="777" spans="1:2">
      <c r="A777" s="2"/>
      <c r="B777" s="2"/>
    </row>
    <row r="778" spans="1:2">
      <c r="A778" s="2"/>
      <c r="B778" s="2"/>
    </row>
    <row r="779" spans="1:2">
      <c r="A779" s="2"/>
      <c r="B779" s="2"/>
    </row>
    <row r="780" spans="1:2">
      <c r="A780" s="2"/>
      <c r="B780" s="2"/>
    </row>
    <row r="781" spans="1:2">
      <c r="A781" s="2"/>
      <c r="B781" s="2"/>
    </row>
    <row r="782" spans="1:2">
      <c r="A782" s="2"/>
      <c r="B782" s="2"/>
    </row>
    <row r="783" spans="1:2">
      <c r="A783" s="2"/>
      <c r="B783" s="2"/>
    </row>
    <row r="784" spans="1:2">
      <c r="A784" s="2"/>
      <c r="B784" s="2"/>
    </row>
    <row r="785" spans="1:2">
      <c r="A785" s="2"/>
      <c r="B785" s="2"/>
    </row>
    <row r="786" spans="1:2">
      <c r="A786" s="2"/>
      <c r="B786" s="2"/>
    </row>
    <row r="787" spans="1:2">
      <c r="A787" s="2"/>
      <c r="B787" s="2"/>
    </row>
    <row r="788" spans="1:2">
      <c r="A788" s="2"/>
      <c r="B788" s="2"/>
    </row>
    <row r="789" spans="1:2">
      <c r="A789" s="2"/>
      <c r="B789" s="2"/>
    </row>
    <row r="790" spans="1:2">
      <c r="A790" s="2"/>
      <c r="B790" s="2"/>
    </row>
    <row r="791" spans="1:2">
      <c r="A791" s="2"/>
      <c r="B791" s="2"/>
    </row>
    <row r="792" spans="1:2">
      <c r="A792" s="2"/>
      <c r="B792" s="2"/>
    </row>
    <row r="793" spans="1:2">
      <c r="A793" s="2"/>
      <c r="B793" s="2"/>
    </row>
    <row r="794" spans="1:2">
      <c r="A794" s="2"/>
      <c r="B794" s="2"/>
    </row>
    <row r="795" spans="1:2">
      <c r="A795" s="2"/>
      <c r="B795" s="2"/>
    </row>
    <row r="796" spans="1:2">
      <c r="A796" s="2"/>
      <c r="B796" s="2"/>
    </row>
    <row r="797" spans="1:2">
      <c r="A797" s="2"/>
      <c r="B797" s="2"/>
    </row>
    <row r="798" spans="1:2">
      <c r="A798" s="2"/>
      <c r="B798" s="2"/>
    </row>
    <row r="799" spans="1:2">
      <c r="A799" s="2"/>
      <c r="B799" s="2"/>
    </row>
    <row r="800" spans="1:2">
      <c r="A800" s="2"/>
      <c r="B800" s="2"/>
    </row>
    <row r="801" spans="1:2">
      <c r="A801" s="2"/>
      <c r="B801" s="2"/>
    </row>
    <row r="802" spans="1:2">
      <c r="A802" s="2"/>
      <c r="B802" s="2"/>
    </row>
    <row r="803" spans="1:2">
      <c r="A803" s="2"/>
      <c r="B803" s="2"/>
    </row>
    <row r="804" spans="1:2">
      <c r="A804" s="2"/>
      <c r="B804" s="2"/>
    </row>
    <row r="805" spans="1:2">
      <c r="A805" s="2"/>
      <c r="B805" s="2"/>
    </row>
    <row r="806" spans="1:2">
      <c r="A806" s="2"/>
      <c r="B806" s="2"/>
    </row>
    <row r="807" spans="1:2">
      <c r="A807" s="2"/>
      <c r="B807" s="2"/>
    </row>
    <row r="808" spans="1:2">
      <c r="A808" s="2"/>
      <c r="B808" s="2"/>
    </row>
    <row r="809" spans="1:2">
      <c r="A809" s="2"/>
      <c r="B809" s="2"/>
    </row>
    <row r="810" spans="1:2">
      <c r="A810" s="2"/>
      <c r="B810" s="2"/>
    </row>
    <row r="811" spans="1:2">
      <c r="A811" s="2"/>
      <c r="B811" s="2"/>
    </row>
    <row r="812" spans="1:2">
      <c r="A812" s="2"/>
      <c r="B812" s="2"/>
    </row>
    <row r="813" spans="1:2">
      <c r="A813" s="2"/>
      <c r="B813" s="2"/>
    </row>
    <row r="814" spans="1:2">
      <c r="A814" s="2"/>
      <c r="B814" s="2"/>
    </row>
    <row r="815" spans="1:2">
      <c r="A815" s="2"/>
      <c r="B815" s="2"/>
    </row>
    <row r="816" spans="1:2">
      <c r="A816" s="2"/>
      <c r="B816" s="2"/>
    </row>
    <row r="817" spans="1:2">
      <c r="A817" s="2"/>
      <c r="B817" s="2"/>
    </row>
    <row r="818" spans="1:2">
      <c r="A818" s="2"/>
      <c r="B818" s="2"/>
    </row>
    <row r="819" spans="1:2">
      <c r="A819" s="2"/>
      <c r="B819" s="2"/>
    </row>
    <row r="820" spans="1:2">
      <c r="A820" s="2"/>
      <c r="B820" s="2"/>
    </row>
    <row r="821" spans="1:2">
      <c r="A821" s="2"/>
      <c r="B821" s="2"/>
    </row>
    <row r="822" spans="1:2">
      <c r="A822" s="2"/>
      <c r="B822" s="2"/>
    </row>
    <row r="823" spans="1:2">
      <c r="A823" s="2"/>
      <c r="B823" s="2"/>
    </row>
    <row r="824" spans="1:2">
      <c r="A824" s="2"/>
      <c r="B824" s="2"/>
    </row>
    <row r="825" spans="1:2">
      <c r="A825" s="2"/>
      <c r="B825" s="2"/>
    </row>
    <row r="826" spans="1:2">
      <c r="A826" s="2"/>
      <c r="B826" s="2"/>
    </row>
    <row r="827" spans="1:2">
      <c r="A827" s="2"/>
      <c r="B827" s="2"/>
    </row>
    <row r="828" spans="1:2">
      <c r="A828" s="2"/>
      <c r="B828" s="2"/>
    </row>
    <row r="829" spans="1:2">
      <c r="A829" s="2"/>
      <c r="B829" s="2"/>
    </row>
    <row r="830" spans="1:2">
      <c r="A830" s="2"/>
      <c r="B830" s="2"/>
    </row>
    <row r="831" spans="1:2">
      <c r="A831" s="2"/>
      <c r="B831" s="2"/>
    </row>
    <row r="832" spans="1:2">
      <c r="A832" s="2"/>
      <c r="B832" s="2"/>
    </row>
    <row r="833" spans="1:2">
      <c r="A833" s="2"/>
      <c r="B833" s="2"/>
    </row>
    <row r="834" spans="1:2">
      <c r="A834" s="2"/>
      <c r="B834" s="2"/>
    </row>
    <row r="835" spans="1:2">
      <c r="A835" s="2"/>
      <c r="B835" s="2"/>
    </row>
    <row r="836" spans="1:2">
      <c r="A836" s="2"/>
      <c r="B836" s="2"/>
    </row>
    <row r="837" spans="1:2">
      <c r="A837" s="2"/>
      <c r="B837" s="2"/>
    </row>
    <row r="838" spans="1:2">
      <c r="A838" s="2"/>
      <c r="B838" s="2"/>
    </row>
    <row r="839" spans="1:2">
      <c r="A839" s="2"/>
      <c r="B839" s="2"/>
    </row>
    <row r="840" spans="1:2">
      <c r="A840" s="2"/>
      <c r="B840" s="2"/>
    </row>
    <row r="841" spans="1:2">
      <c r="A841" s="2"/>
      <c r="B841" s="2"/>
    </row>
    <row r="842" spans="1:2">
      <c r="A842" s="2"/>
      <c r="B842" s="2"/>
    </row>
    <row r="843" spans="1:2">
      <c r="A843" s="2"/>
      <c r="B843" s="2"/>
    </row>
    <row r="844" spans="1:2">
      <c r="A844" s="2"/>
      <c r="B844" s="2"/>
    </row>
    <row r="845" spans="1:2">
      <c r="A845" s="2"/>
      <c r="B845" s="2"/>
    </row>
    <row r="846" spans="1:2">
      <c r="A846" s="2"/>
      <c r="B846" s="2"/>
    </row>
    <row r="847" spans="1:2">
      <c r="A847" s="2"/>
      <c r="B847" s="2"/>
    </row>
    <row r="848" spans="1:2">
      <c r="A848" s="2"/>
      <c r="B848" s="2"/>
    </row>
    <row r="849" spans="1:2">
      <c r="A849" s="2"/>
      <c r="B849" s="2"/>
    </row>
    <row r="850" spans="1:2">
      <c r="A850" s="2"/>
      <c r="B850" s="2"/>
    </row>
    <row r="851" spans="1:2">
      <c r="A851" s="2"/>
      <c r="B851" s="2"/>
    </row>
    <row r="852" spans="1:2">
      <c r="A852" s="2"/>
      <c r="B852" s="2"/>
    </row>
    <row r="853" spans="1:2">
      <c r="A853" s="2"/>
      <c r="B853" s="2"/>
    </row>
    <row r="854" spans="1:2">
      <c r="A854" s="2"/>
      <c r="B854" s="2"/>
    </row>
    <row r="855" spans="1:2">
      <c r="A855" s="2"/>
      <c r="B855" s="2"/>
    </row>
    <row r="856" spans="1:2">
      <c r="A856" s="2"/>
      <c r="B856" s="2"/>
    </row>
    <row r="857" spans="1:2">
      <c r="A857" s="2"/>
      <c r="B857" s="2"/>
    </row>
    <row r="858" spans="1:2">
      <c r="A858" s="2"/>
      <c r="B858" s="2"/>
    </row>
    <row r="859" spans="1:2">
      <c r="A859" s="2"/>
      <c r="B859" s="2"/>
    </row>
    <row r="860" spans="1:2">
      <c r="A860" s="2"/>
      <c r="B860" s="2"/>
    </row>
    <row r="861" spans="1:2">
      <c r="A861" s="2"/>
      <c r="B861" s="2"/>
    </row>
    <row r="862" spans="1:2">
      <c r="A862" s="2"/>
      <c r="B862" s="2"/>
    </row>
    <row r="863" spans="1:2">
      <c r="A863" s="2"/>
      <c r="B863" s="2"/>
    </row>
    <row r="864" spans="1:2">
      <c r="A864" s="2"/>
      <c r="B864" s="2"/>
    </row>
    <row r="865" spans="1:2">
      <c r="A865" s="2"/>
      <c r="B865" s="2"/>
    </row>
    <row r="866" spans="1:2">
      <c r="A866" s="2"/>
      <c r="B866" s="2"/>
    </row>
    <row r="867" spans="1:2">
      <c r="A867" s="2"/>
      <c r="B867" s="2"/>
    </row>
    <row r="868" spans="1:2">
      <c r="A868" s="2"/>
      <c r="B868" s="2"/>
    </row>
    <row r="869" spans="1:2">
      <c r="A869" s="2"/>
      <c r="B869" s="2"/>
    </row>
    <row r="870" spans="1:2">
      <c r="A870" s="2"/>
      <c r="B870" s="2"/>
    </row>
    <row r="871" spans="1:2">
      <c r="A871" s="2"/>
      <c r="B871" s="2"/>
    </row>
    <row r="872" spans="1:2">
      <c r="A872" s="2"/>
      <c r="B872" s="2"/>
    </row>
    <row r="873" spans="1:2">
      <c r="A873" s="2"/>
      <c r="B873" s="2"/>
    </row>
    <row r="874" spans="1:2">
      <c r="A874" s="2"/>
      <c r="B874" s="2"/>
    </row>
    <row r="875" spans="1:2">
      <c r="A875" s="2"/>
      <c r="B875" s="2"/>
    </row>
    <row r="876" spans="1:2">
      <c r="A876" s="2"/>
      <c r="B876" s="2"/>
    </row>
    <row r="877" spans="1:2">
      <c r="A877" s="2"/>
      <c r="B877" s="2"/>
    </row>
    <row r="878" spans="1:2">
      <c r="A878" s="2"/>
      <c r="B878" s="2"/>
    </row>
    <row r="879" spans="1:2">
      <c r="A879" s="2"/>
      <c r="B879" s="2"/>
    </row>
    <row r="880" spans="1:2">
      <c r="A880" s="2"/>
      <c r="B880" s="2"/>
    </row>
    <row r="881" spans="1:2">
      <c r="A881" s="2"/>
      <c r="B881" s="2"/>
    </row>
    <row r="882" spans="1:2">
      <c r="A882" s="2"/>
      <c r="B882" s="2"/>
    </row>
    <row r="883" spans="1:2">
      <c r="A883" s="2"/>
      <c r="B883" s="2"/>
    </row>
    <row r="884" spans="1:2">
      <c r="A884" s="2"/>
      <c r="B884" s="2"/>
    </row>
    <row r="885" spans="1:2">
      <c r="A885" s="2"/>
      <c r="B885" s="2"/>
    </row>
    <row r="886" spans="1:2">
      <c r="A886" s="2"/>
      <c r="B886" s="2"/>
    </row>
    <row r="887" spans="1:2">
      <c r="A887" s="2"/>
      <c r="B887" s="2"/>
    </row>
    <row r="888" spans="1:2">
      <c r="A888" s="2"/>
      <c r="B888" s="2"/>
    </row>
    <row r="889" spans="1:2">
      <c r="A889" s="2"/>
      <c r="B889" s="2"/>
    </row>
    <row r="890" spans="1:2">
      <c r="A890" s="2"/>
      <c r="B890" s="2"/>
    </row>
    <row r="891" spans="1:2">
      <c r="A891" s="2"/>
      <c r="B891" s="2"/>
    </row>
    <row r="892" spans="1:2">
      <c r="A892" s="2"/>
      <c r="B892" s="2"/>
    </row>
    <row r="893" spans="1:2">
      <c r="A893" s="2"/>
      <c r="B893" s="2"/>
    </row>
    <row r="894" spans="1:2">
      <c r="A894" s="2"/>
      <c r="B894" s="2"/>
    </row>
    <row r="895" spans="1:2">
      <c r="A895" s="2"/>
      <c r="B895" s="2"/>
    </row>
  </sheetData>
  <sortState ref="A78:K123">
    <sortCondition ref="C6:C122"/>
    <sortCondition ref="A6:A122"/>
  </sortState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Setting"/>
  <dimension ref="A1:AZ13"/>
  <sheetViews>
    <sheetView workbookViewId="0"/>
  </sheetViews>
  <sheetFormatPr defaultRowHeight="16.5"/>
  <cols>
    <col min="2" max="2" width="39.75" bestFit="1" customWidth="1"/>
    <col min="3" max="3" width="13.5" bestFit="1" customWidth="1"/>
    <col min="5" max="5" width="13.375" style="93" bestFit="1" customWidth="1"/>
    <col min="8" max="8" width="15" bestFit="1" customWidth="1"/>
  </cols>
  <sheetData>
    <row r="1" spans="1:52" s="104" customFormat="1" ht="13.5">
      <c r="B1" s="104" t="s">
        <v>340</v>
      </c>
      <c r="C1" s="104" t="s">
        <v>684</v>
      </c>
      <c r="E1" s="104" t="s">
        <v>599</v>
      </c>
      <c r="G1" s="104" t="s">
        <v>624</v>
      </c>
      <c r="H1" s="104" t="s">
        <v>616</v>
      </c>
      <c r="I1" s="104" t="s">
        <v>617</v>
      </c>
      <c r="J1" s="104" t="s">
        <v>571</v>
      </c>
      <c r="K1" s="104" t="s">
        <v>573</v>
      </c>
      <c r="L1" s="104" t="s">
        <v>618</v>
      </c>
      <c r="M1" s="104" t="s">
        <v>743</v>
      </c>
      <c r="N1" s="104" t="s">
        <v>744</v>
      </c>
      <c r="O1" s="104" t="s">
        <v>745</v>
      </c>
      <c r="P1" s="104" t="s">
        <v>746</v>
      </c>
      <c r="Q1" s="104" t="s">
        <v>747</v>
      </c>
      <c r="R1" s="104" t="s">
        <v>748</v>
      </c>
      <c r="S1" s="104" t="s">
        <v>749</v>
      </c>
      <c r="T1" s="104" t="s">
        <v>750</v>
      </c>
      <c r="U1" s="104" t="s">
        <v>743</v>
      </c>
      <c r="V1" s="104" t="s">
        <v>744</v>
      </c>
      <c r="W1" s="104" t="s">
        <v>745</v>
      </c>
      <c r="X1" s="104" t="s">
        <v>746</v>
      </c>
      <c r="Y1" s="104" t="s">
        <v>747</v>
      </c>
      <c r="Z1" s="104" t="s">
        <v>748</v>
      </c>
      <c r="AA1" s="104" t="s">
        <v>749</v>
      </c>
      <c r="AB1" s="104" t="s">
        <v>750</v>
      </c>
      <c r="AC1" s="104" t="s">
        <v>743</v>
      </c>
      <c r="AD1" s="104" t="s">
        <v>744</v>
      </c>
      <c r="AE1" s="104" t="s">
        <v>745</v>
      </c>
      <c r="AF1" s="104" t="s">
        <v>746</v>
      </c>
      <c r="AG1" s="104" t="s">
        <v>747</v>
      </c>
      <c r="AH1" s="104" t="s">
        <v>748</v>
      </c>
      <c r="AI1" s="104" t="s">
        <v>749</v>
      </c>
      <c r="AJ1" s="104" t="s">
        <v>750</v>
      </c>
      <c r="AK1" s="104" t="s">
        <v>743</v>
      </c>
      <c r="AL1" s="104" t="s">
        <v>744</v>
      </c>
      <c r="AM1" s="104" t="s">
        <v>745</v>
      </c>
      <c r="AN1" s="104" t="s">
        <v>746</v>
      </c>
      <c r="AO1" s="104" t="s">
        <v>747</v>
      </c>
      <c r="AP1" s="104" t="s">
        <v>748</v>
      </c>
      <c r="AQ1" s="104" t="s">
        <v>749</v>
      </c>
      <c r="AR1" s="104" t="s">
        <v>750</v>
      </c>
      <c r="AS1" s="104" t="s">
        <v>743</v>
      </c>
      <c r="AT1" s="104" t="s">
        <v>744</v>
      </c>
      <c r="AU1" s="104" t="s">
        <v>745</v>
      </c>
      <c r="AV1" s="104" t="s">
        <v>746</v>
      </c>
      <c r="AW1" s="104" t="s">
        <v>747</v>
      </c>
      <c r="AX1" s="104" t="s">
        <v>748</v>
      </c>
      <c r="AY1" s="104" t="s">
        <v>749</v>
      </c>
      <c r="AZ1" s="104" t="s">
        <v>750</v>
      </c>
    </row>
    <row r="2" spans="1:52" s="91" customFormat="1" ht="13.5">
      <c r="A2" s="91">
        <v>1</v>
      </c>
      <c r="B2" s="92" t="s">
        <v>685</v>
      </c>
      <c r="C2" s="92" t="str">
        <f xml:space="preserve"> MID(SUBSTITUTE(B2,".xlsx",""),FIND("*",SUBSTITUTE(SUBSTITUTE(B2,".xlsx",""),"\","*",LEN(SUBSTITUTE(B2,".xlsx",""))-LEN(SUBSTITUTE(SUBSTITUTE(B2,".xlsx",""),"\",""))))+1,LEN(SUBSTITUTE(B2,".xlsx","")))</f>
        <v>멀티전략</v>
      </c>
      <c r="E2" s="94" t="s">
        <v>625</v>
      </c>
      <c r="G2" s="92" t="s">
        <v>620</v>
      </c>
      <c r="H2" s="92" t="s">
        <v>626</v>
      </c>
      <c r="I2" s="95" t="s">
        <v>336</v>
      </c>
      <c r="J2" s="92" t="s">
        <v>337</v>
      </c>
      <c r="K2" s="96" t="s">
        <v>338</v>
      </c>
      <c r="L2" s="97">
        <v>24550</v>
      </c>
      <c r="M2" s="107" t="s">
        <v>625</v>
      </c>
      <c r="N2" s="107" t="s">
        <v>625</v>
      </c>
      <c r="O2" s="107" t="s">
        <v>625</v>
      </c>
      <c r="P2" s="107" t="s">
        <v>625</v>
      </c>
      <c r="Q2" s="107" t="s">
        <v>625</v>
      </c>
      <c r="R2" s="107" t="s">
        <v>625</v>
      </c>
      <c r="S2" s="107" t="s">
        <v>625</v>
      </c>
      <c r="T2" s="107" t="s">
        <v>625</v>
      </c>
      <c r="U2" s="98">
        <v>0.77</v>
      </c>
      <c r="V2" s="98">
        <v>0.8</v>
      </c>
      <c r="W2" s="98">
        <v>0.97</v>
      </c>
      <c r="X2" s="98">
        <v>0.97</v>
      </c>
      <c r="Y2" s="98">
        <v>0.97</v>
      </c>
      <c r="Z2" s="98">
        <v>0.97</v>
      </c>
      <c r="AA2" s="98">
        <v>0.96</v>
      </c>
      <c r="AB2" s="98">
        <v>0.97</v>
      </c>
      <c r="AC2" s="108">
        <v>4579</v>
      </c>
      <c r="AD2" s="108">
        <v>3774</v>
      </c>
      <c r="AE2" s="108">
        <v>4885</v>
      </c>
      <c r="AF2" s="108">
        <v>2113</v>
      </c>
      <c r="AG2" s="108">
        <v>3794</v>
      </c>
      <c r="AH2" s="108">
        <v>2215</v>
      </c>
      <c r="AI2" s="108">
        <v>3466</v>
      </c>
      <c r="AJ2" s="108">
        <v>4268</v>
      </c>
      <c r="AK2" s="98">
        <v>-4.18</v>
      </c>
      <c r="AL2" s="98">
        <v>-4.04</v>
      </c>
      <c r="AM2" s="98">
        <v>-4.3600000000000003</v>
      </c>
      <c r="AN2" s="98">
        <v>-4.33</v>
      </c>
      <c r="AO2" s="98">
        <v>-4.34</v>
      </c>
      <c r="AP2" s="98">
        <v>-4.3499999999999996</v>
      </c>
      <c r="AQ2" s="98">
        <v>-4.34</v>
      </c>
      <c r="AR2" s="98">
        <v>-4.33</v>
      </c>
      <c r="AS2" s="108">
        <v>112414450</v>
      </c>
      <c r="AT2" s="108">
        <v>92651700</v>
      </c>
      <c r="AU2" s="108">
        <v>119926750</v>
      </c>
      <c r="AV2" s="108">
        <v>51874150</v>
      </c>
      <c r="AW2" s="108">
        <v>93142700</v>
      </c>
      <c r="AX2" s="108">
        <v>54378250</v>
      </c>
      <c r="AY2" s="108">
        <v>85090300</v>
      </c>
      <c r="AZ2" s="108">
        <v>104779400</v>
      </c>
    </row>
    <row r="3" spans="1:52" s="91" customFormat="1" ht="13.5">
      <c r="A3" s="91">
        <v>2</v>
      </c>
      <c r="B3" s="92" t="s">
        <v>686</v>
      </c>
      <c r="C3" s="92" t="str">
        <f t="shared" ref="C3:C9" si="0" xml:space="preserve"> MID(SUBSTITUTE(B3,".xlsx",""),FIND("*",SUBSTITUTE(SUBSTITUTE(B3,".xlsx",""),"\","*",LEN(SUBSTITUTE(B3,".xlsx",""))-LEN(SUBSTITUTE(SUBSTITUTE(B3,".xlsx",""),"\",""))))+1,LEN(SUBSTITUTE(B3,".xlsx","")))</f>
        <v>메이플1</v>
      </c>
      <c r="E3" s="94" t="s">
        <v>668</v>
      </c>
      <c r="G3" s="92" t="s">
        <v>619</v>
      </c>
      <c r="H3" s="99" t="s">
        <v>341</v>
      </c>
      <c r="I3" s="100" t="s">
        <v>604</v>
      </c>
      <c r="J3" s="101" t="s">
        <v>604</v>
      </c>
      <c r="K3" s="101" t="s">
        <v>604</v>
      </c>
      <c r="L3" s="101"/>
      <c r="M3" s="101"/>
      <c r="N3" s="101"/>
      <c r="O3" s="101"/>
      <c r="P3" s="101"/>
      <c r="Q3" s="101"/>
      <c r="R3" s="101"/>
      <c r="S3" s="101"/>
      <c r="T3" s="101"/>
      <c r="U3" s="102">
        <v>64.84</v>
      </c>
      <c r="V3" s="102">
        <v>84.63</v>
      </c>
      <c r="W3" s="102">
        <v>84.26</v>
      </c>
      <c r="X3" s="102">
        <v>79.199999999999989</v>
      </c>
      <c r="Y3" s="102">
        <v>81.41</v>
      </c>
      <c r="Z3" s="102">
        <v>84.640000000000015</v>
      </c>
      <c r="AA3" s="102">
        <v>80.399999999999991</v>
      </c>
      <c r="AB3" s="102">
        <v>82.2</v>
      </c>
      <c r="AC3" s="103">
        <v>326485</v>
      </c>
      <c r="AD3" s="103">
        <v>2500273141</v>
      </c>
      <c r="AE3" s="103">
        <v>2200322572</v>
      </c>
      <c r="AF3" s="103">
        <v>2200133064</v>
      </c>
      <c r="AG3" s="103">
        <v>800253568</v>
      </c>
      <c r="AH3" s="103">
        <v>1800147031</v>
      </c>
      <c r="AI3" s="103">
        <v>1000196164</v>
      </c>
      <c r="AJ3" s="103">
        <v>1500281722</v>
      </c>
      <c r="AK3" s="101"/>
      <c r="AL3" s="101"/>
      <c r="AM3" s="101"/>
      <c r="AN3" s="101"/>
      <c r="AO3" s="101"/>
      <c r="AP3" s="101"/>
      <c r="AQ3" s="101"/>
      <c r="AR3" s="101"/>
      <c r="AS3" s="103">
        <v>9399587940</v>
      </c>
      <c r="AT3" s="103">
        <v>23687087979795</v>
      </c>
      <c r="AU3" s="103">
        <v>20845816870125</v>
      </c>
      <c r="AV3" s="103">
        <v>20840979228165</v>
      </c>
      <c r="AW3" s="103">
        <v>7583735537345</v>
      </c>
      <c r="AX3" s="103">
        <v>17052721933870</v>
      </c>
      <c r="AY3" s="103">
        <v>9477276689045</v>
      </c>
      <c r="AZ3" s="103">
        <v>14214614943780</v>
      </c>
    </row>
    <row r="4" spans="1:52" s="91" customFormat="1" ht="13.5">
      <c r="A4" s="91">
        <v>3</v>
      </c>
      <c r="B4" s="92" t="s">
        <v>738</v>
      </c>
      <c r="C4" s="92" t="str">
        <f xml:space="preserve"> MID(SUBSTITUTE(B4,".xlsx",""),FIND("*",SUBSTITUTE(SUBSTITUTE(B4,".xlsx",""),"\","*",LEN(SUBSTITUTE(B4,".xlsx",""))-LEN(SUBSTITUTE(SUBSTITUTE(B4,".xlsx",""),"\",""))))+1,LEN(SUBSTITUTE(B4,".xlsx","")))</f>
        <v>메이플2</v>
      </c>
      <c r="E4" s="94" t="s">
        <v>669</v>
      </c>
    </row>
    <row r="5" spans="1:52" s="91" customFormat="1" ht="13.5">
      <c r="A5" s="91">
        <v>4</v>
      </c>
      <c r="B5" s="92" t="s">
        <v>687</v>
      </c>
      <c r="C5" s="92" t="str">
        <f t="shared" si="0"/>
        <v>메이플3</v>
      </c>
      <c r="E5" s="94" t="s">
        <v>255</v>
      </c>
    </row>
    <row r="6" spans="1:52" s="91" customFormat="1" ht="13.5">
      <c r="A6" s="91">
        <v>5</v>
      </c>
      <c r="B6" s="92" t="s">
        <v>688</v>
      </c>
      <c r="C6" s="92" t="str">
        <f t="shared" si="0"/>
        <v>메이플4</v>
      </c>
      <c r="E6" s="94" t="s">
        <v>254</v>
      </c>
    </row>
    <row r="7" spans="1:52" s="91" customFormat="1" ht="13.5">
      <c r="A7" s="91">
        <v>6</v>
      </c>
      <c r="B7" s="92" t="s">
        <v>689</v>
      </c>
      <c r="C7" s="92" t="str">
        <f t="shared" si="0"/>
        <v>넵튠6호</v>
      </c>
      <c r="E7" s="94" t="s">
        <v>197</v>
      </c>
    </row>
    <row r="8" spans="1:52" s="91" customFormat="1" ht="13.5">
      <c r="A8" s="91">
        <v>7</v>
      </c>
      <c r="B8" s="92" t="s">
        <v>690</v>
      </c>
      <c r="C8" s="92" t="str">
        <f t="shared" si="0"/>
        <v>새턴6호</v>
      </c>
      <c r="E8" s="94" t="s">
        <v>260</v>
      </c>
    </row>
    <row r="9" spans="1:52" s="91" customFormat="1" ht="13.5">
      <c r="A9" s="91">
        <v>8</v>
      </c>
      <c r="B9" s="92" t="s">
        <v>691</v>
      </c>
      <c r="C9" s="92" t="str">
        <f t="shared" si="0"/>
        <v>중립밸런스</v>
      </c>
      <c r="E9" s="94" t="s">
        <v>251</v>
      </c>
    </row>
    <row r="10" spans="1:52" s="91" customFormat="1" ht="13.5">
      <c r="E10" s="94" t="s">
        <v>672</v>
      </c>
    </row>
    <row r="11" spans="1:52">
      <c r="B11" s="92"/>
      <c r="C11" s="92"/>
      <c r="E11" s="94" t="s">
        <v>590</v>
      </c>
    </row>
    <row r="12" spans="1:52">
      <c r="E12" s="94" t="s">
        <v>585</v>
      </c>
    </row>
    <row r="13" spans="1:52">
      <c r="E13" s="94" t="s">
        <v>318</v>
      </c>
    </row>
  </sheetData>
  <phoneticPr fontId="1" type="noConversion"/>
  <conditionalFormatting sqref="M2">
    <cfRule type="expression" dxfId="225" priority="2">
      <formula>LEN(M2)=0</formula>
    </cfRule>
  </conditionalFormatting>
  <conditionalFormatting sqref="N2:T2">
    <cfRule type="expression" dxfId="224" priority="1">
      <formula>LEN(N2)=0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2:AS130"/>
  <sheetViews>
    <sheetView showGridLines="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AK19" sqref="AK19"/>
    </sheetView>
  </sheetViews>
  <sheetFormatPr defaultRowHeight="16.5"/>
  <cols>
    <col min="1" max="1" width="29.25" bestFit="1" customWidth="1"/>
    <col min="2" max="2" width="12.625" bestFit="1" customWidth="1"/>
    <col min="3" max="3" width="22" bestFit="1" customWidth="1"/>
    <col min="5" max="5" width="9.125" bestFit="1" customWidth="1"/>
    <col min="6" max="12" width="9" customWidth="1"/>
    <col min="14" max="20" width="9.25" customWidth="1"/>
    <col min="21" max="21" width="9.25" bestFit="1" customWidth="1"/>
    <col min="22" max="25" width="12.875" customWidth="1"/>
    <col min="26" max="26" width="11.5" customWidth="1"/>
    <col min="27" max="28" width="12.875" customWidth="1"/>
    <col min="29" max="29" width="12.875" bestFit="1" customWidth="1"/>
    <col min="30" max="36" width="9.125" customWidth="1"/>
    <col min="37" max="37" width="9.125" bestFit="1" customWidth="1"/>
    <col min="38" max="38" width="12.875" customWidth="1"/>
    <col min="39" max="41" width="17.25" customWidth="1"/>
    <col min="42" max="42" width="16.25" customWidth="1"/>
    <col min="43" max="43" width="17.25" customWidth="1"/>
    <col min="44" max="44" width="16.25" customWidth="1"/>
    <col min="45" max="45" width="17.25" bestFit="1" customWidth="1"/>
  </cols>
  <sheetData>
    <row r="2" spans="1:45" ht="38.25">
      <c r="A2" s="122" t="s">
        <v>770</v>
      </c>
    </row>
    <row r="3" spans="1:45" hidden="1"/>
    <row r="5" spans="1:45" s="110" customFormat="1">
      <c r="A5" s="109"/>
      <c r="B5" s="109"/>
      <c r="C5" s="109"/>
      <c r="D5" s="109"/>
      <c r="E5" s="109"/>
      <c r="F5" s="109" t="s">
        <v>600</v>
      </c>
      <c r="G5" s="109"/>
      <c r="H5" s="109"/>
      <c r="I5" s="109"/>
      <c r="J5" s="109"/>
      <c r="K5" s="109"/>
      <c r="L5" s="109"/>
      <c r="M5" s="109"/>
      <c r="N5" s="109" t="s">
        <v>245</v>
      </c>
      <c r="O5" s="109"/>
      <c r="P5" s="109"/>
      <c r="Q5" s="109"/>
      <c r="R5" s="109"/>
      <c r="S5" s="109"/>
      <c r="T5" s="109"/>
      <c r="U5" s="109"/>
      <c r="V5" s="109" t="s">
        <v>237</v>
      </c>
      <c r="W5" s="109"/>
      <c r="X5" s="109"/>
      <c r="Y5" s="109"/>
      <c r="Z5" s="109"/>
      <c r="AA5" s="109"/>
      <c r="AB5" s="109"/>
      <c r="AC5" s="109"/>
      <c r="AD5" s="109" t="s">
        <v>246</v>
      </c>
      <c r="AE5" s="109"/>
      <c r="AF5" s="109"/>
      <c r="AG5" s="109"/>
      <c r="AH5" s="109"/>
      <c r="AI5" s="109"/>
      <c r="AJ5" s="109"/>
      <c r="AK5" s="109"/>
      <c r="AL5" s="109" t="s">
        <v>242</v>
      </c>
      <c r="AM5" s="109"/>
      <c r="AN5" s="109"/>
      <c r="AO5" s="109"/>
      <c r="AP5" s="109"/>
      <c r="AQ5" s="109"/>
      <c r="AR5" s="109"/>
      <c r="AS5" s="109"/>
    </row>
    <row r="6" spans="1:45" s="105" customFormat="1" ht="17.25" thickBot="1">
      <c r="A6" s="106" t="s">
        <v>602</v>
      </c>
      <c r="B6" s="106" t="s">
        <v>603</v>
      </c>
      <c r="C6" s="106" t="s">
        <v>232</v>
      </c>
      <c r="D6" s="106" t="s">
        <v>247</v>
      </c>
      <c r="E6" s="106" t="s">
        <v>601</v>
      </c>
      <c r="F6" s="106" t="s">
        <v>739</v>
      </c>
      <c r="G6" s="106" t="s">
        <v>753</v>
      </c>
      <c r="H6" s="106" t="s">
        <v>754</v>
      </c>
      <c r="I6" s="106" t="s">
        <v>757</v>
      </c>
      <c r="J6" s="106" t="s">
        <v>760</v>
      </c>
      <c r="K6" s="106" t="s">
        <v>763</v>
      </c>
      <c r="L6" s="106" t="s">
        <v>766</v>
      </c>
      <c r="M6" s="106" t="s">
        <v>768</v>
      </c>
      <c r="N6" s="106" t="s">
        <v>751</v>
      </c>
      <c r="O6" s="106" t="s">
        <v>737</v>
      </c>
      <c r="P6" s="106" t="s">
        <v>755</v>
      </c>
      <c r="Q6" s="106" t="s">
        <v>758</v>
      </c>
      <c r="R6" s="106" t="s">
        <v>761</v>
      </c>
      <c r="S6" s="106" t="s">
        <v>763</v>
      </c>
      <c r="T6" s="106" t="s">
        <v>767</v>
      </c>
      <c r="U6" s="106" t="s">
        <v>768</v>
      </c>
      <c r="V6" s="106" t="s">
        <v>751</v>
      </c>
      <c r="W6" s="106" t="s">
        <v>753</v>
      </c>
      <c r="X6" s="106" t="s">
        <v>756</v>
      </c>
      <c r="Y6" s="106" t="s">
        <v>757</v>
      </c>
      <c r="Z6" s="106" t="s">
        <v>742</v>
      </c>
      <c r="AA6" s="106" t="s">
        <v>764</v>
      </c>
      <c r="AB6" s="106" t="s">
        <v>767</v>
      </c>
      <c r="AC6" s="106" t="s">
        <v>768</v>
      </c>
      <c r="AD6" s="106" t="s">
        <v>751</v>
      </c>
      <c r="AE6" s="106" t="s">
        <v>753</v>
      </c>
      <c r="AF6" s="106" t="s">
        <v>740</v>
      </c>
      <c r="AG6" s="106" t="s">
        <v>759</v>
      </c>
      <c r="AH6" s="106" t="s">
        <v>760</v>
      </c>
      <c r="AI6" s="106" t="s">
        <v>765</v>
      </c>
      <c r="AJ6" s="106" t="s">
        <v>767</v>
      </c>
      <c r="AK6" s="106" t="s">
        <v>768</v>
      </c>
      <c r="AL6" s="106" t="s">
        <v>752</v>
      </c>
      <c r="AM6" s="106" t="s">
        <v>753</v>
      </c>
      <c r="AN6" s="106" t="s">
        <v>756</v>
      </c>
      <c r="AO6" s="106" t="s">
        <v>741</v>
      </c>
      <c r="AP6" s="106" t="s">
        <v>762</v>
      </c>
      <c r="AQ6" s="106" t="s">
        <v>765</v>
      </c>
      <c r="AR6" s="106" t="s">
        <v>767</v>
      </c>
      <c r="AS6" s="106" t="s">
        <v>768</v>
      </c>
    </row>
    <row r="7" spans="1:45">
      <c r="A7" s="92" t="s">
        <v>632</v>
      </c>
      <c r="B7" s="95" t="s">
        <v>0</v>
      </c>
      <c r="C7" s="92" t="s">
        <v>1</v>
      </c>
      <c r="D7" s="96" t="s">
        <v>338</v>
      </c>
      <c r="E7" s="97">
        <v>83400</v>
      </c>
      <c r="F7" s="107" t="s">
        <v>625</v>
      </c>
      <c r="G7" s="107" t="s">
        <v>625</v>
      </c>
      <c r="H7" s="107" t="s">
        <v>625</v>
      </c>
      <c r="I7" s="107" t="s">
        <v>625</v>
      </c>
      <c r="J7" s="107" t="s">
        <v>625</v>
      </c>
      <c r="K7" s="107" t="s">
        <v>625</v>
      </c>
      <c r="L7" s="107" t="s">
        <v>625</v>
      </c>
      <c r="M7" s="107" t="s">
        <v>625</v>
      </c>
      <c r="N7" s="98">
        <v>2.66</v>
      </c>
      <c r="O7" s="98">
        <v>2.79</v>
      </c>
      <c r="P7" s="98">
        <v>2.54</v>
      </c>
      <c r="Q7" s="98">
        <v>2.52</v>
      </c>
      <c r="R7" s="98">
        <v>2.61</v>
      </c>
      <c r="S7" s="98">
        <v>2.64</v>
      </c>
      <c r="T7" s="98">
        <v>2.48</v>
      </c>
      <c r="U7" s="98">
        <v>2.57</v>
      </c>
      <c r="V7" s="108">
        <v>4616</v>
      </c>
      <c r="W7" s="108">
        <v>3873</v>
      </c>
      <c r="X7" s="108">
        <v>3734</v>
      </c>
      <c r="Y7" s="108">
        <v>1605</v>
      </c>
      <c r="Z7" s="108">
        <v>2980</v>
      </c>
      <c r="AA7" s="108">
        <v>1760</v>
      </c>
      <c r="AB7" s="108">
        <v>2628</v>
      </c>
      <c r="AC7" s="108">
        <v>3309</v>
      </c>
      <c r="AD7" s="98">
        <v>3.78</v>
      </c>
      <c r="AE7" s="98">
        <v>3.82</v>
      </c>
      <c r="AF7" s="98">
        <v>4.0999999999999996</v>
      </c>
      <c r="AG7" s="98">
        <v>2.15</v>
      </c>
      <c r="AH7" s="98">
        <v>3.87</v>
      </c>
      <c r="AI7" s="98">
        <v>3.78</v>
      </c>
      <c r="AJ7" s="98">
        <v>4.6100000000000003</v>
      </c>
      <c r="AK7" s="98">
        <v>3.8</v>
      </c>
      <c r="AL7" s="108">
        <v>384974400</v>
      </c>
      <c r="AM7" s="108">
        <v>323008200</v>
      </c>
      <c r="AN7" s="108">
        <v>311415600</v>
      </c>
      <c r="AO7" s="108">
        <v>133857000</v>
      </c>
      <c r="AP7" s="108">
        <v>248532000</v>
      </c>
      <c r="AQ7" s="108">
        <v>146784000</v>
      </c>
      <c r="AR7" s="108">
        <v>219175200</v>
      </c>
      <c r="AS7" s="108">
        <v>275970600</v>
      </c>
    </row>
    <row r="8" spans="1:45">
      <c r="A8" s="92" t="s">
        <v>640</v>
      </c>
      <c r="B8" s="95" t="s">
        <v>4</v>
      </c>
      <c r="C8" s="92" t="s">
        <v>5</v>
      </c>
      <c r="D8" s="96" t="s">
        <v>338</v>
      </c>
      <c r="E8" s="97">
        <v>38850</v>
      </c>
      <c r="F8" s="107" t="s">
        <v>625</v>
      </c>
      <c r="G8" s="107" t="s">
        <v>625</v>
      </c>
      <c r="H8" s="107" t="s">
        <v>625</v>
      </c>
      <c r="I8" s="107" t="s">
        <v>625</v>
      </c>
      <c r="J8" s="107" t="s">
        <v>625</v>
      </c>
      <c r="K8" s="107" t="s">
        <v>625</v>
      </c>
      <c r="L8" s="107" t="s">
        <v>625</v>
      </c>
      <c r="M8" s="107" t="s">
        <v>625</v>
      </c>
      <c r="N8" s="98">
        <v>1.98</v>
      </c>
      <c r="O8" s="98">
        <v>2.15</v>
      </c>
      <c r="P8" s="98">
        <v>2</v>
      </c>
      <c r="Q8" s="98">
        <v>1.97</v>
      </c>
      <c r="R8" s="98">
        <v>2</v>
      </c>
      <c r="S8" s="98">
        <v>1.99</v>
      </c>
      <c r="T8" s="98">
        <v>1.96</v>
      </c>
      <c r="U8" s="98">
        <v>1.98</v>
      </c>
      <c r="V8" s="108">
        <v>7366</v>
      </c>
      <c r="W8" s="108">
        <v>6416</v>
      </c>
      <c r="X8" s="108">
        <v>6307</v>
      </c>
      <c r="Y8" s="108">
        <v>2695</v>
      </c>
      <c r="Z8" s="108">
        <v>4903</v>
      </c>
      <c r="AA8" s="108">
        <v>2853</v>
      </c>
      <c r="AB8" s="108">
        <v>4459</v>
      </c>
      <c r="AC8" s="108">
        <v>5484</v>
      </c>
      <c r="AD8" s="98">
        <v>5.5</v>
      </c>
      <c r="AE8" s="98">
        <v>5.43</v>
      </c>
      <c r="AF8" s="98">
        <v>5.22</v>
      </c>
      <c r="AG8" s="98">
        <v>4.17</v>
      </c>
      <c r="AH8" s="98">
        <v>5.4</v>
      </c>
      <c r="AI8" s="98">
        <v>5.38</v>
      </c>
      <c r="AJ8" s="98">
        <v>5.79</v>
      </c>
      <c r="AK8" s="98">
        <v>5.29</v>
      </c>
      <c r="AL8" s="108">
        <v>286169100</v>
      </c>
      <c r="AM8" s="108">
        <v>249261600</v>
      </c>
      <c r="AN8" s="108">
        <v>245026950</v>
      </c>
      <c r="AO8" s="108">
        <v>104700750</v>
      </c>
      <c r="AP8" s="108">
        <v>190481550</v>
      </c>
      <c r="AQ8" s="108">
        <v>110839050</v>
      </c>
      <c r="AR8" s="108">
        <v>173232150</v>
      </c>
      <c r="AS8" s="108">
        <v>213053400</v>
      </c>
    </row>
    <row r="9" spans="1:45">
      <c r="A9" s="92" t="s">
        <v>656</v>
      </c>
      <c r="B9" s="95" t="s">
        <v>324</v>
      </c>
      <c r="C9" s="92" t="s">
        <v>325</v>
      </c>
      <c r="D9" s="96" t="s">
        <v>338</v>
      </c>
      <c r="E9" s="97">
        <v>264000</v>
      </c>
      <c r="F9" s="107" t="s">
        <v>625</v>
      </c>
      <c r="G9" s="107" t="s">
        <v>625</v>
      </c>
      <c r="H9" s="107" t="s">
        <v>625</v>
      </c>
      <c r="I9" s="107" t="s">
        <v>625</v>
      </c>
      <c r="J9" s="107" t="s">
        <v>625</v>
      </c>
      <c r="K9" s="107" t="s">
        <v>625</v>
      </c>
      <c r="L9" s="107" t="s">
        <v>625</v>
      </c>
      <c r="M9" s="107" t="s">
        <v>625</v>
      </c>
      <c r="N9" s="98">
        <v>0.96</v>
      </c>
      <c r="O9" s="98">
        <v>1.06</v>
      </c>
      <c r="P9" s="98">
        <v>0.96</v>
      </c>
      <c r="Q9" s="98">
        <v>1</v>
      </c>
      <c r="R9" s="98">
        <v>0.97</v>
      </c>
      <c r="S9" s="98">
        <v>0.96</v>
      </c>
      <c r="T9" s="98">
        <v>0.95</v>
      </c>
      <c r="U9" s="98">
        <v>0.96</v>
      </c>
      <c r="V9" s="108">
        <v>528</v>
      </c>
      <c r="W9" s="108">
        <v>465</v>
      </c>
      <c r="X9" s="108">
        <v>449</v>
      </c>
      <c r="Y9" s="108">
        <v>201</v>
      </c>
      <c r="Z9" s="108">
        <v>350</v>
      </c>
      <c r="AA9" s="108">
        <v>203</v>
      </c>
      <c r="AB9" s="108">
        <v>318</v>
      </c>
      <c r="AC9" s="108">
        <v>392</v>
      </c>
      <c r="AD9" s="98">
        <v>-4.57</v>
      </c>
      <c r="AE9" s="98">
        <v>-4.66</v>
      </c>
      <c r="AF9" s="98">
        <v>-4.62</v>
      </c>
      <c r="AG9" s="98">
        <v>-4.6100000000000003</v>
      </c>
      <c r="AH9" s="98">
        <v>-4.62</v>
      </c>
      <c r="AI9" s="98">
        <v>-4.6399999999999997</v>
      </c>
      <c r="AJ9" s="98">
        <v>-4.6399999999999997</v>
      </c>
      <c r="AK9" s="98">
        <v>-4.66</v>
      </c>
      <c r="AL9" s="108">
        <v>139392000</v>
      </c>
      <c r="AM9" s="108">
        <v>122760000</v>
      </c>
      <c r="AN9" s="108">
        <v>118536000</v>
      </c>
      <c r="AO9" s="108">
        <v>53064000</v>
      </c>
      <c r="AP9" s="108">
        <v>92400000</v>
      </c>
      <c r="AQ9" s="108">
        <v>53592000</v>
      </c>
      <c r="AR9" s="108">
        <v>83952000</v>
      </c>
      <c r="AS9" s="108">
        <v>103488000</v>
      </c>
    </row>
    <row r="10" spans="1:45">
      <c r="A10" s="92" t="s">
        <v>630</v>
      </c>
      <c r="B10" s="95" t="s">
        <v>6</v>
      </c>
      <c r="C10" s="92" t="s">
        <v>7</v>
      </c>
      <c r="D10" s="96" t="s">
        <v>338</v>
      </c>
      <c r="E10" s="97">
        <v>34400</v>
      </c>
      <c r="F10" s="107" t="s">
        <v>625</v>
      </c>
      <c r="G10" s="107" t="s">
        <v>625</v>
      </c>
      <c r="H10" s="107" t="s">
        <v>625</v>
      </c>
      <c r="I10" s="107" t="s">
        <v>625</v>
      </c>
      <c r="J10" s="107" t="s">
        <v>625</v>
      </c>
      <c r="K10" s="107" t="s">
        <v>625</v>
      </c>
      <c r="L10" s="107" t="s">
        <v>625</v>
      </c>
      <c r="M10" s="107" t="s">
        <v>625</v>
      </c>
      <c r="N10" s="98">
        <v>3.12</v>
      </c>
      <c r="O10" s="98">
        <v>3.41</v>
      </c>
      <c r="P10" s="98">
        <v>3.18</v>
      </c>
      <c r="Q10" s="98">
        <v>3.13</v>
      </c>
      <c r="R10" s="98">
        <v>3.13</v>
      </c>
      <c r="S10" s="98">
        <v>3.13</v>
      </c>
      <c r="T10" s="98">
        <v>3.09</v>
      </c>
      <c r="U10" s="98">
        <v>3.12</v>
      </c>
      <c r="V10" s="108">
        <v>13111</v>
      </c>
      <c r="W10" s="108">
        <v>11491</v>
      </c>
      <c r="X10" s="108">
        <v>11327</v>
      </c>
      <c r="Y10" s="108">
        <v>4825</v>
      </c>
      <c r="Z10" s="108">
        <v>8664</v>
      </c>
      <c r="AA10" s="108">
        <v>5057</v>
      </c>
      <c r="AB10" s="108">
        <v>7946</v>
      </c>
      <c r="AC10" s="108">
        <v>9737</v>
      </c>
      <c r="AD10" s="98">
        <v>-5.05</v>
      </c>
      <c r="AE10" s="98">
        <v>-5.49</v>
      </c>
      <c r="AF10" s="98">
        <v>-7.79</v>
      </c>
      <c r="AG10" s="98">
        <v>-7.28</v>
      </c>
      <c r="AH10" s="98">
        <v>-9.7100000000000009</v>
      </c>
      <c r="AI10" s="98">
        <v>-9.94</v>
      </c>
      <c r="AJ10" s="98">
        <v>-3.08</v>
      </c>
      <c r="AK10" s="98">
        <v>-4.8499999999999996</v>
      </c>
      <c r="AL10" s="108">
        <v>451018400</v>
      </c>
      <c r="AM10" s="108">
        <v>395290400</v>
      </c>
      <c r="AN10" s="108">
        <v>389648800</v>
      </c>
      <c r="AO10" s="108">
        <v>165980000</v>
      </c>
      <c r="AP10" s="108">
        <v>298041600</v>
      </c>
      <c r="AQ10" s="108">
        <v>173960800</v>
      </c>
      <c r="AR10" s="108">
        <v>273342400</v>
      </c>
      <c r="AS10" s="108">
        <v>334952800</v>
      </c>
    </row>
    <row r="11" spans="1:45">
      <c r="A11" s="92" t="s">
        <v>635</v>
      </c>
      <c r="B11" s="95" t="s">
        <v>314</v>
      </c>
      <c r="C11" s="92" t="s">
        <v>315</v>
      </c>
      <c r="D11" s="96" t="s">
        <v>338</v>
      </c>
      <c r="E11" s="97">
        <v>11900</v>
      </c>
      <c r="F11" s="107" t="s">
        <v>625</v>
      </c>
      <c r="G11" s="107" t="s">
        <v>625</v>
      </c>
      <c r="H11" s="107" t="s">
        <v>625</v>
      </c>
      <c r="I11" s="107" t="s">
        <v>625</v>
      </c>
      <c r="J11" s="107" t="s">
        <v>625</v>
      </c>
      <c r="K11" s="107" t="s">
        <v>625</v>
      </c>
      <c r="L11" s="107" t="s">
        <v>625</v>
      </c>
      <c r="M11" s="107" t="s">
        <v>625</v>
      </c>
      <c r="N11" s="98">
        <v>2.1800000000000002</v>
      </c>
      <c r="O11" s="98">
        <v>2.15</v>
      </c>
      <c r="P11" s="98">
        <v>2.2200000000000002</v>
      </c>
      <c r="Q11" s="98">
        <v>2.21</v>
      </c>
      <c r="R11" s="98">
        <v>2.2200000000000002</v>
      </c>
      <c r="S11" s="98">
        <v>2.2200000000000002</v>
      </c>
      <c r="T11" s="98">
        <v>2.2200000000000002</v>
      </c>
      <c r="U11" s="98">
        <v>2.21</v>
      </c>
      <c r="V11" s="108">
        <v>26496</v>
      </c>
      <c r="W11" s="108">
        <v>21001</v>
      </c>
      <c r="X11" s="108">
        <v>22892</v>
      </c>
      <c r="Y11" s="108">
        <v>9840</v>
      </c>
      <c r="Z11" s="108">
        <v>17763</v>
      </c>
      <c r="AA11" s="108">
        <v>10375</v>
      </c>
      <c r="AB11" s="108">
        <v>16523</v>
      </c>
      <c r="AC11" s="108">
        <v>19947</v>
      </c>
      <c r="AD11" s="98">
        <v>4.9000000000000004</v>
      </c>
      <c r="AE11" s="98">
        <v>5.28</v>
      </c>
      <c r="AF11" s="98">
        <v>4.7300000000000004</v>
      </c>
      <c r="AG11" s="98">
        <v>4.51</v>
      </c>
      <c r="AH11" s="98">
        <v>4.82</v>
      </c>
      <c r="AI11" s="98">
        <v>4.7300000000000004</v>
      </c>
      <c r="AJ11" s="98">
        <v>4.71</v>
      </c>
      <c r="AK11" s="98">
        <v>4.68</v>
      </c>
      <c r="AL11" s="108">
        <v>315302400</v>
      </c>
      <c r="AM11" s="108">
        <v>249911900</v>
      </c>
      <c r="AN11" s="108">
        <v>272414800</v>
      </c>
      <c r="AO11" s="108">
        <v>117096000</v>
      </c>
      <c r="AP11" s="108">
        <v>211379700</v>
      </c>
      <c r="AQ11" s="108">
        <v>123462500</v>
      </c>
      <c r="AR11" s="108">
        <v>196623700</v>
      </c>
      <c r="AS11" s="108">
        <v>237369300</v>
      </c>
    </row>
    <row r="12" spans="1:45">
      <c r="A12" s="92" t="s">
        <v>642</v>
      </c>
      <c r="B12" s="95" t="s">
        <v>284</v>
      </c>
      <c r="C12" s="92" t="s">
        <v>285</v>
      </c>
      <c r="D12" s="96" t="s">
        <v>338</v>
      </c>
      <c r="E12" s="97">
        <v>64400</v>
      </c>
      <c r="F12" s="107" t="s">
        <v>625</v>
      </c>
      <c r="G12" s="107" t="s">
        <v>625</v>
      </c>
      <c r="H12" s="107" t="s">
        <v>625</v>
      </c>
      <c r="I12" s="107" t="s">
        <v>625</v>
      </c>
      <c r="J12" s="107" t="s">
        <v>625</v>
      </c>
      <c r="K12" s="107" t="s">
        <v>625</v>
      </c>
      <c r="L12" s="107" t="s">
        <v>625</v>
      </c>
      <c r="M12" s="107" t="s">
        <v>625</v>
      </c>
      <c r="N12" s="98">
        <v>1.92</v>
      </c>
      <c r="O12" s="98">
        <v>2.1</v>
      </c>
      <c r="P12" s="98">
        <v>1.9</v>
      </c>
      <c r="Q12" s="98">
        <v>1.73</v>
      </c>
      <c r="R12" s="98">
        <v>1.95</v>
      </c>
      <c r="S12" s="98">
        <v>1.91</v>
      </c>
      <c r="T12" s="98">
        <v>1.88</v>
      </c>
      <c r="U12" s="98">
        <v>1.9</v>
      </c>
      <c r="V12" s="108">
        <v>4322</v>
      </c>
      <c r="W12" s="108">
        <v>3774</v>
      </c>
      <c r="X12" s="108">
        <v>3633</v>
      </c>
      <c r="Y12" s="108">
        <v>1428</v>
      </c>
      <c r="Z12" s="108">
        <v>2883</v>
      </c>
      <c r="AA12" s="108">
        <v>1651</v>
      </c>
      <c r="AB12" s="108">
        <v>2578</v>
      </c>
      <c r="AC12" s="108">
        <v>3177</v>
      </c>
      <c r="AD12" s="98">
        <v>-8.34</v>
      </c>
      <c r="AE12" s="98">
        <v>-8.2200000000000006</v>
      </c>
      <c r="AF12" s="98">
        <v>-8.0500000000000007</v>
      </c>
      <c r="AG12" s="98">
        <v>-7.77</v>
      </c>
      <c r="AH12" s="98">
        <v>-8.2200000000000006</v>
      </c>
      <c r="AI12" s="98">
        <v>-8.34</v>
      </c>
      <c r="AJ12" s="98">
        <v>-8.2899999999999991</v>
      </c>
      <c r="AK12" s="98">
        <v>-8.1999999999999993</v>
      </c>
      <c r="AL12" s="108">
        <v>278336800</v>
      </c>
      <c r="AM12" s="108">
        <v>243045600</v>
      </c>
      <c r="AN12" s="108">
        <v>233965200</v>
      </c>
      <c r="AO12" s="108">
        <v>91963200</v>
      </c>
      <c r="AP12" s="108">
        <v>185665200</v>
      </c>
      <c r="AQ12" s="108">
        <v>106324400</v>
      </c>
      <c r="AR12" s="108">
        <v>166023200</v>
      </c>
      <c r="AS12" s="108">
        <v>204598800</v>
      </c>
    </row>
    <row r="13" spans="1:45">
      <c r="A13" s="92" t="s">
        <v>653</v>
      </c>
      <c r="B13" s="95" t="s">
        <v>14</v>
      </c>
      <c r="C13" s="92" t="s">
        <v>15</v>
      </c>
      <c r="D13" s="96" t="s">
        <v>338</v>
      </c>
      <c r="E13" s="97">
        <v>133500</v>
      </c>
      <c r="F13" s="107" t="s">
        <v>625</v>
      </c>
      <c r="G13" s="107" t="s">
        <v>625</v>
      </c>
      <c r="H13" s="107" t="s">
        <v>625</v>
      </c>
      <c r="I13" s="107" t="s">
        <v>625</v>
      </c>
      <c r="J13" s="107" t="s">
        <v>625</v>
      </c>
      <c r="K13" s="107" t="s">
        <v>625</v>
      </c>
      <c r="L13" s="107" t="s">
        <v>625</v>
      </c>
      <c r="M13" s="107" t="s">
        <v>625</v>
      </c>
      <c r="N13" s="98">
        <v>1.06</v>
      </c>
      <c r="O13" s="98">
        <v>1.1100000000000001</v>
      </c>
      <c r="P13" s="98">
        <v>1.01</v>
      </c>
      <c r="Q13" s="98">
        <v>0.85</v>
      </c>
      <c r="R13" s="98">
        <v>1.04</v>
      </c>
      <c r="S13" s="98">
        <v>1.05</v>
      </c>
      <c r="T13" s="98">
        <v>1</v>
      </c>
      <c r="U13" s="98">
        <v>1.02</v>
      </c>
      <c r="V13" s="108">
        <v>1154</v>
      </c>
      <c r="W13" s="108">
        <v>966</v>
      </c>
      <c r="X13" s="108">
        <v>932</v>
      </c>
      <c r="Y13" s="108">
        <v>338</v>
      </c>
      <c r="Z13" s="108">
        <v>742</v>
      </c>
      <c r="AA13" s="108">
        <v>437</v>
      </c>
      <c r="AB13" s="108">
        <v>665</v>
      </c>
      <c r="AC13" s="108">
        <v>824</v>
      </c>
      <c r="AD13" s="98">
        <v>5.19</v>
      </c>
      <c r="AE13" s="98">
        <v>5.2</v>
      </c>
      <c r="AF13" s="98">
        <v>5.21</v>
      </c>
      <c r="AG13" s="98">
        <v>5.23</v>
      </c>
      <c r="AH13" s="98">
        <v>5.21</v>
      </c>
      <c r="AI13" s="98">
        <v>5.19</v>
      </c>
      <c r="AJ13" s="98">
        <v>5.22</v>
      </c>
      <c r="AK13" s="98">
        <v>5.19</v>
      </c>
      <c r="AL13" s="108">
        <v>154059000</v>
      </c>
      <c r="AM13" s="108">
        <v>128961000</v>
      </c>
      <c r="AN13" s="108">
        <v>124422000</v>
      </c>
      <c r="AO13" s="108">
        <v>45123000</v>
      </c>
      <c r="AP13" s="108">
        <v>99057000</v>
      </c>
      <c r="AQ13" s="108">
        <v>58339500</v>
      </c>
      <c r="AR13" s="108">
        <v>88777500</v>
      </c>
      <c r="AS13" s="108">
        <v>110004000</v>
      </c>
    </row>
    <row r="14" spans="1:45">
      <c r="A14" s="92" t="s">
        <v>639</v>
      </c>
      <c r="B14" s="95" t="s">
        <v>16</v>
      </c>
      <c r="C14" s="92" t="s">
        <v>17</v>
      </c>
      <c r="D14" s="96" t="s">
        <v>338</v>
      </c>
      <c r="E14" s="97">
        <v>222500</v>
      </c>
      <c r="F14" s="107" t="s">
        <v>625</v>
      </c>
      <c r="G14" s="107" t="s">
        <v>625</v>
      </c>
      <c r="H14" s="107" t="s">
        <v>625</v>
      </c>
      <c r="I14" s="107" t="s">
        <v>625</v>
      </c>
      <c r="J14" s="107" t="s">
        <v>625</v>
      </c>
      <c r="K14" s="107" t="s">
        <v>625</v>
      </c>
      <c r="L14" s="107" t="s">
        <v>625</v>
      </c>
      <c r="M14" s="107" t="s">
        <v>625</v>
      </c>
      <c r="N14" s="98">
        <v>2.0099999999999998</v>
      </c>
      <c r="O14" s="98">
        <v>2.2000000000000002</v>
      </c>
      <c r="P14" s="98">
        <v>2.02</v>
      </c>
      <c r="Q14" s="98">
        <v>2.02</v>
      </c>
      <c r="R14" s="98">
        <v>2.0099999999999998</v>
      </c>
      <c r="S14" s="98">
        <v>2.02</v>
      </c>
      <c r="T14" s="98">
        <v>1.98</v>
      </c>
      <c r="U14" s="98">
        <v>2.02</v>
      </c>
      <c r="V14" s="108">
        <v>1311</v>
      </c>
      <c r="W14" s="108">
        <v>1147</v>
      </c>
      <c r="X14" s="108">
        <v>1114</v>
      </c>
      <c r="Y14" s="108">
        <v>482</v>
      </c>
      <c r="Z14" s="108">
        <v>861</v>
      </c>
      <c r="AA14" s="108">
        <v>506</v>
      </c>
      <c r="AB14" s="108">
        <v>787</v>
      </c>
      <c r="AC14" s="108">
        <v>974</v>
      </c>
      <c r="AD14" s="98">
        <v>8.5399999999999991</v>
      </c>
      <c r="AE14" s="98">
        <v>8.26</v>
      </c>
      <c r="AF14" s="98">
        <v>8.83</v>
      </c>
      <c r="AG14" s="98">
        <v>5.73</v>
      </c>
      <c r="AH14" s="98">
        <v>8.3800000000000008</v>
      </c>
      <c r="AI14" s="98">
        <v>8.39</v>
      </c>
      <c r="AJ14" s="98">
        <v>8.51</v>
      </c>
      <c r="AK14" s="98">
        <v>8.24</v>
      </c>
      <c r="AL14" s="108">
        <v>291697500</v>
      </c>
      <c r="AM14" s="108">
        <v>255207500</v>
      </c>
      <c r="AN14" s="108">
        <v>247865000</v>
      </c>
      <c r="AO14" s="108">
        <v>107245000</v>
      </c>
      <c r="AP14" s="108">
        <v>191572500</v>
      </c>
      <c r="AQ14" s="108">
        <v>112585000</v>
      </c>
      <c r="AR14" s="108">
        <v>175107500</v>
      </c>
      <c r="AS14" s="108">
        <v>216715000</v>
      </c>
    </row>
    <row r="15" spans="1:45">
      <c r="A15" s="92" t="s">
        <v>627</v>
      </c>
      <c r="B15" s="95" t="s">
        <v>20</v>
      </c>
      <c r="C15" s="92" t="s">
        <v>21</v>
      </c>
      <c r="D15" s="96" t="s">
        <v>338</v>
      </c>
      <c r="E15" s="97">
        <v>1612000</v>
      </c>
      <c r="F15" s="107" t="s">
        <v>625</v>
      </c>
      <c r="G15" s="107" t="s">
        <v>625</v>
      </c>
      <c r="H15" s="107" t="s">
        <v>625</v>
      </c>
      <c r="I15" s="107" t="s">
        <v>625</v>
      </c>
      <c r="J15" s="107" t="s">
        <v>625</v>
      </c>
      <c r="K15" s="107" t="s">
        <v>625</v>
      </c>
      <c r="L15" s="107" t="s">
        <v>625</v>
      </c>
      <c r="M15" s="107" t="s">
        <v>625</v>
      </c>
      <c r="N15" s="98">
        <v>4.8499999999999996</v>
      </c>
      <c r="O15" s="98">
        <v>5.29</v>
      </c>
      <c r="P15" s="98">
        <v>4.8600000000000003</v>
      </c>
      <c r="Q15" s="98">
        <v>4.3499999999999996</v>
      </c>
      <c r="R15" s="98">
        <v>4.8600000000000003</v>
      </c>
      <c r="S15" s="98">
        <v>4.87</v>
      </c>
      <c r="T15" s="98">
        <v>4.8</v>
      </c>
      <c r="U15" s="98">
        <v>4.8499999999999996</v>
      </c>
      <c r="V15" s="108">
        <v>435</v>
      </c>
      <c r="W15" s="108">
        <v>380</v>
      </c>
      <c r="X15" s="108">
        <v>370</v>
      </c>
      <c r="Y15" s="108">
        <v>143</v>
      </c>
      <c r="Z15" s="108">
        <v>287</v>
      </c>
      <c r="AA15" s="108">
        <v>168</v>
      </c>
      <c r="AB15" s="108">
        <v>263</v>
      </c>
      <c r="AC15" s="108">
        <v>323</v>
      </c>
      <c r="AD15" s="98">
        <v>16.98</v>
      </c>
      <c r="AE15" s="98">
        <v>16.940000000000001</v>
      </c>
      <c r="AF15" s="98">
        <v>18.03</v>
      </c>
      <c r="AG15" s="98">
        <v>8.6199999999999992</v>
      </c>
      <c r="AH15" s="98">
        <v>17.170000000000002</v>
      </c>
      <c r="AI15" s="98">
        <v>16.559999999999999</v>
      </c>
      <c r="AJ15" s="98">
        <v>17.809999999999999</v>
      </c>
      <c r="AK15" s="98">
        <v>17.350000000000001</v>
      </c>
      <c r="AL15" s="108">
        <v>701220000</v>
      </c>
      <c r="AM15" s="108">
        <v>612560000</v>
      </c>
      <c r="AN15" s="108">
        <v>596440000</v>
      </c>
      <c r="AO15" s="108">
        <v>230516000</v>
      </c>
      <c r="AP15" s="108">
        <v>462644000</v>
      </c>
      <c r="AQ15" s="108">
        <v>270816000</v>
      </c>
      <c r="AR15" s="108">
        <v>423956000</v>
      </c>
      <c r="AS15" s="108">
        <v>520676000</v>
      </c>
    </row>
    <row r="16" spans="1:45">
      <c r="A16" s="92" t="s">
        <v>665</v>
      </c>
      <c r="B16" s="95" t="s">
        <v>286</v>
      </c>
      <c r="C16" s="92" t="s">
        <v>287</v>
      </c>
      <c r="D16" s="96" t="s">
        <v>338</v>
      </c>
      <c r="E16" s="97">
        <v>18900</v>
      </c>
      <c r="F16" s="107" t="s">
        <v>625</v>
      </c>
      <c r="G16" s="107" t="s">
        <v>625</v>
      </c>
      <c r="H16" s="107" t="s">
        <v>625</v>
      </c>
      <c r="I16" s="107" t="s">
        <v>625</v>
      </c>
      <c r="J16" s="107" t="s">
        <v>625</v>
      </c>
      <c r="K16" s="107" t="s">
        <v>625</v>
      </c>
      <c r="L16" s="107" t="s">
        <v>625</v>
      </c>
      <c r="M16" s="107" t="s">
        <v>625</v>
      </c>
      <c r="N16" s="98">
        <v>0.49</v>
      </c>
      <c r="O16" s="98">
        <v>0.55000000000000004</v>
      </c>
      <c r="P16" s="98">
        <v>0.5</v>
      </c>
      <c r="Q16" s="98">
        <v>0.51</v>
      </c>
      <c r="R16" s="98">
        <v>0.49</v>
      </c>
      <c r="S16" s="98">
        <v>0.49</v>
      </c>
      <c r="T16" s="98">
        <v>0.39</v>
      </c>
      <c r="U16" s="98">
        <v>0.5</v>
      </c>
      <c r="V16" s="108">
        <v>3747</v>
      </c>
      <c r="W16" s="108">
        <v>3368</v>
      </c>
      <c r="X16" s="108">
        <v>3254</v>
      </c>
      <c r="Y16" s="108">
        <v>1430</v>
      </c>
      <c r="Z16" s="108">
        <v>2482</v>
      </c>
      <c r="AA16" s="108">
        <v>1447</v>
      </c>
      <c r="AB16" s="108">
        <v>1841</v>
      </c>
      <c r="AC16" s="108">
        <v>2874</v>
      </c>
      <c r="AD16" s="98">
        <v>14.6</v>
      </c>
      <c r="AE16" s="98">
        <v>14.56</v>
      </c>
      <c r="AF16" s="98">
        <v>14.51</v>
      </c>
      <c r="AG16" s="98">
        <v>14.52</v>
      </c>
      <c r="AH16" s="98">
        <v>14.57</v>
      </c>
      <c r="AI16" s="98">
        <v>14.62</v>
      </c>
      <c r="AJ16" s="98">
        <v>14.59</v>
      </c>
      <c r="AK16" s="98">
        <v>14.54</v>
      </c>
      <c r="AL16" s="108">
        <v>70818300</v>
      </c>
      <c r="AM16" s="108">
        <v>63655200</v>
      </c>
      <c r="AN16" s="108">
        <v>61500600</v>
      </c>
      <c r="AO16" s="108">
        <v>27027000</v>
      </c>
      <c r="AP16" s="108">
        <v>46909800</v>
      </c>
      <c r="AQ16" s="108">
        <v>27348300</v>
      </c>
      <c r="AR16" s="108">
        <v>34794900</v>
      </c>
      <c r="AS16" s="108">
        <v>54318600</v>
      </c>
    </row>
    <row r="17" spans="1:45">
      <c r="A17" s="92" t="s">
        <v>638</v>
      </c>
      <c r="B17" s="95" t="s">
        <v>543</v>
      </c>
      <c r="C17" s="92" t="s">
        <v>542</v>
      </c>
      <c r="D17" s="96" t="s">
        <v>338</v>
      </c>
      <c r="E17" s="97">
        <v>29600</v>
      </c>
      <c r="F17" s="107" t="s">
        <v>625</v>
      </c>
      <c r="G17" s="107" t="s">
        <v>625</v>
      </c>
      <c r="H17" s="107" t="s">
        <v>625</v>
      </c>
      <c r="I17" s="107" t="s">
        <v>625</v>
      </c>
      <c r="J17" s="107" t="s">
        <v>625</v>
      </c>
      <c r="K17" s="107" t="s">
        <v>625</v>
      </c>
      <c r="L17" s="107" t="s">
        <v>625</v>
      </c>
      <c r="M17" s="107" t="s">
        <v>625</v>
      </c>
      <c r="N17" s="98">
        <v>2.12</v>
      </c>
      <c r="O17" s="98">
        <v>2.02</v>
      </c>
      <c r="P17" s="98">
        <v>2.02</v>
      </c>
      <c r="Q17" s="98">
        <v>2.06</v>
      </c>
      <c r="R17" s="98">
        <v>2.0699999999999998</v>
      </c>
      <c r="S17" s="98">
        <v>2.1</v>
      </c>
      <c r="T17" s="98">
        <v>2</v>
      </c>
      <c r="U17" s="98">
        <v>2.0299999999999998</v>
      </c>
      <c r="V17" s="108">
        <v>10393</v>
      </c>
      <c r="W17" s="108">
        <v>7928</v>
      </c>
      <c r="X17" s="108">
        <v>8387</v>
      </c>
      <c r="Y17" s="108">
        <v>3690</v>
      </c>
      <c r="Z17" s="108">
        <v>6677</v>
      </c>
      <c r="AA17" s="108">
        <v>3953</v>
      </c>
      <c r="AB17" s="108">
        <v>5978</v>
      </c>
      <c r="AC17" s="108">
        <v>7373</v>
      </c>
      <c r="AD17" s="98">
        <v>7.38</v>
      </c>
      <c r="AE17" s="98">
        <v>7.39</v>
      </c>
      <c r="AF17" s="98">
        <v>6.63</v>
      </c>
      <c r="AG17" s="98">
        <v>6.16</v>
      </c>
      <c r="AH17" s="98">
        <v>6.96</v>
      </c>
      <c r="AI17" s="98">
        <v>7.06</v>
      </c>
      <c r="AJ17" s="98">
        <v>7.99</v>
      </c>
      <c r="AK17" s="98">
        <v>7.76</v>
      </c>
      <c r="AL17" s="108">
        <v>307632800</v>
      </c>
      <c r="AM17" s="108">
        <v>234668800</v>
      </c>
      <c r="AN17" s="108">
        <v>248255200</v>
      </c>
      <c r="AO17" s="108">
        <v>109224000</v>
      </c>
      <c r="AP17" s="108">
        <v>197639200</v>
      </c>
      <c r="AQ17" s="108">
        <v>117008800</v>
      </c>
      <c r="AR17" s="108">
        <v>176948800</v>
      </c>
      <c r="AS17" s="108">
        <v>218240800</v>
      </c>
    </row>
    <row r="18" spans="1:45">
      <c r="A18" s="92" t="s">
        <v>666</v>
      </c>
      <c r="B18" s="95" t="s">
        <v>303</v>
      </c>
      <c r="C18" s="92" t="s">
        <v>304</v>
      </c>
      <c r="D18" s="96" t="s">
        <v>338</v>
      </c>
      <c r="E18" s="97">
        <v>1365</v>
      </c>
      <c r="F18" s="107" t="s">
        <v>625</v>
      </c>
      <c r="G18" s="107" t="s">
        <v>625</v>
      </c>
      <c r="H18" s="107" t="s">
        <v>625</v>
      </c>
      <c r="I18" s="107" t="s">
        <v>625</v>
      </c>
      <c r="J18" s="107" t="s">
        <v>625</v>
      </c>
      <c r="K18" s="107" t="s">
        <v>625</v>
      </c>
      <c r="L18" s="107"/>
      <c r="M18" s="107" t="s">
        <v>625</v>
      </c>
      <c r="N18" s="98">
        <v>0</v>
      </c>
      <c r="O18" s="98">
        <v>0</v>
      </c>
      <c r="P18" s="98">
        <v>0.47</v>
      </c>
      <c r="Q18" s="98">
        <v>0.51</v>
      </c>
      <c r="R18" s="98">
        <v>0.48</v>
      </c>
      <c r="S18" s="98">
        <v>0.48</v>
      </c>
      <c r="T18" s="98"/>
      <c r="U18" s="98">
        <v>0.47</v>
      </c>
      <c r="V18" s="108">
        <v>0</v>
      </c>
      <c r="W18" s="108">
        <v>0</v>
      </c>
      <c r="X18" s="108">
        <v>42409</v>
      </c>
      <c r="Y18" s="108">
        <v>20007</v>
      </c>
      <c r="Z18" s="108">
        <v>33456</v>
      </c>
      <c r="AA18" s="108">
        <v>19646</v>
      </c>
      <c r="AB18" s="108"/>
      <c r="AC18" s="108">
        <v>37508</v>
      </c>
      <c r="AD18" s="98">
        <v>-6</v>
      </c>
      <c r="AE18" s="98">
        <v>-5.29</v>
      </c>
      <c r="AF18" s="98">
        <v>-7.02</v>
      </c>
      <c r="AG18" s="98">
        <v>-6.52</v>
      </c>
      <c r="AH18" s="98">
        <v>-6.96</v>
      </c>
      <c r="AI18" s="98">
        <v>-6.93</v>
      </c>
      <c r="AJ18" s="98"/>
      <c r="AK18" s="98">
        <v>-6.98</v>
      </c>
      <c r="AL18" s="108">
        <v>0</v>
      </c>
      <c r="AM18" s="108">
        <v>0</v>
      </c>
      <c r="AN18" s="108">
        <v>57888285</v>
      </c>
      <c r="AO18" s="108">
        <v>27309555</v>
      </c>
      <c r="AP18" s="108">
        <v>45667440</v>
      </c>
      <c r="AQ18" s="108">
        <v>26816790</v>
      </c>
      <c r="AR18" s="108"/>
      <c r="AS18" s="108">
        <v>51198420</v>
      </c>
    </row>
    <row r="19" spans="1:45">
      <c r="A19" s="92" t="s">
        <v>637</v>
      </c>
      <c r="B19" s="95" t="s">
        <v>24</v>
      </c>
      <c r="C19" s="92" t="s">
        <v>25</v>
      </c>
      <c r="D19" s="96" t="s">
        <v>338</v>
      </c>
      <c r="E19" s="97">
        <v>67000</v>
      </c>
      <c r="F19" s="107" t="s">
        <v>625</v>
      </c>
      <c r="G19" s="107" t="s">
        <v>625</v>
      </c>
      <c r="H19" s="107" t="s">
        <v>625</v>
      </c>
      <c r="I19" s="107" t="s">
        <v>625</v>
      </c>
      <c r="J19" s="107" t="s">
        <v>625</v>
      </c>
      <c r="K19" s="107" t="s">
        <v>625</v>
      </c>
      <c r="L19" s="107" t="s">
        <v>625</v>
      </c>
      <c r="M19" s="107" t="s">
        <v>625</v>
      </c>
      <c r="N19" s="98">
        <v>2</v>
      </c>
      <c r="O19" s="98">
        <v>1.72</v>
      </c>
      <c r="P19" s="98">
        <v>2.0099999999999998</v>
      </c>
      <c r="Q19" s="98">
        <v>2</v>
      </c>
      <c r="R19" s="98">
        <v>2</v>
      </c>
      <c r="S19" s="98">
        <v>2.0099999999999998</v>
      </c>
      <c r="T19" s="98">
        <v>2.0099999999999998</v>
      </c>
      <c r="U19" s="98">
        <v>2.0099999999999998</v>
      </c>
      <c r="V19" s="108">
        <v>4333</v>
      </c>
      <c r="W19" s="108">
        <v>2976</v>
      </c>
      <c r="X19" s="108">
        <v>3683</v>
      </c>
      <c r="Y19" s="108">
        <v>1589</v>
      </c>
      <c r="Z19" s="108">
        <v>2849</v>
      </c>
      <c r="AA19" s="108">
        <v>1667</v>
      </c>
      <c r="AB19" s="108">
        <v>2658</v>
      </c>
      <c r="AC19" s="108">
        <v>3217</v>
      </c>
      <c r="AD19" s="98">
        <v>4.46</v>
      </c>
      <c r="AE19" s="98">
        <v>5.62</v>
      </c>
      <c r="AF19" s="98">
        <v>4.43</v>
      </c>
      <c r="AG19" s="98">
        <v>4.42</v>
      </c>
      <c r="AH19" s="98">
        <v>4.46</v>
      </c>
      <c r="AI19" s="98">
        <v>4.43</v>
      </c>
      <c r="AJ19" s="98">
        <v>4.3899999999999997</v>
      </c>
      <c r="AK19" s="98">
        <v>4.46</v>
      </c>
      <c r="AL19" s="108">
        <v>290311000</v>
      </c>
      <c r="AM19" s="108">
        <v>199392000</v>
      </c>
      <c r="AN19" s="108">
        <v>246761000</v>
      </c>
      <c r="AO19" s="108">
        <v>106463000</v>
      </c>
      <c r="AP19" s="108">
        <v>190883000</v>
      </c>
      <c r="AQ19" s="108">
        <v>111689000</v>
      </c>
      <c r="AR19" s="108">
        <v>178086000</v>
      </c>
      <c r="AS19" s="108">
        <v>215539000</v>
      </c>
    </row>
    <row r="20" spans="1:45">
      <c r="A20" s="92" t="s">
        <v>649</v>
      </c>
      <c r="B20" s="95" t="s">
        <v>28</v>
      </c>
      <c r="C20" s="92" t="s">
        <v>29</v>
      </c>
      <c r="D20" s="96" t="s">
        <v>338</v>
      </c>
      <c r="E20" s="97">
        <v>57400</v>
      </c>
      <c r="F20" s="107" t="s">
        <v>625</v>
      </c>
      <c r="G20" s="107" t="s">
        <v>625</v>
      </c>
      <c r="H20" s="107" t="s">
        <v>625</v>
      </c>
      <c r="I20" s="107" t="s">
        <v>625</v>
      </c>
      <c r="J20" s="107" t="s">
        <v>625</v>
      </c>
      <c r="K20" s="107" t="s">
        <v>625</v>
      </c>
      <c r="L20" s="107" t="s">
        <v>625</v>
      </c>
      <c r="M20" s="107" t="s">
        <v>625</v>
      </c>
      <c r="N20" s="98">
        <v>1.31</v>
      </c>
      <c r="O20" s="98">
        <v>1.25</v>
      </c>
      <c r="P20" s="98">
        <v>1.32</v>
      </c>
      <c r="Q20" s="98">
        <v>1.24</v>
      </c>
      <c r="R20" s="98">
        <v>1.33</v>
      </c>
      <c r="S20" s="98">
        <v>1.32</v>
      </c>
      <c r="T20" s="98">
        <v>1.2</v>
      </c>
      <c r="U20" s="98">
        <v>1.31</v>
      </c>
      <c r="V20" s="108">
        <v>3305</v>
      </c>
      <c r="W20" s="108">
        <v>2530</v>
      </c>
      <c r="X20" s="108">
        <v>2821</v>
      </c>
      <c r="Y20" s="108">
        <v>1147</v>
      </c>
      <c r="Z20" s="108">
        <v>2203</v>
      </c>
      <c r="AA20" s="108">
        <v>1282</v>
      </c>
      <c r="AB20" s="108">
        <v>1849</v>
      </c>
      <c r="AC20" s="108">
        <v>2458</v>
      </c>
      <c r="AD20" s="98">
        <v>62.71</v>
      </c>
      <c r="AE20" s="98">
        <v>45.01</v>
      </c>
      <c r="AF20" s="98">
        <v>33.909999999999997</v>
      </c>
      <c r="AG20" s="98">
        <v>7.66</v>
      </c>
      <c r="AH20" s="98">
        <v>11.86</v>
      </c>
      <c r="AI20" s="98">
        <v>10.59</v>
      </c>
      <c r="AJ20" s="98">
        <v>81.72</v>
      </c>
      <c r="AK20" s="98">
        <v>71.86</v>
      </c>
      <c r="AL20" s="108">
        <v>189707000</v>
      </c>
      <c r="AM20" s="108">
        <v>145222000</v>
      </c>
      <c r="AN20" s="108">
        <v>161925400</v>
      </c>
      <c r="AO20" s="108">
        <v>65837800</v>
      </c>
      <c r="AP20" s="108">
        <v>126452200</v>
      </c>
      <c r="AQ20" s="108">
        <v>73586800</v>
      </c>
      <c r="AR20" s="108">
        <v>106132600</v>
      </c>
      <c r="AS20" s="108">
        <v>141089200</v>
      </c>
    </row>
    <row r="21" spans="1:45">
      <c r="A21" s="92" t="s">
        <v>657</v>
      </c>
      <c r="B21" s="95" t="s">
        <v>30</v>
      </c>
      <c r="C21" s="92" t="s">
        <v>31</v>
      </c>
      <c r="D21" s="96" t="s">
        <v>338</v>
      </c>
      <c r="E21" s="97">
        <v>490000</v>
      </c>
      <c r="F21" s="107" t="s">
        <v>625</v>
      </c>
      <c r="G21" s="107" t="s">
        <v>625</v>
      </c>
      <c r="H21" s="107" t="s">
        <v>625</v>
      </c>
      <c r="I21" s="107" t="s">
        <v>625</v>
      </c>
      <c r="J21" s="107" t="s">
        <v>625</v>
      </c>
      <c r="K21" s="107" t="s">
        <v>625</v>
      </c>
      <c r="L21" s="107" t="s">
        <v>625</v>
      </c>
      <c r="M21" s="107" t="s">
        <v>625</v>
      </c>
      <c r="N21" s="98">
        <v>0.97</v>
      </c>
      <c r="O21" s="98">
        <v>1.05</v>
      </c>
      <c r="P21" s="98">
        <v>0.95</v>
      </c>
      <c r="Q21" s="98">
        <v>0.91</v>
      </c>
      <c r="R21" s="98">
        <v>0.98</v>
      </c>
      <c r="S21" s="98">
        <v>0.95</v>
      </c>
      <c r="T21" s="98">
        <v>0.94</v>
      </c>
      <c r="U21" s="98">
        <v>0.95</v>
      </c>
      <c r="V21" s="108">
        <v>286</v>
      </c>
      <c r="W21" s="108">
        <v>248</v>
      </c>
      <c r="X21" s="108">
        <v>239</v>
      </c>
      <c r="Y21" s="108">
        <v>99</v>
      </c>
      <c r="Z21" s="108">
        <v>191</v>
      </c>
      <c r="AA21" s="108">
        <v>108</v>
      </c>
      <c r="AB21" s="108">
        <v>170</v>
      </c>
      <c r="AC21" s="108">
        <v>209</v>
      </c>
      <c r="AD21" s="98">
        <v>-5.77</v>
      </c>
      <c r="AE21" s="98">
        <v>-5.82</v>
      </c>
      <c r="AF21" s="98">
        <v>-5.85</v>
      </c>
      <c r="AG21" s="98">
        <v>-5.82</v>
      </c>
      <c r="AH21" s="98">
        <v>-5.79</v>
      </c>
      <c r="AI21" s="98">
        <v>-5.83</v>
      </c>
      <c r="AJ21" s="98">
        <v>-5.82</v>
      </c>
      <c r="AK21" s="98">
        <v>-5.77</v>
      </c>
      <c r="AL21" s="108">
        <v>140140000</v>
      </c>
      <c r="AM21" s="108">
        <v>121520000</v>
      </c>
      <c r="AN21" s="108">
        <v>117110000</v>
      </c>
      <c r="AO21" s="108">
        <v>48510000</v>
      </c>
      <c r="AP21" s="108">
        <v>93590000</v>
      </c>
      <c r="AQ21" s="108">
        <v>52920000</v>
      </c>
      <c r="AR21" s="108">
        <v>83300000</v>
      </c>
      <c r="AS21" s="108">
        <v>102410000</v>
      </c>
    </row>
    <row r="22" spans="1:45">
      <c r="A22" s="92" t="s">
        <v>651</v>
      </c>
      <c r="B22" s="95" t="s">
        <v>536</v>
      </c>
      <c r="C22" s="92" t="s">
        <v>535</v>
      </c>
      <c r="D22" s="96" t="s">
        <v>338</v>
      </c>
      <c r="E22" s="97">
        <v>53900</v>
      </c>
      <c r="F22" s="107" t="s">
        <v>625</v>
      </c>
      <c r="G22" s="107" t="s">
        <v>625</v>
      </c>
      <c r="H22" s="107" t="s">
        <v>625</v>
      </c>
      <c r="I22" s="107" t="s">
        <v>625</v>
      </c>
      <c r="J22" s="107" t="s">
        <v>625</v>
      </c>
      <c r="K22" s="107" t="s">
        <v>625</v>
      </c>
      <c r="L22" s="107" t="s">
        <v>625</v>
      </c>
      <c r="M22" s="107" t="s">
        <v>625</v>
      </c>
      <c r="N22" s="98">
        <v>1.1399999999999999</v>
      </c>
      <c r="O22" s="98">
        <v>1.21</v>
      </c>
      <c r="P22" s="98">
        <v>1.0900000000000001</v>
      </c>
      <c r="Q22" s="98">
        <v>0.83</v>
      </c>
      <c r="R22" s="98">
        <v>1.1299999999999999</v>
      </c>
      <c r="S22" s="98">
        <v>1.1299999999999999</v>
      </c>
      <c r="T22" s="98">
        <v>1.1100000000000001</v>
      </c>
      <c r="U22" s="98">
        <v>1.1100000000000001</v>
      </c>
      <c r="V22" s="108">
        <v>3082</v>
      </c>
      <c r="W22" s="108">
        <v>2602</v>
      </c>
      <c r="X22" s="108">
        <v>2498</v>
      </c>
      <c r="Y22" s="108">
        <v>820</v>
      </c>
      <c r="Z22" s="108">
        <v>2010</v>
      </c>
      <c r="AA22" s="108">
        <v>1165</v>
      </c>
      <c r="AB22" s="108">
        <v>1832</v>
      </c>
      <c r="AC22" s="108">
        <v>2217</v>
      </c>
      <c r="AD22" s="98">
        <v>-9.01</v>
      </c>
      <c r="AE22" s="98">
        <v>-8.99</v>
      </c>
      <c r="AF22" s="98">
        <v>-8.8800000000000008</v>
      </c>
      <c r="AG22" s="98">
        <v>-9.07</v>
      </c>
      <c r="AH22" s="98">
        <v>-8.93</v>
      </c>
      <c r="AI22" s="98">
        <v>-9</v>
      </c>
      <c r="AJ22" s="98">
        <v>-8.7799999999999994</v>
      </c>
      <c r="AK22" s="98">
        <v>-9.0299999999999994</v>
      </c>
      <c r="AL22" s="108">
        <v>166119800</v>
      </c>
      <c r="AM22" s="108">
        <v>140247800</v>
      </c>
      <c r="AN22" s="108">
        <v>134642200</v>
      </c>
      <c r="AO22" s="108">
        <v>44198000</v>
      </c>
      <c r="AP22" s="108">
        <v>108339000</v>
      </c>
      <c r="AQ22" s="108">
        <v>62793500</v>
      </c>
      <c r="AR22" s="108">
        <v>98744800</v>
      </c>
      <c r="AS22" s="108">
        <v>119496300</v>
      </c>
    </row>
    <row r="23" spans="1:45">
      <c r="A23" s="92" t="s">
        <v>644</v>
      </c>
      <c r="B23" s="95" t="s">
        <v>533</v>
      </c>
      <c r="C23" s="92" t="s">
        <v>532</v>
      </c>
      <c r="D23" s="96" t="s">
        <v>338</v>
      </c>
      <c r="E23" s="97">
        <v>258500</v>
      </c>
      <c r="F23" s="107" t="s">
        <v>625</v>
      </c>
      <c r="G23" s="107" t="s">
        <v>625</v>
      </c>
      <c r="H23" s="107" t="s">
        <v>625</v>
      </c>
      <c r="I23" s="107" t="s">
        <v>625</v>
      </c>
      <c r="J23" s="107" t="s">
        <v>625</v>
      </c>
      <c r="K23" s="107" t="s">
        <v>625</v>
      </c>
      <c r="L23" s="107" t="s">
        <v>625</v>
      </c>
      <c r="M23" s="107" t="s">
        <v>625</v>
      </c>
      <c r="N23" s="98">
        <v>1.55</v>
      </c>
      <c r="O23" s="98">
        <v>1.63</v>
      </c>
      <c r="P23" s="98">
        <v>1.48</v>
      </c>
      <c r="Q23" s="98">
        <v>1.59</v>
      </c>
      <c r="R23" s="98">
        <v>1.51</v>
      </c>
      <c r="S23" s="98">
        <v>1.55</v>
      </c>
      <c r="T23" s="98">
        <v>1.46</v>
      </c>
      <c r="U23" s="98">
        <v>1.53</v>
      </c>
      <c r="V23" s="108">
        <v>868</v>
      </c>
      <c r="W23" s="108">
        <v>733</v>
      </c>
      <c r="X23" s="108">
        <v>702</v>
      </c>
      <c r="Y23" s="108">
        <v>326</v>
      </c>
      <c r="Z23" s="108">
        <v>557</v>
      </c>
      <c r="AA23" s="108">
        <v>334</v>
      </c>
      <c r="AB23" s="108">
        <v>499</v>
      </c>
      <c r="AC23" s="108">
        <v>635</v>
      </c>
      <c r="AD23" s="98">
        <v>3.33</v>
      </c>
      <c r="AE23" s="98">
        <v>3.38</v>
      </c>
      <c r="AF23" s="98">
        <v>3.3</v>
      </c>
      <c r="AG23" s="98">
        <v>-1.02</v>
      </c>
      <c r="AH23" s="98">
        <v>1.91</v>
      </c>
      <c r="AI23" s="98">
        <v>0.06</v>
      </c>
      <c r="AJ23" s="98">
        <v>3.39</v>
      </c>
      <c r="AK23" s="98">
        <v>3.46</v>
      </c>
      <c r="AL23" s="108">
        <v>224378000</v>
      </c>
      <c r="AM23" s="108">
        <v>189480500</v>
      </c>
      <c r="AN23" s="108">
        <v>181467000</v>
      </c>
      <c r="AO23" s="108">
        <v>84271000</v>
      </c>
      <c r="AP23" s="108">
        <v>143984500</v>
      </c>
      <c r="AQ23" s="108">
        <v>86339000</v>
      </c>
      <c r="AR23" s="108">
        <v>128991500</v>
      </c>
      <c r="AS23" s="108">
        <v>164147500</v>
      </c>
    </row>
    <row r="24" spans="1:45">
      <c r="A24" s="92" t="s">
        <v>655</v>
      </c>
      <c r="B24" s="95" t="s">
        <v>272</v>
      </c>
      <c r="C24" s="92" t="s">
        <v>273</v>
      </c>
      <c r="D24" s="96" t="s">
        <v>338</v>
      </c>
      <c r="E24" s="97">
        <v>56700</v>
      </c>
      <c r="F24" s="107" t="s">
        <v>625</v>
      </c>
      <c r="G24" s="107" t="s">
        <v>625</v>
      </c>
      <c r="H24" s="107" t="s">
        <v>625</v>
      </c>
      <c r="I24" s="107" t="s">
        <v>625</v>
      </c>
      <c r="J24" s="107" t="s">
        <v>625</v>
      </c>
      <c r="K24" s="107" t="s">
        <v>625</v>
      </c>
      <c r="L24" s="107" t="s">
        <v>625</v>
      </c>
      <c r="M24" s="107" t="s">
        <v>625</v>
      </c>
      <c r="N24" s="98">
        <v>1.03</v>
      </c>
      <c r="O24" s="98">
        <v>1.1000000000000001</v>
      </c>
      <c r="P24" s="98">
        <v>0.98</v>
      </c>
      <c r="Q24" s="98">
        <v>0.79</v>
      </c>
      <c r="R24" s="98">
        <v>1.02</v>
      </c>
      <c r="S24" s="98">
        <v>1.02</v>
      </c>
      <c r="T24" s="98">
        <v>0.97</v>
      </c>
      <c r="U24" s="98">
        <v>0.98</v>
      </c>
      <c r="V24" s="108">
        <v>2642</v>
      </c>
      <c r="W24" s="108">
        <v>2246</v>
      </c>
      <c r="X24" s="108">
        <v>2133</v>
      </c>
      <c r="Y24" s="108">
        <v>745</v>
      </c>
      <c r="Z24" s="108">
        <v>1715</v>
      </c>
      <c r="AA24" s="108">
        <v>1001</v>
      </c>
      <c r="AB24" s="108">
        <v>1523</v>
      </c>
      <c r="AC24" s="108">
        <v>1861</v>
      </c>
      <c r="AD24" s="98">
        <v>15.41</v>
      </c>
      <c r="AE24" s="98">
        <v>15.35</v>
      </c>
      <c r="AF24" s="98">
        <v>15.46</v>
      </c>
      <c r="AG24" s="98">
        <v>11.92</v>
      </c>
      <c r="AH24" s="98">
        <v>15.34</v>
      </c>
      <c r="AI24" s="98">
        <v>15.27</v>
      </c>
      <c r="AJ24" s="98">
        <v>15.41</v>
      </c>
      <c r="AK24" s="98">
        <v>15.34</v>
      </c>
      <c r="AL24" s="108">
        <v>149801400</v>
      </c>
      <c r="AM24" s="108">
        <v>127348200</v>
      </c>
      <c r="AN24" s="108">
        <v>120941100</v>
      </c>
      <c r="AO24" s="108">
        <v>42241500</v>
      </c>
      <c r="AP24" s="108">
        <v>97240500</v>
      </c>
      <c r="AQ24" s="108">
        <v>56756700</v>
      </c>
      <c r="AR24" s="108">
        <v>86354100</v>
      </c>
      <c r="AS24" s="108">
        <v>105518700</v>
      </c>
    </row>
    <row r="25" spans="1:45">
      <c r="A25" s="92" t="s">
        <v>661</v>
      </c>
      <c r="B25" s="95" t="s">
        <v>36</v>
      </c>
      <c r="C25" s="92" t="s">
        <v>37</v>
      </c>
      <c r="D25" s="96" t="s">
        <v>338</v>
      </c>
      <c r="E25" s="97">
        <v>90900</v>
      </c>
      <c r="F25" s="107" t="s">
        <v>625</v>
      </c>
      <c r="G25" s="107" t="s">
        <v>625</v>
      </c>
      <c r="H25" s="107" t="s">
        <v>625</v>
      </c>
      <c r="I25" s="107" t="s">
        <v>625</v>
      </c>
      <c r="J25" s="107" t="s">
        <v>625</v>
      </c>
      <c r="K25" s="107" t="s">
        <v>625</v>
      </c>
      <c r="L25" s="107" t="s">
        <v>625</v>
      </c>
      <c r="M25" s="107" t="s">
        <v>625</v>
      </c>
      <c r="N25" s="98">
        <v>0.77</v>
      </c>
      <c r="O25" s="98">
        <v>0.79</v>
      </c>
      <c r="P25" s="98">
        <v>0.95</v>
      </c>
      <c r="Q25" s="98">
        <v>0.79</v>
      </c>
      <c r="R25" s="98">
        <v>0.99</v>
      </c>
      <c r="S25" s="98">
        <v>0.96</v>
      </c>
      <c r="T25" s="98">
        <v>0.5</v>
      </c>
      <c r="U25" s="98">
        <v>0.94</v>
      </c>
      <c r="V25" s="108">
        <v>1225</v>
      </c>
      <c r="W25" s="108">
        <v>1009</v>
      </c>
      <c r="X25" s="108">
        <v>1288</v>
      </c>
      <c r="Y25" s="108">
        <v>466</v>
      </c>
      <c r="Z25" s="108">
        <v>1042</v>
      </c>
      <c r="AA25" s="108">
        <v>587</v>
      </c>
      <c r="AB25" s="108">
        <v>494</v>
      </c>
      <c r="AC25" s="108">
        <v>1112</v>
      </c>
      <c r="AD25" s="98">
        <v>-28.52</v>
      </c>
      <c r="AE25" s="98">
        <v>-28.48</v>
      </c>
      <c r="AF25" s="98">
        <v>-29.89</v>
      </c>
      <c r="AG25" s="98">
        <v>-17.989999999999998</v>
      </c>
      <c r="AH25" s="98">
        <v>-24.05</v>
      </c>
      <c r="AI25" s="98">
        <v>-23.74</v>
      </c>
      <c r="AJ25" s="98">
        <v>-27.93</v>
      </c>
      <c r="AK25" s="98">
        <v>-28.51</v>
      </c>
      <c r="AL25" s="108">
        <v>111352500</v>
      </c>
      <c r="AM25" s="108">
        <v>91718100</v>
      </c>
      <c r="AN25" s="108">
        <v>117079200</v>
      </c>
      <c r="AO25" s="108">
        <v>42359400</v>
      </c>
      <c r="AP25" s="108">
        <v>94717800</v>
      </c>
      <c r="AQ25" s="108">
        <v>53358300</v>
      </c>
      <c r="AR25" s="108">
        <v>44904600</v>
      </c>
      <c r="AS25" s="108">
        <v>101080800</v>
      </c>
    </row>
    <row r="26" spans="1:45">
      <c r="A26" s="92" t="s">
        <v>629</v>
      </c>
      <c r="B26" s="95" t="s">
        <v>258</v>
      </c>
      <c r="C26" s="92" t="s">
        <v>259</v>
      </c>
      <c r="D26" s="96" t="s">
        <v>338</v>
      </c>
      <c r="E26" s="97">
        <v>70500</v>
      </c>
      <c r="F26" s="107" t="s">
        <v>625</v>
      </c>
      <c r="G26" s="107" t="s">
        <v>625</v>
      </c>
      <c r="H26" s="107" t="s">
        <v>625</v>
      </c>
      <c r="I26" s="107" t="s">
        <v>625</v>
      </c>
      <c r="J26" s="107" t="s">
        <v>625</v>
      </c>
      <c r="K26" s="107" t="s">
        <v>625</v>
      </c>
      <c r="L26" s="107" t="s">
        <v>625</v>
      </c>
      <c r="M26" s="107" t="s">
        <v>625</v>
      </c>
      <c r="N26" s="98">
        <v>3.26</v>
      </c>
      <c r="O26" s="98">
        <v>3.55</v>
      </c>
      <c r="P26" s="98">
        <v>3.23</v>
      </c>
      <c r="Q26" s="98">
        <v>3.06</v>
      </c>
      <c r="R26" s="98">
        <v>3.3</v>
      </c>
      <c r="S26" s="98">
        <v>3.23</v>
      </c>
      <c r="T26" s="98">
        <v>3.2</v>
      </c>
      <c r="U26" s="98">
        <v>3.22</v>
      </c>
      <c r="V26" s="108">
        <v>6700</v>
      </c>
      <c r="W26" s="108">
        <v>5830</v>
      </c>
      <c r="X26" s="108">
        <v>5620</v>
      </c>
      <c r="Y26" s="108">
        <v>2300</v>
      </c>
      <c r="Z26" s="108">
        <v>4460</v>
      </c>
      <c r="AA26" s="108">
        <v>2550</v>
      </c>
      <c r="AB26" s="108">
        <v>4010</v>
      </c>
      <c r="AC26" s="108">
        <v>4910</v>
      </c>
      <c r="AD26" s="98">
        <v>14.06</v>
      </c>
      <c r="AE26" s="98">
        <v>13.65</v>
      </c>
      <c r="AF26" s="98">
        <v>14.67</v>
      </c>
      <c r="AG26" s="98">
        <v>11.08</v>
      </c>
      <c r="AH26" s="98">
        <v>12.67</v>
      </c>
      <c r="AI26" s="98">
        <v>12.9</v>
      </c>
      <c r="AJ26" s="98">
        <v>13.62</v>
      </c>
      <c r="AK26" s="98">
        <v>13.72</v>
      </c>
      <c r="AL26" s="108">
        <v>472350000</v>
      </c>
      <c r="AM26" s="108">
        <v>411015000</v>
      </c>
      <c r="AN26" s="108">
        <v>396210000</v>
      </c>
      <c r="AO26" s="108">
        <v>162150000</v>
      </c>
      <c r="AP26" s="108">
        <v>314430000</v>
      </c>
      <c r="AQ26" s="108">
        <v>179775000</v>
      </c>
      <c r="AR26" s="108">
        <v>282705000</v>
      </c>
      <c r="AS26" s="108">
        <v>346155000</v>
      </c>
    </row>
    <row r="27" spans="1:45">
      <c r="A27" s="92" t="s">
        <v>645</v>
      </c>
      <c r="B27" s="95" t="s">
        <v>328</v>
      </c>
      <c r="C27" s="92" t="s">
        <v>329</v>
      </c>
      <c r="D27" s="96" t="s">
        <v>338</v>
      </c>
      <c r="E27" s="97">
        <v>5590</v>
      </c>
      <c r="F27" s="107" t="s">
        <v>625</v>
      </c>
      <c r="G27" s="107" t="s">
        <v>625</v>
      </c>
      <c r="H27" s="107" t="s">
        <v>625</v>
      </c>
      <c r="I27" s="107" t="s">
        <v>625</v>
      </c>
      <c r="J27" s="107" t="s">
        <v>625</v>
      </c>
      <c r="K27" s="107" t="s">
        <v>625</v>
      </c>
      <c r="L27" s="107" t="s">
        <v>625</v>
      </c>
      <c r="M27" s="107" t="s">
        <v>625</v>
      </c>
      <c r="N27" s="98">
        <v>1.41</v>
      </c>
      <c r="O27" s="98">
        <v>1.34</v>
      </c>
      <c r="P27" s="98">
        <v>1.41</v>
      </c>
      <c r="Q27" s="98">
        <v>1.39</v>
      </c>
      <c r="R27" s="98">
        <v>1.4</v>
      </c>
      <c r="S27" s="98">
        <v>1.41</v>
      </c>
      <c r="T27" s="98">
        <v>1.39</v>
      </c>
      <c r="U27" s="98">
        <v>1.41</v>
      </c>
      <c r="V27" s="108">
        <v>36488</v>
      </c>
      <c r="W27" s="108">
        <v>27858</v>
      </c>
      <c r="X27" s="108">
        <v>31048</v>
      </c>
      <c r="Y27" s="108">
        <v>13235</v>
      </c>
      <c r="Z27" s="108">
        <v>23835</v>
      </c>
      <c r="AA27" s="108">
        <v>14067</v>
      </c>
      <c r="AB27" s="108">
        <v>22007</v>
      </c>
      <c r="AC27" s="108">
        <v>27093</v>
      </c>
      <c r="AD27" s="98">
        <v>-1.57</v>
      </c>
      <c r="AE27" s="98">
        <v>-1.57</v>
      </c>
      <c r="AF27" s="98">
        <v>-1.59</v>
      </c>
      <c r="AG27" s="98">
        <v>-1.51</v>
      </c>
      <c r="AH27" s="98">
        <v>-1.56</v>
      </c>
      <c r="AI27" s="98">
        <v>-1.56</v>
      </c>
      <c r="AJ27" s="98">
        <v>-1.58</v>
      </c>
      <c r="AK27" s="98">
        <v>-1.58</v>
      </c>
      <c r="AL27" s="108">
        <v>203967920</v>
      </c>
      <c r="AM27" s="108">
        <v>155726220</v>
      </c>
      <c r="AN27" s="108">
        <v>173558320</v>
      </c>
      <c r="AO27" s="108">
        <v>73983650</v>
      </c>
      <c r="AP27" s="108">
        <v>133237650</v>
      </c>
      <c r="AQ27" s="108">
        <v>78634530</v>
      </c>
      <c r="AR27" s="108">
        <v>123019130</v>
      </c>
      <c r="AS27" s="108">
        <v>151449870</v>
      </c>
    </row>
    <row r="28" spans="1:45">
      <c r="A28" s="92" t="s">
        <v>654</v>
      </c>
      <c r="B28" s="95" t="s">
        <v>525</v>
      </c>
      <c r="C28" s="92" t="s">
        <v>524</v>
      </c>
      <c r="D28" s="96" t="s">
        <v>338</v>
      </c>
      <c r="E28" s="97">
        <v>38050</v>
      </c>
      <c r="F28" s="107" t="s">
        <v>625</v>
      </c>
      <c r="G28" s="107" t="s">
        <v>625</v>
      </c>
      <c r="H28" s="107" t="s">
        <v>625</v>
      </c>
      <c r="I28" s="107" t="s">
        <v>625</v>
      </c>
      <c r="J28" s="107" t="s">
        <v>625</v>
      </c>
      <c r="K28" s="107" t="s">
        <v>625</v>
      </c>
      <c r="L28" s="107" t="s">
        <v>625</v>
      </c>
      <c r="M28" s="107" t="s">
        <v>625</v>
      </c>
      <c r="N28" s="98">
        <v>0.99</v>
      </c>
      <c r="O28" s="98">
        <v>0.89</v>
      </c>
      <c r="P28" s="98">
        <v>1</v>
      </c>
      <c r="Q28" s="98">
        <v>1.03</v>
      </c>
      <c r="R28" s="98">
        <v>1</v>
      </c>
      <c r="S28" s="98">
        <v>1</v>
      </c>
      <c r="T28" s="98">
        <v>0.98</v>
      </c>
      <c r="U28" s="98">
        <v>0.99</v>
      </c>
      <c r="V28" s="108">
        <v>3789</v>
      </c>
      <c r="W28" s="108">
        <v>2729</v>
      </c>
      <c r="X28" s="108">
        <v>3227</v>
      </c>
      <c r="Y28" s="108">
        <v>1447</v>
      </c>
      <c r="Z28" s="108">
        <v>2511</v>
      </c>
      <c r="AA28" s="108">
        <v>1461</v>
      </c>
      <c r="AB28" s="108">
        <v>2279</v>
      </c>
      <c r="AC28" s="108">
        <v>2814</v>
      </c>
      <c r="AD28" s="98">
        <v>-2.9</v>
      </c>
      <c r="AE28" s="98">
        <v>-2.77</v>
      </c>
      <c r="AF28" s="98">
        <v>-2.83</v>
      </c>
      <c r="AG28" s="98">
        <v>-2.9</v>
      </c>
      <c r="AH28" s="98">
        <v>-1.96</v>
      </c>
      <c r="AI28" s="98">
        <v>-1.95</v>
      </c>
      <c r="AJ28" s="98">
        <v>-2.88</v>
      </c>
      <c r="AK28" s="98">
        <v>-2.85</v>
      </c>
      <c r="AL28" s="108">
        <v>144171450</v>
      </c>
      <c r="AM28" s="108">
        <v>103838450</v>
      </c>
      <c r="AN28" s="108">
        <v>122787350</v>
      </c>
      <c r="AO28" s="108">
        <v>55058350</v>
      </c>
      <c r="AP28" s="108">
        <v>95543550</v>
      </c>
      <c r="AQ28" s="108">
        <v>55591050</v>
      </c>
      <c r="AR28" s="108">
        <v>86715950</v>
      </c>
      <c r="AS28" s="108">
        <v>107072700</v>
      </c>
    </row>
    <row r="29" spans="1:45">
      <c r="A29" s="92" t="s">
        <v>636</v>
      </c>
      <c r="B29" s="95" t="s">
        <v>522</v>
      </c>
      <c r="C29" s="92" t="s">
        <v>521</v>
      </c>
      <c r="D29" s="96" t="s">
        <v>338</v>
      </c>
      <c r="E29" s="97">
        <v>11650</v>
      </c>
      <c r="F29" s="107" t="s">
        <v>625</v>
      </c>
      <c r="G29" s="107" t="s">
        <v>625</v>
      </c>
      <c r="H29" s="107" t="s">
        <v>625</v>
      </c>
      <c r="I29" s="107" t="s">
        <v>625</v>
      </c>
      <c r="J29" s="107" t="s">
        <v>625</v>
      </c>
      <c r="K29" s="107" t="s">
        <v>625</v>
      </c>
      <c r="L29" s="107" t="s">
        <v>625</v>
      </c>
      <c r="M29" s="107" t="s">
        <v>625</v>
      </c>
      <c r="N29" s="98">
        <v>2.29</v>
      </c>
      <c r="O29" s="98">
        <v>2.39</v>
      </c>
      <c r="P29" s="98">
        <v>2.19</v>
      </c>
      <c r="Q29" s="98">
        <v>2.2000000000000002</v>
      </c>
      <c r="R29" s="98">
        <v>2.2599999999999998</v>
      </c>
      <c r="S29" s="98">
        <v>2.27</v>
      </c>
      <c r="T29" s="98">
        <v>2.17</v>
      </c>
      <c r="U29" s="98">
        <v>2.2000000000000002</v>
      </c>
      <c r="V29" s="108">
        <v>28510</v>
      </c>
      <c r="W29" s="108">
        <v>23795</v>
      </c>
      <c r="X29" s="108">
        <v>23089</v>
      </c>
      <c r="Y29" s="108">
        <v>10030</v>
      </c>
      <c r="Z29" s="108">
        <v>18471</v>
      </c>
      <c r="AA29" s="108">
        <v>10867</v>
      </c>
      <c r="AB29" s="108">
        <v>16445</v>
      </c>
      <c r="AC29" s="108">
        <v>20250</v>
      </c>
      <c r="AD29" s="98">
        <v>5.41</v>
      </c>
      <c r="AE29" s="98">
        <v>5.41</v>
      </c>
      <c r="AF29" s="98">
        <v>5.41</v>
      </c>
      <c r="AG29" s="98">
        <v>5.58</v>
      </c>
      <c r="AH29" s="98">
        <v>5.42</v>
      </c>
      <c r="AI29" s="98">
        <v>5.41</v>
      </c>
      <c r="AJ29" s="98">
        <v>4.7300000000000004</v>
      </c>
      <c r="AK29" s="98">
        <v>5.33</v>
      </c>
      <c r="AL29" s="108">
        <v>332141500</v>
      </c>
      <c r="AM29" s="108">
        <v>277211750</v>
      </c>
      <c r="AN29" s="108">
        <v>268986850</v>
      </c>
      <c r="AO29" s="108">
        <v>116849500</v>
      </c>
      <c r="AP29" s="108">
        <v>215187150</v>
      </c>
      <c r="AQ29" s="108">
        <v>126600550</v>
      </c>
      <c r="AR29" s="108">
        <v>191584250</v>
      </c>
      <c r="AS29" s="108">
        <v>235912500</v>
      </c>
    </row>
    <row r="30" spans="1:45">
      <c r="A30" s="92" t="s">
        <v>650</v>
      </c>
      <c r="B30" s="95" t="s">
        <v>519</v>
      </c>
      <c r="C30" s="92" t="s">
        <v>518</v>
      </c>
      <c r="D30" s="96" t="s">
        <v>338</v>
      </c>
      <c r="E30" s="97">
        <v>76200</v>
      </c>
      <c r="F30" s="107" t="s">
        <v>625</v>
      </c>
      <c r="G30" s="107" t="s">
        <v>625</v>
      </c>
      <c r="H30" s="107" t="s">
        <v>625</v>
      </c>
      <c r="I30" s="107" t="s">
        <v>625</v>
      </c>
      <c r="J30" s="107" t="s">
        <v>625</v>
      </c>
      <c r="K30" s="107" t="s">
        <v>625</v>
      </c>
      <c r="L30" s="107" t="s">
        <v>625</v>
      </c>
      <c r="M30" s="107" t="s">
        <v>625</v>
      </c>
      <c r="N30" s="98">
        <v>1.2</v>
      </c>
      <c r="O30" s="98">
        <v>1.32</v>
      </c>
      <c r="P30" s="98">
        <v>1.21</v>
      </c>
      <c r="Q30" s="98">
        <v>1.26</v>
      </c>
      <c r="R30" s="98">
        <v>1.22</v>
      </c>
      <c r="S30" s="98">
        <v>1.21</v>
      </c>
      <c r="T30" s="98">
        <v>1.19</v>
      </c>
      <c r="U30" s="98">
        <v>1.21</v>
      </c>
      <c r="V30" s="108">
        <v>2293</v>
      </c>
      <c r="W30" s="108">
        <v>2017</v>
      </c>
      <c r="X30" s="108">
        <v>1956</v>
      </c>
      <c r="Y30" s="108">
        <v>878</v>
      </c>
      <c r="Z30" s="108">
        <v>1525</v>
      </c>
      <c r="AA30" s="108">
        <v>888</v>
      </c>
      <c r="AB30" s="108">
        <v>1386</v>
      </c>
      <c r="AC30" s="108">
        <v>1710</v>
      </c>
      <c r="AD30" s="98">
        <v>-0.56999999999999995</v>
      </c>
      <c r="AE30" s="98">
        <v>-0.6</v>
      </c>
      <c r="AF30" s="98">
        <v>-0.63</v>
      </c>
      <c r="AG30" s="98">
        <v>-1.01</v>
      </c>
      <c r="AH30" s="98">
        <v>-0.67</v>
      </c>
      <c r="AI30" s="98">
        <v>-0.61</v>
      </c>
      <c r="AJ30" s="98">
        <v>-0.57999999999999996</v>
      </c>
      <c r="AK30" s="98">
        <v>-0.64</v>
      </c>
      <c r="AL30" s="108">
        <v>174726600</v>
      </c>
      <c r="AM30" s="108">
        <v>153695400</v>
      </c>
      <c r="AN30" s="108">
        <v>149047200</v>
      </c>
      <c r="AO30" s="108">
        <v>66903600</v>
      </c>
      <c r="AP30" s="108">
        <v>116205000</v>
      </c>
      <c r="AQ30" s="108">
        <v>67665600</v>
      </c>
      <c r="AR30" s="108">
        <v>105613200</v>
      </c>
      <c r="AS30" s="108">
        <v>130302000</v>
      </c>
    </row>
    <row r="31" spans="1:45">
      <c r="A31" s="92" t="s">
        <v>647</v>
      </c>
      <c r="B31" s="95" t="s">
        <v>515</v>
      </c>
      <c r="C31" s="92" t="s">
        <v>514</v>
      </c>
      <c r="D31" s="96" t="s">
        <v>338</v>
      </c>
      <c r="E31" s="97">
        <v>157000</v>
      </c>
      <c r="F31" s="107" t="s">
        <v>625</v>
      </c>
      <c r="G31" s="107" t="s">
        <v>625</v>
      </c>
      <c r="H31" s="107" t="s">
        <v>625</v>
      </c>
      <c r="I31" s="107" t="s">
        <v>625</v>
      </c>
      <c r="J31" s="107" t="s">
        <v>625</v>
      </c>
      <c r="K31" s="107" t="s">
        <v>625</v>
      </c>
      <c r="L31" s="107" t="s">
        <v>625</v>
      </c>
      <c r="M31" s="107" t="s">
        <v>625</v>
      </c>
      <c r="N31" s="98">
        <v>1.45</v>
      </c>
      <c r="O31" s="98">
        <v>1.36</v>
      </c>
      <c r="P31" s="98">
        <v>1.43</v>
      </c>
      <c r="Q31" s="98">
        <v>1.25</v>
      </c>
      <c r="R31" s="98">
        <v>1.47</v>
      </c>
      <c r="S31" s="98">
        <v>1.43</v>
      </c>
      <c r="T31" s="98">
        <v>1.31</v>
      </c>
      <c r="U31" s="98">
        <v>1.43</v>
      </c>
      <c r="V31" s="108">
        <v>1336</v>
      </c>
      <c r="W31" s="108">
        <v>1003</v>
      </c>
      <c r="X31" s="108">
        <v>1118</v>
      </c>
      <c r="Y31" s="108">
        <v>425</v>
      </c>
      <c r="Z31" s="108">
        <v>891</v>
      </c>
      <c r="AA31" s="108">
        <v>506</v>
      </c>
      <c r="AB31" s="108">
        <v>737</v>
      </c>
      <c r="AC31" s="108">
        <v>981</v>
      </c>
      <c r="AD31" s="98">
        <v>-2.36</v>
      </c>
      <c r="AE31" s="98">
        <v>-2.16</v>
      </c>
      <c r="AF31" s="98">
        <v>-2.65</v>
      </c>
      <c r="AG31" s="98">
        <v>-1.46</v>
      </c>
      <c r="AH31" s="98">
        <v>-2.2799999999999998</v>
      </c>
      <c r="AI31" s="98">
        <v>-2.34</v>
      </c>
      <c r="AJ31" s="98">
        <v>-2.33</v>
      </c>
      <c r="AK31" s="98">
        <v>-2.27</v>
      </c>
      <c r="AL31" s="108">
        <v>209752000</v>
      </c>
      <c r="AM31" s="108">
        <v>157471000</v>
      </c>
      <c r="AN31" s="108">
        <v>175526000</v>
      </c>
      <c r="AO31" s="108">
        <v>66725000</v>
      </c>
      <c r="AP31" s="108">
        <v>139887000</v>
      </c>
      <c r="AQ31" s="108">
        <v>79442000</v>
      </c>
      <c r="AR31" s="108">
        <v>115709000</v>
      </c>
      <c r="AS31" s="108">
        <v>154017000</v>
      </c>
    </row>
    <row r="32" spans="1:45">
      <c r="A32" s="92" t="s">
        <v>633</v>
      </c>
      <c r="B32" s="95" t="s">
        <v>48</v>
      </c>
      <c r="C32" s="92" t="s">
        <v>49</v>
      </c>
      <c r="D32" s="96" t="s">
        <v>338</v>
      </c>
      <c r="E32" s="97">
        <v>30500</v>
      </c>
      <c r="F32" s="107" t="s">
        <v>625</v>
      </c>
      <c r="G32" s="107" t="s">
        <v>625</v>
      </c>
      <c r="H32" s="107" t="s">
        <v>625</v>
      </c>
      <c r="I32" s="107" t="s">
        <v>625</v>
      </c>
      <c r="J32" s="107" t="s">
        <v>625</v>
      </c>
      <c r="K32" s="107" t="s">
        <v>625</v>
      </c>
      <c r="L32" s="107" t="s">
        <v>625</v>
      </c>
      <c r="M32" s="107" t="s">
        <v>625</v>
      </c>
      <c r="N32" s="98">
        <v>2.54</v>
      </c>
      <c r="O32" s="98">
        <v>2.76</v>
      </c>
      <c r="P32" s="98">
        <v>2.52</v>
      </c>
      <c r="Q32" s="98">
        <v>2.39</v>
      </c>
      <c r="R32" s="98">
        <v>2.56</v>
      </c>
      <c r="S32" s="98">
        <v>2.52</v>
      </c>
      <c r="T32" s="98">
        <v>2.48</v>
      </c>
      <c r="U32" s="98">
        <v>2.5</v>
      </c>
      <c r="V32" s="108">
        <v>12072</v>
      </c>
      <c r="W32" s="108">
        <v>10495</v>
      </c>
      <c r="X32" s="108">
        <v>10149</v>
      </c>
      <c r="Y32" s="108">
        <v>4163</v>
      </c>
      <c r="Z32" s="108">
        <v>8006</v>
      </c>
      <c r="AA32" s="108">
        <v>4596</v>
      </c>
      <c r="AB32" s="108">
        <v>7202</v>
      </c>
      <c r="AC32" s="108">
        <v>8798</v>
      </c>
      <c r="AD32" s="98">
        <v>3.4</v>
      </c>
      <c r="AE32" s="98">
        <v>3.28</v>
      </c>
      <c r="AF32" s="98">
        <v>3.52</v>
      </c>
      <c r="AG32" s="98">
        <v>2.31</v>
      </c>
      <c r="AH32" s="98">
        <v>3.34</v>
      </c>
      <c r="AI32" s="98">
        <v>3.36</v>
      </c>
      <c r="AJ32" s="98">
        <v>3.44</v>
      </c>
      <c r="AK32" s="98">
        <v>3.36</v>
      </c>
      <c r="AL32" s="108">
        <v>368196000</v>
      </c>
      <c r="AM32" s="108">
        <v>320097500</v>
      </c>
      <c r="AN32" s="108">
        <v>309544500</v>
      </c>
      <c r="AO32" s="108">
        <v>126971500</v>
      </c>
      <c r="AP32" s="108">
        <v>244183000</v>
      </c>
      <c r="AQ32" s="108">
        <v>140178000</v>
      </c>
      <c r="AR32" s="108">
        <v>219661000</v>
      </c>
      <c r="AS32" s="108">
        <v>268339000</v>
      </c>
    </row>
    <row r="33" spans="1:45">
      <c r="A33" s="92" t="s">
        <v>641</v>
      </c>
      <c r="B33" s="95" t="s">
        <v>52</v>
      </c>
      <c r="C33" s="92" t="s">
        <v>53</v>
      </c>
      <c r="D33" s="96" t="s">
        <v>338</v>
      </c>
      <c r="E33" s="97">
        <v>213000</v>
      </c>
      <c r="F33" s="107" t="s">
        <v>625</v>
      </c>
      <c r="G33" s="107" t="s">
        <v>625</v>
      </c>
      <c r="H33" s="107" t="s">
        <v>625</v>
      </c>
      <c r="I33" s="107" t="s">
        <v>625</v>
      </c>
      <c r="J33" s="107" t="s">
        <v>625</v>
      </c>
      <c r="K33" s="107" t="s">
        <v>625</v>
      </c>
      <c r="L33" s="107" t="s">
        <v>625</v>
      </c>
      <c r="M33" s="107" t="s">
        <v>625</v>
      </c>
      <c r="N33" s="98">
        <v>2.0499999999999998</v>
      </c>
      <c r="O33" s="98">
        <v>2.15</v>
      </c>
      <c r="P33" s="98">
        <v>1.95</v>
      </c>
      <c r="Q33" s="98">
        <v>1.64</v>
      </c>
      <c r="R33" s="98">
        <v>2.0099999999999998</v>
      </c>
      <c r="S33" s="98">
        <v>2.02</v>
      </c>
      <c r="T33" s="98">
        <v>1.95</v>
      </c>
      <c r="U33" s="98">
        <v>1.96</v>
      </c>
      <c r="V33" s="108">
        <v>1397</v>
      </c>
      <c r="W33" s="108">
        <v>1171</v>
      </c>
      <c r="X33" s="108">
        <v>1124</v>
      </c>
      <c r="Y33" s="108">
        <v>408</v>
      </c>
      <c r="Z33" s="108">
        <v>900</v>
      </c>
      <c r="AA33" s="108">
        <v>529</v>
      </c>
      <c r="AB33" s="108">
        <v>808</v>
      </c>
      <c r="AC33" s="108">
        <v>991</v>
      </c>
      <c r="AD33" s="98">
        <v>-2.79</v>
      </c>
      <c r="AE33" s="98">
        <v>-2.5</v>
      </c>
      <c r="AF33" s="98">
        <v>-2.16</v>
      </c>
      <c r="AG33" s="98">
        <v>0.47</v>
      </c>
      <c r="AH33" s="98">
        <v>-2.89</v>
      </c>
      <c r="AI33" s="98">
        <v>-2.81</v>
      </c>
      <c r="AJ33" s="98">
        <v>-2.83</v>
      </c>
      <c r="AK33" s="98">
        <v>-2.86</v>
      </c>
      <c r="AL33" s="108">
        <v>297561000</v>
      </c>
      <c r="AM33" s="108">
        <v>249423000</v>
      </c>
      <c r="AN33" s="108">
        <v>239412000</v>
      </c>
      <c r="AO33" s="108">
        <v>86904000</v>
      </c>
      <c r="AP33" s="108">
        <v>191700000</v>
      </c>
      <c r="AQ33" s="108">
        <v>112677000</v>
      </c>
      <c r="AR33" s="108">
        <v>172104000</v>
      </c>
      <c r="AS33" s="108">
        <v>211083000</v>
      </c>
    </row>
    <row r="34" spans="1:45">
      <c r="A34" s="92" t="s">
        <v>667</v>
      </c>
      <c r="B34" s="95" t="s">
        <v>248</v>
      </c>
      <c r="C34" s="92" t="s">
        <v>249</v>
      </c>
      <c r="D34" s="96" t="s">
        <v>338</v>
      </c>
      <c r="E34" s="97">
        <v>30500</v>
      </c>
      <c r="F34" s="107" t="s">
        <v>625</v>
      </c>
      <c r="G34" s="107" t="s">
        <v>625</v>
      </c>
      <c r="H34" s="107" t="s">
        <v>625</v>
      </c>
      <c r="I34" s="107" t="s">
        <v>625</v>
      </c>
      <c r="J34" s="107" t="s">
        <v>625</v>
      </c>
      <c r="K34" s="107" t="s">
        <v>625</v>
      </c>
      <c r="L34" s="107"/>
      <c r="M34" s="107" t="s">
        <v>625</v>
      </c>
      <c r="N34" s="98">
        <v>0</v>
      </c>
      <c r="O34" s="98">
        <v>0</v>
      </c>
      <c r="P34" s="98">
        <v>0.37</v>
      </c>
      <c r="Q34" s="98">
        <v>0.31</v>
      </c>
      <c r="R34" s="98">
        <v>0.37</v>
      </c>
      <c r="S34" s="98">
        <v>0.37</v>
      </c>
      <c r="T34" s="98"/>
      <c r="U34" s="98">
        <v>0.37</v>
      </c>
      <c r="V34" s="108">
        <v>0</v>
      </c>
      <c r="W34" s="108">
        <v>0</v>
      </c>
      <c r="X34" s="108">
        <v>1525</v>
      </c>
      <c r="Y34" s="108">
        <v>541</v>
      </c>
      <c r="Z34" s="108">
        <v>1182</v>
      </c>
      <c r="AA34" s="108">
        <v>685</v>
      </c>
      <c r="AB34" s="108"/>
      <c r="AC34" s="108">
        <v>1312</v>
      </c>
      <c r="AD34" s="98">
        <v>-12.52</v>
      </c>
      <c r="AE34" s="98">
        <v>-15.08</v>
      </c>
      <c r="AF34" s="98">
        <v>-14.27</v>
      </c>
      <c r="AG34" s="98">
        <v>-1.47</v>
      </c>
      <c r="AH34" s="98">
        <v>-11.77</v>
      </c>
      <c r="AI34" s="98">
        <v>-11.68</v>
      </c>
      <c r="AJ34" s="98"/>
      <c r="AK34" s="98">
        <v>-11.08</v>
      </c>
      <c r="AL34" s="108">
        <v>0</v>
      </c>
      <c r="AM34" s="108">
        <v>0</v>
      </c>
      <c r="AN34" s="108">
        <v>46512500</v>
      </c>
      <c r="AO34" s="108">
        <v>16500500</v>
      </c>
      <c r="AP34" s="108">
        <v>36051000</v>
      </c>
      <c r="AQ34" s="108">
        <v>20892500</v>
      </c>
      <c r="AR34" s="108"/>
      <c r="AS34" s="108">
        <v>40016000</v>
      </c>
    </row>
    <row r="35" spans="1:45">
      <c r="A35" s="92" t="s">
        <v>660</v>
      </c>
      <c r="B35" s="95" t="s">
        <v>509</v>
      </c>
      <c r="C35" s="92" t="s">
        <v>508</v>
      </c>
      <c r="D35" s="96" t="s">
        <v>338</v>
      </c>
      <c r="E35" s="97">
        <v>76100</v>
      </c>
      <c r="F35" s="107" t="s">
        <v>625</v>
      </c>
      <c r="G35" s="107" t="s">
        <v>625</v>
      </c>
      <c r="H35" s="107" t="s">
        <v>625</v>
      </c>
      <c r="I35" s="107" t="s">
        <v>625</v>
      </c>
      <c r="J35" s="107" t="s">
        <v>625</v>
      </c>
      <c r="K35" s="107" t="s">
        <v>625</v>
      </c>
      <c r="L35" s="107" t="s">
        <v>625</v>
      </c>
      <c r="M35" s="107" t="s">
        <v>625</v>
      </c>
      <c r="N35" s="98">
        <v>0.51</v>
      </c>
      <c r="O35" s="98">
        <v>0.56999999999999995</v>
      </c>
      <c r="P35" s="98">
        <v>0.51</v>
      </c>
      <c r="Q35" s="98">
        <v>0.53</v>
      </c>
      <c r="R35" s="98">
        <v>0.52</v>
      </c>
      <c r="S35" s="98">
        <v>0.51</v>
      </c>
      <c r="T35" s="98">
        <v>0.51</v>
      </c>
      <c r="U35" s="98">
        <v>0.51</v>
      </c>
      <c r="V35" s="108">
        <v>985</v>
      </c>
      <c r="W35" s="108">
        <v>868</v>
      </c>
      <c r="X35" s="108">
        <v>836</v>
      </c>
      <c r="Y35" s="108">
        <v>375</v>
      </c>
      <c r="Z35" s="108">
        <v>652</v>
      </c>
      <c r="AA35" s="108">
        <v>379</v>
      </c>
      <c r="AB35" s="108">
        <v>595</v>
      </c>
      <c r="AC35" s="108">
        <v>732</v>
      </c>
      <c r="AD35" s="98">
        <v>3.06</v>
      </c>
      <c r="AE35" s="98">
        <v>3.16</v>
      </c>
      <c r="AF35" s="98">
        <v>3.08</v>
      </c>
      <c r="AG35" s="98">
        <v>3.08</v>
      </c>
      <c r="AH35" s="98">
        <v>1.98</v>
      </c>
      <c r="AI35" s="98">
        <v>1.99</v>
      </c>
      <c r="AJ35" s="98">
        <v>3.07</v>
      </c>
      <c r="AK35" s="98">
        <v>3.16</v>
      </c>
      <c r="AL35" s="108">
        <v>74958500</v>
      </c>
      <c r="AM35" s="108">
        <v>66054800</v>
      </c>
      <c r="AN35" s="108">
        <v>63619600</v>
      </c>
      <c r="AO35" s="108">
        <v>28537500</v>
      </c>
      <c r="AP35" s="108">
        <v>49617200</v>
      </c>
      <c r="AQ35" s="108">
        <v>28841900</v>
      </c>
      <c r="AR35" s="108">
        <v>45279500</v>
      </c>
      <c r="AS35" s="108">
        <v>55705200</v>
      </c>
    </row>
    <row r="36" spans="1:45">
      <c r="A36" s="92" t="s">
        <v>658</v>
      </c>
      <c r="B36" s="95" t="s">
        <v>506</v>
      </c>
      <c r="C36" s="92" t="s">
        <v>505</v>
      </c>
      <c r="D36" s="96" t="s">
        <v>338</v>
      </c>
      <c r="E36" s="97">
        <v>33150</v>
      </c>
      <c r="F36" s="107" t="s">
        <v>625</v>
      </c>
      <c r="G36" s="107" t="s">
        <v>625</v>
      </c>
      <c r="H36" s="107" t="s">
        <v>625</v>
      </c>
      <c r="I36" s="107" t="s">
        <v>625</v>
      </c>
      <c r="J36" s="107" t="s">
        <v>625</v>
      </c>
      <c r="K36" s="107" t="s">
        <v>625</v>
      </c>
      <c r="L36" s="107" t="s">
        <v>625</v>
      </c>
      <c r="M36" s="107" t="s">
        <v>625</v>
      </c>
      <c r="N36" s="98">
        <v>0</v>
      </c>
      <c r="O36" s="98">
        <v>0</v>
      </c>
      <c r="P36" s="98">
        <v>0.94</v>
      </c>
      <c r="Q36" s="98">
        <v>0.97</v>
      </c>
      <c r="R36" s="98">
        <v>0.95</v>
      </c>
      <c r="S36" s="98">
        <v>0.94</v>
      </c>
      <c r="T36" s="98">
        <v>0.54</v>
      </c>
      <c r="U36" s="98">
        <v>0.94</v>
      </c>
      <c r="V36" s="108">
        <v>0</v>
      </c>
      <c r="W36" s="108">
        <v>0</v>
      </c>
      <c r="X36" s="108">
        <v>3492</v>
      </c>
      <c r="Y36" s="108">
        <v>1563</v>
      </c>
      <c r="Z36" s="108">
        <v>2730</v>
      </c>
      <c r="AA36" s="108">
        <v>1580</v>
      </c>
      <c r="AB36" s="108">
        <v>1447</v>
      </c>
      <c r="AC36" s="108">
        <v>3060</v>
      </c>
      <c r="AD36" s="98">
        <v>-12.87</v>
      </c>
      <c r="AE36" s="98">
        <v>-13.91</v>
      </c>
      <c r="AF36" s="98">
        <v>-16.29</v>
      </c>
      <c r="AG36" s="98">
        <v>-12.3</v>
      </c>
      <c r="AH36" s="98">
        <v>-17.940000000000001</v>
      </c>
      <c r="AI36" s="98">
        <v>-17.489999999999998</v>
      </c>
      <c r="AJ36" s="98">
        <v>-11.99</v>
      </c>
      <c r="AK36" s="98">
        <v>-12.02</v>
      </c>
      <c r="AL36" s="108">
        <v>0</v>
      </c>
      <c r="AM36" s="108">
        <v>0</v>
      </c>
      <c r="AN36" s="108">
        <v>115759800</v>
      </c>
      <c r="AO36" s="108">
        <v>51813450</v>
      </c>
      <c r="AP36" s="108">
        <v>90499500</v>
      </c>
      <c r="AQ36" s="108">
        <v>52377000</v>
      </c>
      <c r="AR36" s="108">
        <v>47968050</v>
      </c>
      <c r="AS36" s="108">
        <v>101439000</v>
      </c>
    </row>
    <row r="37" spans="1:45">
      <c r="A37" s="92" t="s">
        <v>662</v>
      </c>
      <c r="B37" s="95" t="s">
        <v>503</v>
      </c>
      <c r="C37" s="92" t="s">
        <v>502</v>
      </c>
      <c r="D37" s="96" t="s">
        <v>338</v>
      </c>
      <c r="E37" s="97">
        <v>180000</v>
      </c>
      <c r="F37" s="107" t="s">
        <v>625</v>
      </c>
      <c r="G37" s="107" t="s">
        <v>625</v>
      </c>
      <c r="H37" s="107" t="s">
        <v>625</v>
      </c>
      <c r="I37" s="107" t="s">
        <v>625</v>
      </c>
      <c r="J37" s="107" t="s">
        <v>625</v>
      </c>
      <c r="K37" s="107" t="s">
        <v>625</v>
      </c>
      <c r="L37" s="107" t="s">
        <v>625</v>
      </c>
      <c r="M37" s="107" t="s">
        <v>625</v>
      </c>
      <c r="N37" s="98">
        <v>0.51</v>
      </c>
      <c r="O37" s="98">
        <v>0.56000000000000005</v>
      </c>
      <c r="P37" s="98">
        <v>0.51</v>
      </c>
      <c r="Q37" s="98">
        <v>0.51</v>
      </c>
      <c r="R37" s="98">
        <v>0.51</v>
      </c>
      <c r="S37" s="98">
        <v>0.51</v>
      </c>
      <c r="T37" s="98">
        <v>0.5</v>
      </c>
      <c r="U37" s="98">
        <v>0.51</v>
      </c>
      <c r="V37" s="108">
        <v>412</v>
      </c>
      <c r="W37" s="108">
        <v>360</v>
      </c>
      <c r="X37" s="108">
        <v>351</v>
      </c>
      <c r="Y37" s="108">
        <v>151</v>
      </c>
      <c r="Z37" s="108">
        <v>272</v>
      </c>
      <c r="AA37" s="108">
        <v>159</v>
      </c>
      <c r="AB37" s="108">
        <v>248</v>
      </c>
      <c r="AC37" s="108">
        <v>306</v>
      </c>
      <c r="AD37" s="98">
        <v>0.52</v>
      </c>
      <c r="AE37" s="98">
        <v>0.59</v>
      </c>
      <c r="AF37" s="98">
        <v>0.5</v>
      </c>
      <c r="AG37" s="98">
        <v>0.47</v>
      </c>
      <c r="AH37" s="98">
        <v>0.5</v>
      </c>
      <c r="AI37" s="98">
        <v>0.55000000000000004</v>
      </c>
      <c r="AJ37" s="98">
        <v>0.56000000000000005</v>
      </c>
      <c r="AK37" s="98">
        <v>0.56000000000000005</v>
      </c>
      <c r="AL37" s="108">
        <v>74160000</v>
      </c>
      <c r="AM37" s="108">
        <v>64800000</v>
      </c>
      <c r="AN37" s="108">
        <v>63180000</v>
      </c>
      <c r="AO37" s="108">
        <v>27180000</v>
      </c>
      <c r="AP37" s="108">
        <v>48960000</v>
      </c>
      <c r="AQ37" s="108">
        <v>28620000</v>
      </c>
      <c r="AR37" s="108">
        <v>44640000</v>
      </c>
      <c r="AS37" s="108">
        <v>55080000</v>
      </c>
    </row>
    <row r="38" spans="1:45">
      <c r="A38" s="92" t="s">
        <v>643</v>
      </c>
      <c r="B38" s="95" t="s">
        <v>76</v>
      </c>
      <c r="C38" s="92" t="s">
        <v>77</v>
      </c>
      <c r="D38" s="96" t="s">
        <v>338</v>
      </c>
      <c r="E38" s="97">
        <v>28500</v>
      </c>
      <c r="F38" s="107" t="s">
        <v>625</v>
      </c>
      <c r="G38" s="107" t="s">
        <v>625</v>
      </c>
      <c r="H38" s="107" t="s">
        <v>625</v>
      </c>
      <c r="I38" s="107" t="s">
        <v>625</v>
      </c>
      <c r="J38" s="107" t="s">
        <v>625</v>
      </c>
      <c r="K38" s="107" t="s">
        <v>625</v>
      </c>
      <c r="L38" s="107" t="s">
        <v>625</v>
      </c>
      <c r="M38" s="107" t="s">
        <v>625</v>
      </c>
      <c r="N38" s="98">
        <v>1.64</v>
      </c>
      <c r="O38" s="98">
        <v>1.75</v>
      </c>
      <c r="P38" s="98">
        <v>1.71</v>
      </c>
      <c r="Q38" s="98">
        <v>1.19</v>
      </c>
      <c r="R38" s="98">
        <v>1.61</v>
      </c>
      <c r="S38" s="98">
        <v>1.62</v>
      </c>
      <c r="T38" s="98">
        <v>1.62</v>
      </c>
      <c r="U38" s="98">
        <v>1.6</v>
      </c>
      <c r="V38" s="108">
        <v>8317</v>
      </c>
      <c r="W38" s="108">
        <v>7122</v>
      </c>
      <c r="X38" s="108">
        <v>7359</v>
      </c>
      <c r="Y38" s="108">
        <v>2213</v>
      </c>
      <c r="Z38" s="108">
        <v>5395</v>
      </c>
      <c r="AA38" s="108">
        <v>3168</v>
      </c>
      <c r="AB38" s="108">
        <v>5028</v>
      </c>
      <c r="AC38" s="108">
        <v>6022</v>
      </c>
      <c r="AD38" s="98">
        <v>5.0599999999999996</v>
      </c>
      <c r="AE38" s="98">
        <v>5.29</v>
      </c>
      <c r="AF38" s="98">
        <v>6.74</v>
      </c>
      <c r="AG38" s="98">
        <v>5.3</v>
      </c>
      <c r="AH38" s="98">
        <v>6.73</v>
      </c>
      <c r="AI38" s="98">
        <v>6.77</v>
      </c>
      <c r="AJ38" s="98">
        <v>5.33</v>
      </c>
      <c r="AK38" s="98">
        <v>5.31</v>
      </c>
      <c r="AL38" s="108">
        <v>237034500</v>
      </c>
      <c r="AM38" s="108">
        <v>202977000</v>
      </c>
      <c r="AN38" s="108">
        <v>209731500</v>
      </c>
      <c r="AO38" s="108">
        <v>63070500</v>
      </c>
      <c r="AP38" s="108">
        <v>153757500</v>
      </c>
      <c r="AQ38" s="108">
        <v>90288000</v>
      </c>
      <c r="AR38" s="108">
        <v>143298000</v>
      </c>
      <c r="AS38" s="108">
        <v>171627000</v>
      </c>
    </row>
    <row r="39" spans="1:45">
      <c r="A39" s="92" t="s">
        <v>664</v>
      </c>
      <c r="B39" s="95" t="s">
        <v>78</v>
      </c>
      <c r="C39" s="92" t="s">
        <v>79</v>
      </c>
      <c r="D39" s="96" t="s">
        <v>338</v>
      </c>
      <c r="E39" s="97">
        <v>9260</v>
      </c>
      <c r="F39" s="107" t="s">
        <v>625</v>
      </c>
      <c r="G39" s="107" t="s">
        <v>625</v>
      </c>
      <c r="H39" s="107" t="s">
        <v>625</v>
      </c>
      <c r="I39" s="107" t="s">
        <v>625</v>
      </c>
      <c r="J39" s="107" t="s">
        <v>625</v>
      </c>
      <c r="K39" s="107" t="s">
        <v>625</v>
      </c>
      <c r="L39" s="107" t="s">
        <v>625</v>
      </c>
      <c r="M39" s="107" t="s">
        <v>625</v>
      </c>
      <c r="N39" s="98">
        <v>0.49</v>
      </c>
      <c r="O39" s="98">
        <v>0.53</v>
      </c>
      <c r="P39" s="98">
        <v>0.5</v>
      </c>
      <c r="Q39" s="98">
        <v>0.46</v>
      </c>
      <c r="R39" s="98">
        <v>0.5</v>
      </c>
      <c r="S39" s="98">
        <v>0.49</v>
      </c>
      <c r="T39" s="98">
        <v>0.48</v>
      </c>
      <c r="U39" s="98">
        <v>0.49</v>
      </c>
      <c r="V39" s="108">
        <v>7750</v>
      </c>
      <c r="W39" s="108">
        <v>6740</v>
      </c>
      <c r="X39" s="108">
        <v>6620</v>
      </c>
      <c r="Y39" s="108">
        <v>2680</v>
      </c>
      <c r="Z39" s="108">
        <v>5170</v>
      </c>
      <c r="AA39" s="108">
        <v>2950</v>
      </c>
      <c r="AB39" s="108">
        <v>4630</v>
      </c>
      <c r="AC39" s="108">
        <v>5780</v>
      </c>
      <c r="AD39" s="98">
        <v>-2.0099999999999998</v>
      </c>
      <c r="AE39" s="98">
        <v>-2.0099999999999998</v>
      </c>
      <c r="AF39" s="98">
        <v>-2.02</v>
      </c>
      <c r="AG39" s="98">
        <v>-1.99</v>
      </c>
      <c r="AH39" s="98">
        <v>-2.0099999999999998</v>
      </c>
      <c r="AI39" s="98">
        <v>-2.0099999999999998</v>
      </c>
      <c r="AJ39" s="98">
        <v>-2.0099999999999998</v>
      </c>
      <c r="AK39" s="98">
        <v>-2.02</v>
      </c>
      <c r="AL39" s="108">
        <v>71765000</v>
      </c>
      <c r="AM39" s="108">
        <v>62412400</v>
      </c>
      <c r="AN39" s="108">
        <v>61301200</v>
      </c>
      <c r="AO39" s="108">
        <v>24816800</v>
      </c>
      <c r="AP39" s="108">
        <v>47874200</v>
      </c>
      <c r="AQ39" s="108">
        <v>27317000</v>
      </c>
      <c r="AR39" s="108">
        <v>42873800</v>
      </c>
      <c r="AS39" s="108">
        <v>53522800</v>
      </c>
    </row>
    <row r="40" spans="1:45">
      <c r="A40" s="92" t="s">
        <v>692</v>
      </c>
      <c r="B40" s="95" t="s">
        <v>498</v>
      </c>
      <c r="C40" s="92" t="s">
        <v>497</v>
      </c>
      <c r="D40" s="96" t="s">
        <v>338</v>
      </c>
      <c r="E40" s="97">
        <v>19850</v>
      </c>
      <c r="F40" s="107" t="s">
        <v>625</v>
      </c>
      <c r="G40" s="107" t="s">
        <v>625</v>
      </c>
      <c r="H40" s="107" t="s">
        <v>625</v>
      </c>
      <c r="I40" s="107" t="s">
        <v>625</v>
      </c>
      <c r="J40" s="107" t="s">
        <v>625</v>
      </c>
      <c r="K40" s="107" t="s">
        <v>625</v>
      </c>
      <c r="L40" s="107" t="s">
        <v>625</v>
      </c>
      <c r="M40" s="107" t="s">
        <v>625</v>
      </c>
      <c r="N40" s="98">
        <v>0</v>
      </c>
      <c r="O40" s="98">
        <v>0</v>
      </c>
      <c r="P40" s="98">
        <v>0</v>
      </c>
      <c r="Q40" s="98">
        <v>0</v>
      </c>
      <c r="R40" s="98">
        <v>0</v>
      </c>
      <c r="S40" s="98">
        <v>0</v>
      </c>
      <c r="T40" s="98">
        <v>0</v>
      </c>
      <c r="U40" s="98">
        <v>0</v>
      </c>
      <c r="V40" s="108">
        <v>0</v>
      </c>
      <c r="W40" s="108">
        <v>0</v>
      </c>
      <c r="X40" s="108">
        <v>0</v>
      </c>
      <c r="Y40" s="108">
        <v>0</v>
      </c>
      <c r="Z40" s="108">
        <v>0</v>
      </c>
      <c r="AA40" s="108">
        <v>0</v>
      </c>
      <c r="AB40" s="108">
        <v>0</v>
      </c>
      <c r="AC40" s="108">
        <v>0</v>
      </c>
      <c r="AD40" s="98">
        <v>-5.71</v>
      </c>
      <c r="AE40" s="98">
        <v>-5.48</v>
      </c>
      <c r="AF40" s="98">
        <v>-6.42</v>
      </c>
      <c r="AG40" s="98">
        <v>-5.94</v>
      </c>
      <c r="AH40" s="98">
        <v>-6.19</v>
      </c>
      <c r="AI40" s="98">
        <v>-6.2</v>
      </c>
      <c r="AJ40" s="98">
        <v>-6.65</v>
      </c>
      <c r="AK40" s="98">
        <v>-6.39</v>
      </c>
      <c r="AL40" s="108">
        <v>0</v>
      </c>
      <c r="AM40" s="108">
        <v>0</v>
      </c>
      <c r="AN40" s="108">
        <v>0</v>
      </c>
      <c r="AO40" s="108">
        <v>0</v>
      </c>
      <c r="AP40" s="108">
        <v>0</v>
      </c>
      <c r="AQ40" s="108">
        <v>0</v>
      </c>
      <c r="AR40" s="108">
        <v>0</v>
      </c>
      <c r="AS40" s="108">
        <v>0</v>
      </c>
    </row>
    <row r="41" spans="1:45">
      <c r="A41" s="92" t="s">
        <v>634</v>
      </c>
      <c r="B41" s="95" t="s">
        <v>494</v>
      </c>
      <c r="C41" s="92" t="s">
        <v>493</v>
      </c>
      <c r="D41" s="96" t="s">
        <v>338</v>
      </c>
      <c r="E41" s="97">
        <v>143500</v>
      </c>
      <c r="F41" s="107" t="s">
        <v>625</v>
      </c>
      <c r="G41" s="107" t="s">
        <v>625</v>
      </c>
      <c r="H41" s="107" t="s">
        <v>625</v>
      </c>
      <c r="I41" s="107" t="s">
        <v>625</v>
      </c>
      <c r="J41" s="107" t="s">
        <v>625</v>
      </c>
      <c r="K41" s="107" t="s">
        <v>625</v>
      </c>
      <c r="L41" s="107" t="s">
        <v>625</v>
      </c>
      <c r="M41" s="107" t="s">
        <v>625</v>
      </c>
      <c r="N41" s="98">
        <v>2.46</v>
      </c>
      <c r="O41" s="98">
        <v>2.65</v>
      </c>
      <c r="P41" s="98">
        <v>2.42</v>
      </c>
      <c r="Q41" s="98">
        <v>2.2400000000000002</v>
      </c>
      <c r="R41" s="98">
        <v>2.4900000000000002</v>
      </c>
      <c r="S41" s="98">
        <v>2.42</v>
      </c>
      <c r="T41" s="98">
        <v>2.4</v>
      </c>
      <c r="U41" s="98">
        <v>2.4</v>
      </c>
      <c r="V41" s="108">
        <v>2483</v>
      </c>
      <c r="W41" s="108">
        <v>2138</v>
      </c>
      <c r="X41" s="108">
        <v>2070</v>
      </c>
      <c r="Y41" s="108">
        <v>828</v>
      </c>
      <c r="Z41" s="108">
        <v>1652</v>
      </c>
      <c r="AA41" s="108">
        <v>940</v>
      </c>
      <c r="AB41" s="108">
        <v>1476</v>
      </c>
      <c r="AC41" s="108">
        <v>1800</v>
      </c>
      <c r="AD41" s="98">
        <v>-3.11</v>
      </c>
      <c r="AE41" s="98">
        <v>-3.01</v>
      </c>
      <c r="AF41" s="98">
        <v>-3.16</v>
      </c>
      <c r="AG41" s="98">
        <v>-0.83</v>
      </c>
      <c r="AH41" s="98">
        <v>-3.14</v>
      </c>
      <c r="AI41" s="98">
        <v>-3.07</v>
      </c>
      <c r="AJ41" s="98">
        <v>-1.8</v>
      </c>
      <c r="AK41" s="98">
        <v>-3.08</v>
      </c>
      <c r="AL41" s="108">
        <v>356310500</v>
      </c>
      <c r="AM41" s="108">
        <v>306803000</v>
      </c>
      <c r="AN41" s="108">
        <v>297045000</v>
      </c>
      <c r="AO41" s="108">
        <v>118818000</v>
      </c>
      <c r="AP41" s="108">
        <v>237062000</v>
      </c>
      <c r="AQ41" s="108">
        <v>134890000</v>
      </c>
      <c r="AR41" s="108">
        <v>211806000</v>
      </c>
      <c r="AS41" s="108">
        <v>258300000</v>
      </c>
    </row>
    <row r="42" spans="1:45">
      <c r="A42" s="92" t="s">
        <v>631</v>
      </c>
      <c r="B42" s="95" t="s">
        <v>265</v>
      </c>
      <c r="C42" s="92" t="s">
        <v>266</v>
      </c>
      <c r="D42" s="96" t="s">
        <v>338</v>
      </c>
      <c r="E42" s="97">
        <v>4165</v>
      </c>
      <c r="F42" s="107" t="s">
        <v>625</v>
      </c>
      <c r="G42" s="107" t="s">
        <v>625</v>
      </c>
      <c r="H42" s="107" t="s">
        <v>625</v>
      </c>
      <c r="I42" s="107" t="s">
        <v>625</v>
      </c>
      <c r="J42" s="107" t="s">
        <v>625</v>
      </c>
      <c r="K42" s="107" t="s">
        <v>625</v>
      </c>
      <c r="L42" s="107" t="s">
        <v>625</v>
      </c>
      <c r="M42" s="107" t="s">
        <v>625</v>
      </c>
      <c r="N42" s="98">
        <v>2.59</v>
      </c>
      <c r="O42" s="98">
        <v>2.81</v>
      </c>
      <c r="P42" s="98">
        <v>2.54</v>
      </c>
      <c r="Q42" s="98">
        <v>2.21</v>
      </c>
      <c r="R42" s="98">
        <v>2.61</v>
      </c>
      <c r="S42" s="98">
        <v>2.5299999999999998</v>
      </c>
      <c r="T42" s="98">
        <v>2.52</v>
      </c>
      <c r="U42" s="98">
        <v>2.54</v>
      </c>
      <c r="V42" s="108">
        <v>90058</v>
      </c>
      <c r="W42" s="108">
        <v>78125</v>
      </c>
      <c r="X42" s="108">
        <v>74908</v>
      </c>
      <c r="Y42" s="108">
        <v>28174</v>
      </c>
      <c r="Z42" s="108">
        <v>59587</v>
      </c>
      <c r="AA42" s="108">
        <v>33860</v>
      </c>
      <c r="AB42" s="108">
        <v>53581</v>
      </c>
      <c r="AC42" s="108">
        <v>65376</v>
      </c>
      <c r="AD42" s="98">
        <v>5.8</v>
      </c>
      <c r="AE42" s="98">
        <v>4.6399999999999997</v>
      </c>
      <c r="AF42" s="98">
        <v>7.48</v>
      </c>
      <c r="AG42" s="98">
        <v>-2.79</v>
      </c>
      <c r="AH42" s="98">
        <v>5.43</v>
      </c>
      <c r="AI42" s="98">
        <v>5.79</v>
      </c>
      <c r="AJ42" s="98">
        <v>5.64</v>
      </c>
      <c r="AK42" s="98">
        <v>5.46</v>
      </c>
      <c r="AL42" s="108">
        <v>375091570</v>
      </c>
      <c r="AM42" s="108">
        <v>325390625</v>
      </c>
      <c r="AN42" s="108">
        <v>311991820</v>
      </c>
      <c r="AO42" s="108">
        <v>117344710</v>
      </c>
      <c r="AP42" s="108">
        <v>248179855</v>
      </c>
      <c r="AQ42" s="108">
        <v>141026900</v>
      </c>
      <c r="AR42" s="108">
        <v>223164865</v>
      </c>
      <c r="AS42" s="108">
        <v>272291040</v>
      </c>
    </row>
    <row r="43" spans="1:45">
      <c r="A43" s="92" t="s">
        <v>648</v>
      </c>
      <c r="B43" s="95" t="s">
        <v>88</v>
      </c>
      <c r="C43" s="92" t="s">
        <v>89</v>
      </c>
      <c r="D43" s="96" t="s">
        <v>338</v>
      </c>
      <c r="E43" s="97">
        <v>32500</v>
      </c>
      <c r="F43" s="107" t="s">
        <v>625</v>
      </c>
      <c r="G43" s="107" t="s">
        <v>625</v>
      </c>
      <c r="H43" s="107" t="s">
        <v>625</v>
      </c>
      <c r="I43" s="107" t="s">
        <v>625</v>
      </c>
      <c r="J43" s="107" t="s">
        <v>625</v>
      </c>
      <c r="K43" s="107" t="s">
        <v>625</v>
      </c>
      <c r="L43" s="107" t="s">
        <v>625</v>
      </c>
      <c r="M43" s="107" t="s">
        <v>625</v>
      </c>
      <c r="N43" s="98">
        <v>1.28</v>
      </c>
      <c r="O43" s="98">
        <v>1.41</v>
      </c>
      <c r="P43" s="98">
        <v>1.28</v>
      </c>
      <c r="Q43" s="98">
        <v>1.26</v>
      </c>
      <c r="R43" s="98">
        <v>1.29</v>
      </c>
      <c r="S43" s="98">
        <v>1.29</v>
      </c>
      <c r="T43" s="98">
        <v>1.27</v>
      </c>
      <c r="U43" s="98">
        <v>1.29</v>
      </c>
      <c r="V43" s="108">
        <v>5723</v>
      </c>
      <c r="W43" s="108">
        <v>5024</v>
      </c>
      <c r="X43" s="108">
        <v>4844</v>
      </c>
      <c r="Y43" s="108">
        <v>2060</v>
      </c>
      <c r="Z43" s="108">
        <v>3800</v>
      </c>
      <c r="AA43" s="108">
        <v>2212</v>
      </c>
      <c r="AB43" s="108">
        <v>3469</v>
      </c>
      <c r="AC43" s="108">
        <v>4259</v>
      </c>
      <c r="AD43" s="98">
        <v>9.07</v>
      </c>
      <c r="AE43" s="98">
        <v>7.73</v>
      </c>
      <c r="AF43" s="98">
        <v>6.3</v>
      </c>
      <c r="AG43" s="98">
        <v>7.81</v>
      </c>
      <c r="AH43" s="98">
        <v>8.27</v>
      </c>
      <c r="AI43" s="98">
        <v>8.0500000000000007</v>
      </c>
      <c r="AJ43" s="98">
        <v>11.19</v>
      </c>
      <c r="AK43" s="98">
        <v>9.58</v>
      </c>
      <c r="AL43" s="108">
        <v>185997500</v>
      </c>
      <c r="AM43" s="108">
        <v>163280000</v>
      </c>
      <c r="AN43" s="108">
        <v>157430000</v>
      </c>
      <c r="AO43" s="108">
        <v>66950000</v>
      </c>
      <c r="AP43" s="108">
        <v>123500000</v>
      </c>
      <c r="AQ43" s="108">
        <v>71890000</v>
      </c>
      <c r="AR43" s="108">
        <v>112742500</v>
      </c>
      <c r="AS43" s="108">
        <v>138417500</v>
      </c>
    </row>
    <row r="44" spans="1:45">
      <c r="A44" s="92" t="s">
        <v>628</v>
      </c>
      <c r="B44" s="95" t="s">
        <v>252</v>
      </c>
      <c r="C44" s="92" t="s">
        <v>253</v>
      </c>
      <c r="D44" s="96" t="s">
        <v>338</v>
      </c>
      <c r="E44" s="97">
        <v>37350</v>
      </c>
      <c r="F44" s="107" t="s">
        <v>625</v>
      </c>
      <c r="G44" s="107" t="s">
        <v>625</v>
      </c>
      <c r="H44" s="107" t="s">
        <v>625</v>
      </c>
      <c r="I44" s="107" t="s">
        <v>625</v>
      </c>
      <c r="J44" s="107" t="s">
        <v>625</v>
      </c>
      <c r="K44" s="107" t="s">
        <v>625</v>
      </c>
      <c r="L44" s="107" t="s">
        <v>625</v>
      </c>
      <c r="M44" s="107" t="s">
        <v>625</v>
      </c>
      <c r="N44" s="98">
        <v>3.71</v>
      </c>
      <c r="O44" s="98">
        <v>3.95</v>
      </c>
      <c r="P44" s="98">
        <v>3.6</v>
      </c>
      <c r="Q44" s="98">
        <v>3.02</v>
      </c>
      <c r="R44" s="98">
        <v>3.71</v>
      </c>
      <c r="S44" s="98">
        <v>3.63</v>
      </c>
      <c r="T44" s="98">
        <v>3.55</v>
      </c>
      <c r="U44" s="98">
        <v>3.59</v>
      </c>
      <c r="V44" s="108">
        <v>14363</v>
      </c>
      <c r="W44" s="108">
        <v>12243</v>
      </c>
      <c r="X44" s="108">
        <v>11822</v>
      </c>
      <c r="Y44" s="108">
        <v>4293</v>
      </c>
      <c r="Z44" s="108">
        <v>9467</v>
      </c>
      <c r="AA44" s="108">
        <v>5405</v>
      </c>
      <c r="AB44" s="108">
        <v>8395</v>
      </c>
      <c r="AC44" s="108">
        <v>10317</v>
      </c>
      <c r="AD44" s="98">
        <v>8.93</v>
      </c>
      <c r="AE44" s="98">
        <v>8.89</v>
      </c>
      <c r="AF44" s="98">
        <v>7.56</v>
      </c>
      <c r="AG44" s="98">
        <v>6.99</v>
      </c>
      <c r="AH44" s="98">
        <v>7.91</v>
      </c>
      <c r="AI44" s="98">
        <v>7.95</v>
      </c>
      <c r="AJ44" s="98">
        <v>9.11</v>
      </c>
      <c r="AK44" s="98">
        <v>9.0500000000000007</v>
      </c>
      <c r="AL44" s="108">
        <v>536458050</v>
      </c>
      <c r="AM44" s="108">
        <v>457276050</v>
      </c>
      <c r="AN44" s="108">
        <v>441551700</v>
      </c>
      <c r="AO44" s="108">
        <v>160343550</v>
      </c>
      <c r="AP44" s="108">
        <v>353592450</v>
      </c>
      <c r="AQ44" s="108">
        <v>201876750</v>
      </c>
      <c r="AR44" s="108">
        <v>313553250</v>
      </c>
      <c r="AS44" s="108">
        <v>385339950</v>
      </c>
    </row>
    <row r="45" spans="1:45">
      <c r="A45" s="92" t="s">
        <v>646</v>
      </c>
      <c r="B45" s="95" t="s">
        <v>488</v>
      </c>
      <c r="C45" s="92" t="s">
        <v>487</v>
      </c>
      <c r="D45" s="96" t="s">
        <v>338</v>
      </c>
      <c r="E45" s="97">
        <v>27000</v>
      </c>
      <c r="F45" s="107" t="s">
        <v>625</v>
      </c>
      <c r="G45" s="107" t="s">
        <v>625</v>
      </c>
      <c r="H45" s="107" t="s">
        <v>625</v>
      </c>
      <c r="I45" s="107" t="s">
        <v>625</v>
      </c>
      <c r="J45" s="107" t="s">
        <v>625</v>
      </c>
      <c r="K45" s="107" t="s">
        <v>625</v>
      </c>
      <c r="L45" s="107" t="s">
        <v>625</v>
      </c>
      <c r="M45" s="107" t="s">
        <v>625</v>
      </c>
      <c r="N45" s="98">
        <v>1.37</v>
      </c>
      <c r="O45" s="98">
        <v>1.49</v>
      </c>
      <c r="P45" s="98">
        <v>1.35</v>
      </c>
      <c r="Q45" s="98">
        <v>1.23</v>
      </c>
      <c r="R45" s="98">
        <v>1.39</v>
      </c>
      <c r="S45" s="98">
        <v>1.36</v>
      </c>
      <c r="T45" s="98">
        <v>1.34</v>
      </c>
      <c r="U45" s="98">
        <v>1.35</v>
      </c>
      <c r="V45" s="108">
        <v>7351</v>
      </c>
      <c r="W45" s="108">
        <v>6405</v>
      </c>
      <c r="X45" s="108">
        <v>6149</v>
      </c>
      <c r="Y45" s="108">
        <v>2413</v>
      </c>
      <c r="Z45" s="108">
        <v>4916</v>
      </c>
      <c r="AA45" s="108">
        <v>2799</v>
      </c>
      <c r="AB45" s="108">
        <v>4387</v>
      </c>
      <c r="AC45" s="108">
        <v>5378</v>
      </c>
      <c r="AD45" s="98">
        <v>1.04</v>
      </c>
      <c r="AE45" s="98">
        <v>1.28</v>
      </c>
      <c r="AF45" s="98">
        <v>0.53</v>
      </c>
      <c r="AG45" s="98">
        <v>4.13</v>
      </c>
      <c r="AH45" s="98">
        <v>0.41</v>
      </c>
      <c r="AI45" s="98">
        <v>0.6</v>
      </c>
      <c r="AJ45" s="98">
        <v>1.01</v>
      </c>
      <c r="AK45" s="98">
        <v>1.1100000000000001</v>
      </c>
      <c r="AL45" s="108">
        <v>198477000</v>
      </c>
      <c r="AM45" s="108">
        <v>172935000</v>
      </c>
      <c r="AN45" s="108">
        <v>166023000</v>
      </c>
      <c r="AO45" s="108">
        <v>65151000</v>
      </c>
      <c r="AP45" s="108">
        <v>132732000</v>
      </c>
      <c r="AQ45" s="108">
        <v>75573000</v>
      </c>
      <c r="AR45" s="108">
        <v>118449000</v>
      </c>
      <c r="AS45" s="108">
        <v>145206000</v>
      </c>
    </row>
    <row r="46" spans="1:45">
      <c r="A46" s="92" t="s">
        <v>693</v>
      </c>
      <c r="B46" s="95" t="s">
        <v>276</v>
      </c>
      <c r="C46" s="92" t="s">
        <v>277</v>
      </c>
      <c r="D46" s="96" t="s">
        <v>338</v>
      </c>
      <c r="E46" s="97">
        <v>16000</v>
      </c>
      <c r="F46" s="107" t="s">
        <v>625</v>
      </c>
      <c r="G46" s="107"/>
      <c r="H46" s="107" t="s">
        <v>625</v>
      </c>
      <c r="I46" s="107" t="s">
        <v>625</v>
      </c>
      <c r="J46" s="107" t="s">
        <v>625</v>
      </c>
      <c r="K46" s="107" t="s">
        <v>625</v>
      </c>
      <c r="L46" s="107"/>
      <c r="M46" s="107" t="s">
        <v>625</v>
      </c>
      <c r="N46" s="98">
        <v>0</v>
      </c>
      <c r="O46" s="98"/>
      <c r="P46" s="98">
        <v>0</v>
      </c>
      <c r="Q46" s="98">
        <v>0</v>
      </c>
      <c r="R46" s="98">
        <v>0</v>
      </c>
      <c r="S46" s="98">
        <v>0</v>
      </c>
      <c r="T46" s="98"/>
      <c r="U46" s="98">
        <v>0</v>
      </c>
      <c r="V46" s="108">
        <v>0</v>
      </c>
      <c r="W46" s="108"/>
      <c r="X46" s="108">
        <v>0</v>
      </c>
      <c r="Y46" s="108">
        <v>0</v>
      </c>
      <c r="Z46" s="108">
        <v>0</v>
      </c>
      <c r="AA46" s="108">
        <v>0</v>
      </c>
      <c r="AB46" s="108"/>
      <c r="AC46" s="108">
        <v>0</v>
      </c>
      <c r="AD46" s="98">
        <v>-6.36</v>
      </c>
      <c r="AE46" s="98"/>
      <c r="AF46" s="98">
        <v>-6.39</v>
      </c>
      <c r="AG46" s="98">
        <v>-7.4</v>
      </c>
      <c r="AH46" s="98">
        <v>-7.57</v>
      </c>
      <c r="AI46" s="98">
        <v>-7.57</v>
      </c>
      <c r="AJ46" s="98"/>
      <c r="AK46" s="98">
        <v>-6.96</v>
      </c>
      <c r="AL46" s="108">
        <v>0</v>
      </c>
      <c r="AM46" s="108"/>
      <c r="AN46" s="108">
        <v>0</v>
      </c>
      <c r="AO46" s="108">
        <v>0</v>
      </c>
      <c r="AP46" s="108">
        <v>0</v>
      </c>
      <c r="AQ46" s="108">
        <v>0</v>
      </c>
      <c r="AR46" s="108"/>
      <c r="AS46" s="108">
        <v>0</v>
      </c>
    </row>
    <row r="47" spans="1:45">
      <c r="A47" s="92" t="s">
        <v>663</v>
      </c>
      <c r="B47" s="95" t="s">
        <v>334</v>
      </c>
      <c r="C47" s="92" t="s">
        <v>335</v>
      </c>
      <c r="D47" s="96" t="s">
        <v>338</v>
      </c>
      <c r="E47" s="97">
        <v>65400</v>
      </c>
      <c r="F47" s="107" t="s">
        <v>625</v>
      </c>
      <c r="G47" s="107" t="s">
        <v>625</v>
      </c>
      <c r="H47" s="107" t="s">
        <v>625</v>
      </c>
      <c r="I47" s="107" t="s">
        <v>625</v>
      </c>
      <c r="J47" s="107" t="s">
        <v>625</v>
      </c>
      <c r="K47" s="107" t="s">
        <v>625</v>
      </c>
      <c r="L47" s="107" t="s">
        <v>625</v>
      </c>
      <c r="M47" s="107" t="s">
        <v>625</v>
      </c>
      <c r="N47" s="98">
        <v>0.5</v>
      </c>
      <c r="O47" s="98">
        <v>0.56000000000000005</v>
      </c>
      <c r="P47" s="98">
        <v>0.51</v>
      </c>
      <c r="Q47" s="98">
        <v>0.52</v>
      </c>
      <c r="R47" s="98">
        <v>0.51</v>
      </c>
      <c r="S47" s="98">
        <v>0.5</v>
      </c>
      <c r="T47" s="98">
        <v>0.5</v>
      </c>
      <c r="U47" s="98">
        <v>0.5</v>
      </c>
      <c r="V47" s="108">
        <v>1125</v>
      </c>
      <c r="W47" s="108">
        <v>992</v>
      </c>
      <c r="X47" s="108">
        <v>957</v>
      </c>
      <c r="Y47" s="108">
        <v>428</v>
      </c>
      <c r="Z47" s="108">
        <v>745</v>
      </c>
      <c r="AA47" s="108">
        <v>433</v>
      </c>
      <c r="AB47" s="108">
        <v>678</v>
      </c>
      <c r="AC47" s="108">
        <v>834</v>
      </c>
      <c r="AD47" s="98">
        <v>-1.01</v>
      </c>
      <c r="AE47" s="98">
        <v>-1.01</v>
      </c>
      <c r="AF47" s="98">
        <v>-1.01</v>
      </c>
      <c r="AG47" s="98">
        <v>-1.05</v>
      </c>
      <c r="AH47" s="98">
        <v>-1.05</v>
      </c>
      <c r="AI47" s="98">
        <v>-1.05</v>
      </c>
      <c r="AJ47" s="98">
        <v>-1.05</v>
      </c>
      <c r="AK47" s="98">
        <v>-1.08</v>
      </c>
      <c r="AL47" s="108">
        <v>73575000</v>
      </c>
      <c r="AM47" s="108">
        <v>64876800</v>
      </c>
      <c r="AN47" s="108">
        <v>62587800</v>
      </c>
      <c r="AO47" s="108">
        <v>27991200</v>
      </c>
      <c r="AP47" s="108">
        <v>48723000</v>
      </c>
      <c r="AQ47" s="108">
        <v>28318200</v>
      </c>
      <c r="AR47" s="108">
        <v>44341200</v>
      </c>
      <c r="AS47" s="108">
        <v>54543600</v>
      </c>
    </row>
    <row r="48" spans="1:45">
      <c r="A48" s="92" t="s">
        <v>652</v>
      </c>
      <c r="B48" s="95" t="s">
        <v>100</v>
      </c>
      <c r="C48" s="92" t="s">
        <v>101</v>
      </c>
      <c r="D48" s="96" t="s">
        <v>338</v>
      </c>
      <c r="E48" s="97">
        <v>420300</v>
      </c>
      <c r="F48" s="107" t="s">
        <v>625</v>
      </c>
      <c r="G48" s="107" t="s">
        <v>625</v>
      </c>
      <c r="H48" s="107" t="s">
        <v>625</v>
      </c>
      <c r="I48" s="107" t="s">
        <v>625</v>
      </c>
      <c r="J48" s="107" t="s">
        <v>625</v>
      </c>
      <c r="K48" s="107" t="s">
        <v>625</v>
      </c>
      <c r="L48" s="107" t="s">
        <v>625</v>
      </c>
      <c r="M48" s="107" t="s">
        <v>625</v>
      </c>
      <c r="N48" s="98">
        <v>1.1499999999999999</v>
      </c>
      <c r="O48" s="98">
        <v>1.24</v>
      </c>
      <c r="P48" s="98">
        <v>1.1200000000000001</v>
      </c>
      <c r="Q48" s="98">
        <v>1.1100000000000001</v>
      </c>
      <c r="R48" s="98">
        <v>1.1299999999999999</v>
      </c>
      <c r="S48" s="98">
        <v>1.1299999999999999</v>
      </c>
      <c r="T48" s="98">
        <v>1.02</v>
      </c>
      <c r="U48" s="98">
        <v>1.1299999999999999</v>
      </c>
      <c r="V48" s="108">
        <v>398</v>
      </c>
      <c r="W48" s="108">
        <v>342</v>
      </c>
      <c r="X48" s="108">
        <v>329</v>
      </c>
      <c r="Y48" s="108">
        <v>140</v>
      </c>
      <c r="Z48" s="108">
        <v>257</v>
      </c>
      <c r="AA48" s="108">
        <v>150</v>
      </c>
      <c r="AB48" s="108">
        <v>216</v>
      </c>
      <c r="AC48" s="108">
        <v>290</v>
      </c>
      <c r="AD48" s="98">
        <v>11.83</v>
      </c>
      <c r="AE48" s="98">
        <v>11.88</v>
      </c>
      <c r="AF48" s="98">
        <v>11.72</v>
      </c>
      <c r="AG48" s="98">
        <v>11.8</v>
      </c>
      <c r="AH48" s="98">
        <v>11.68</v>
      </c>
      <c r="AI48" s="98">
        <v>11.7</v>
      </c>
      <c r="AJ48" s="98">
        <v>11.74</v>
      </c>
      <c r="AK48" s="98">
        <v>11.61</v>
      </c>
      <c r="AL48" s="108">
        <v>167279400</v>
      </c>
      <c r="AM48" s="108">
        <v>143742600</v>
      </c>
      <c r="AN48" s="108">
        <v>138278700</v>
      </c>
      <c r="AO48" s="108">
        <v>58842000</v>
      </c>
      <c r="AP48" s="108">
        <v>108017100</v>
      </c>
      <c r="AQ48" s="108">
        <v>63045000</v>
      </c>
      <c r="AR48" s="108">
        <v>90784800</v>
      </c>
      <c r="AS48" s="108">
        <v>121887000</v>
      </c>
    </row>
    <row r="49" spans="1:45">
      <c r="A49" s="92" t="s">
        <v>659</v>
      </c>
      <c r="B49" s="95" t="s">
        <v>290</v>
      </c>
      <c r="C49" s="92" t="s">
        <v>291</v>
      </c>
      <c r="D49" s="96" t="s">
        <v>338</v>
      </c>
      <c r="E49" s="97">
        <v>71100</v>
      </c>
      <c r="F49" s="107" t="s">
        <v>625</v>
      </c>
      <c r="G49" s="107" t="s">
        <v>625</v>
      </c>
      <c r="H49" s="107" t="s">
        <v>625</v>
      </c>
      <c r="I49" s="107" t="s">
        <v>625</v>
      </c>
      <c r="J49" s="107" t="s">
        <v>625</v>
      </c>
      <c r="K49" s="107" t="s">
        <v>625</v>
      </c>
      <c r="L49" s="107" t="s">
        <v>625</v>
      </c>
      <c r="M49" s="107" t="s">
        <v>625</v>
      </c>
      <c r="N49" s="98">
        <v>0.55000000000000004</v>
      </c>
      <c r="O49" s="98">
        <v>0.57999999999999996</v>
      </c>
      <c r="P49" s="98">
        <v>0.53</v>
      </c>
      <c r="Q49" s="98">
        <v>0.44</v>
      </c>
      <c r="R49" s="98">
        <v>0.54</v>
      </c>
      <c r="S49" s="98">
        <v>0.55000000000000004</v>
      </c>
      <c r="T49" s="98">
        <v>0.53</v>
      </c>
      <c r="U49" s="98">
        <v>0.53</v>
      </c>
      <c r="V49" s="108">
        <v>1136</v>
      </c>
      <c r="W49" s="108">
        <v>957</v>
      </c>
      <c r="X49" s="108">
        <v>922</v>
      </c>
      <c r="Y49" s="108">
        <v>330</v>
      </c>
      <c r="Z49" s="108">
        <v>735</v>
      </c>
      <c r="AA49" s="108">
        <v>432</v>
      </c>
      <c r="AB49" s="108">
        <v>663</v>
      </c>
      <c r="AC49" s="108">
        <v>810</v>
      </c>
      <c r="AD49" s="98">
        <v>10.74</v>
      </c>
      <c r="AE49" s="98">
        <v>10.76</v>
      </c>
      <c r="AF49" s="98">
        <v>10.71</v>
      </c>
      <c r="AG49" s="98">
        <v>10.73</v>
      </c>
      <c r="AH49" s="98">
        <v>10.76</v>
      </c>
      <c r="AI49" s="98">
        <v>10.81</v>
      </c>
      <c r="AJ49" s="98">
        <v>10.77</v>
      </c>
      <c r="AK49" s="98">
        <v>10.77</v>
      </c>
      <c r="AL49" s="108">
        <v>80769600</v>
      </c>
      <c r="AM49" s="108">
        <v>68042700</v>
      </c>
      <c r="AN49" s="108">
        <v>65554200</v>
      </c>
      <c r="AO49" s="108">
        <v>23463000</v>
      </c>
      <c r="AP49" s="108">
        <v>52258500</v>
      </c>
      <c r="AQ49" s="108">
        <v>30715200</v>
      </c>
      <c r="AR49" s="108">
        <v>47139300</v>
      </c>
      <c r="AS49" s="108">
        <v>57591000</v>
      </c>
    </row>
    <row r="50" spans="1:45">
      <c r="A50" s="92" t="s">
        <v>626</v>
      </c>
      <c r="B50" s="95" t="s">
        <v>336</v>
      </c>
      <c r="C50" s="92" t="s">
        <v>337</v>
      </c>
      <c r="D50" s="96" t="s">
        <v>338</v>
      </c>
      <c r="E50" s="97">
        <v>24550</v>
      </c>
      <c r="F50" s="107" t="s">
        <v>625</v>
      </c>
      <c r="G50" s="107" t="s">
        <v>625</v>
      </c>
      <c r="H50" s="107" t="s">
        <v>625</v>
      </c>
      <c r="I50" s="107" t="s">
        <v>625</v>
      </c>
      <c r="J50" s="107" t="s">
        <v>625</v>
      </c>
      <c r="K50" s="107" t="s">
        <v>625</v>
      </c>
      <c r="L50" s="107" t="s">
        <v>625</v>
      </c>
      <c r="M50" s="107" t="s">
        <v>625</v>
      </c>
      <c r="N50" s="98">
        <v>0.77</v>
      </c>
      <c r="O50" s="98">
        <v>0.8</v>
      </c>
      <c r="P50" s="98">
        <v>0.97</v>
      </c>
      <c r="Q50" s="98">
        <v>0.97</v>
      </c>
      <c r="R50" s="98">
        <v>0.97</v>
      </c>
      <c r="S50" s="98">
        <v>0.97</v>
      </c>
      <c r="T50" s="98">
        <v>0.96</v>
      </c>
      <c r="U50" s="98">
        <v>0.97</v>
      </c>
      <c r="V50" s="108">
        <v>4579</v>
      </c>
      <c r="W50" s="108">
        <v>3774</v>
      </c>
      <c r="X50" s="108">
        <v>4885</v>
      </c>
      <c r="Y50" s="108">
        <v>2113</v>
      </c>
      <c r="Z50" s="108">
        <v>3794</v>
      </c>
      <c r="AA50" s="108">
        <v>2215</v>
      </c>
      <c r="AB50" s="108">
        <v>3466</v>
      </c>
      <c r="AC50" s="108">
        <v>4268</v>
      </c>
      <c r="AD50" s="98">
        <v>-4.18</v>
      </c>
      <c r="AE50" s="98">
        <v>-4.04</v>
      </c>
      <c r="AF50" s="98">
        <v>-4.3600000000000003</v>
      </c>
      <c r="AG50" s="98">
        <v>-4.33</v>
      </c>
      <c r="AH50" s="98">
        <v>-4.34</v>
      </c>
      <c r="AI50" s="98">
        <v>-4.3499999999999996</v>
      </c>
      <c r="AJ50" s="98">
        <v>-4.34</v>
      </c>
      <c r="AK50" s="98">
        <v>-4.33</v>
      </c>
      <c r="AL50" s="108">
        <v>112414450</v>
      </c>
      <c r="AM50" s="108">
        <v>92651700</v>
      </c>
      <c r="AN50" s="108">
        <v>119926750</v>
      </c>
      <c r="AO50" s="108">
        <v>51874150</v>
      </c>
      <c r="AP50" s="108">
        <v>93142700</v>
      </c>
      <c r="AQ50" s="108">
        <v>54378250</v>
      </c>
      <c r="AR50" s="108">
        <v>85090300</v>
      </c>
      <c r="AS50" s="108">
        <v>104779400</v>
      </c>
    </row>
    <row r="51" spans="1:45">
      <c r="A51" s="99" t="s">
        <v>341</v>
      </c>
      <c r="B51" s="100" t="s">
        <v>604</v>
      </c>
      <c r="C51" s="101" t="s">
        <v>604</v>
      </c>
      <c r="D51" s="101" t="s">
        <v>604</v>
      </c>
      <c r="E51" s="101"/>
      <c r="F51" s="101"/>
      <c r="G51" s="101"/>
      <c r="H51" s="101"/>
      <c r="I51" s="101"/>
      <c r="J51" s="101"/>
      <c r="K51" s="101"/>
      <c r="L51" s="101"/>
      <c r="M51" s="101"/>
      <c r="N51" s="102">
        <v>64.84</v>
      </c>
      <c r="O51" s="102">
        <v>68.239999999999995</v>
      </c>
      <c r="P51" s="102">
        <v>66.259999999999991</v>
      </c>
      <c r="Q51" s="102">
        <v>62.2</v>
      </c>
      <c r="R51" s="102">
        <v>67.11</v>
      </c>
      <c r="S51" s="102">
        <v>66.709999999999994</v>
      </c>
      <c r="T51" s="102">
        <v>63.350000000000009</v>
      </c>
      <c r="U51" s="102">
        <v>66.099999999999994</v>
      </c>
      <c r="V51" s="103">
        <v>326485</v>
      </c>
      <c r="W51" s="103">
        <v>273141</v>
      </c>
      <c r="X51" s="103">
        <v>322572</v>
      </c>
      <c r="Y51" s="103">
        <v>133064</v>
      </c>
      <c r="Z51" s="103">
        <v>253568</v>
      </c>
      <c r="AA51" s="103">
        <v>147031</v>
      </c>
      <c r="AB51" s="103">
        <v>196164</v>
      </c>
      <c r="AC51" s="103">
        <v>281722</v>
      </c>
      <c r="AD51" s="101"/>
      <c r="AE51" s="101"/>
      <c r="AF51" s="101"/>
      <c r="AG51" s="101"/>
      <c r="AH51" s="101"/>
      <c r="AI51" s="101"/>
      <c r="AJ51" s="101"/>
      <c r="AK51" s="101"/>
      <c r="AL51" s="103">
        <v>9399587940</v>
      </c>
      <c r="AM51" s="103">
        <v>7912979795</v>
      </c>
      <c r="AN51" s="103">
        <v>8142870125</v>
      </c>
      <c r="AO51" s="103">
        <v>3305228165</v>
      </c>
      <c r="AP51" s="103">
        <v>6399537345</v>
      </c>
      <c r="AQ51" s="103">
        <v>3715933870</v>
      </c>
      <c r="AR51" s="103">
        <v>5606689045</v>
      </c>
      <c r="AS51" s="103">
        <v>7109943780</v>
      </c>
    </row>
    <row r="52" spans="1:45">
      <c r="A52" s="92" t="s">
        <v>694</v>
      </c>
      <c r="B52" s="95" t="s">
        <v>477</v>
      </c>
      <c r="C52" s="92" t="s">
        <v>476</v>
      </c>
      <c r="D52" s="96" t="s">
        <v>339</v>
      </c>
      <c r="E52" s="97">
        <v>118000</v>
      </c>
      <c r="F52" s="107" t="s">
        <v>668</v>
      </c>
      <c r="G52" s="107" t="s">
        <v>668</v>
      </c>
      <c r="H52" s="107" t="s">
        <v>668</v>
      </c>
      <c r="I52" s="107" t="s">
        <v>668</v>
      </c>
      <c r="J52" s="107" t="s">
        <v>668</v>
      </c>
      <c r="K52" s="107" t="s">
        <v>668</v>
      </c>
      <c r="L52" s="107" t="s">
        <v>668</v>
      </c>
      <c r="M52" s="107" t="s">
        <v>668</v>
      </c>
      <c r="N52" s="98">
        <v>0.54</v>
      </c>
      <c r="O52" s="98">
        <v>0.59</v>
      </c>
      <c r="P52" s="98">
        <v>0.53</v>
      </c>
      <c r="Q52" s="98">
        <v>0.44</v>
      </c>
      <c r="R52" s="98">
        <v>0.55000000000000004</v>
      </c>
      <c r="S52" s="98">
        <v>0.55000000000000004</v>
      </c>
      <c r="T52" s="98">
        <v>0.53</v>
      </c>
      <c r="U52" s="98">
        <v>0.53</v>
      </c>
      <c r="V52" s="108">
        <v>-670</v>
      </c>
      <c r="W52" s="108">
        <v>-580</v>
      </c>
      <c r="X52" s="108">
        <v>-560</v>
      </c>
      <c r="Y52" s="108">
        <v>-200</v>
      </c>
      <c r="Z52" s="108">
        <v>-450</v>
      </c>
      <c r="AA52" s="108">
        <v>-260</v>
      </c>
      <c r="AB52" s="108">
        <v>-400</v>
      </c>
      <c r="AC52" s="108">
        <v>-490</v>
      </c>
      <c r="AD52" s="98">
        <v>-6.66</v>
      </c>
      <c r="AE52" s="98">
        <v>-6.66</v>
      </c>
      <c r="AF52" s="98">
        <v>-6.66</v>
      </c>
      <c r="AG52" s="98">
        <v>-6.67</v>
      </c>
      <c r="AH52" s="98">
        <v>-6.66</v>
      </c>
      <c r="AI52" s="98">
        <v>-6.66</v>
      </c>
      <c r="AJ52" s="98">
        <v>-6.66</v>
      </c>
      <c r="AK52" s="98">
        <v>-6.66</v>
      </c>
      <c r="AL52" s="108">
        <v>-79060000</v>
      </c>
      <c r="AM52" s="108">
        <v>-68440000</v>
      </c>
      <c r="AN52" s="108">
        <v>-66080000</v>
      </c>
      <c r="AO52" s="108">
        <v>-23600000</v>
      </c>
      <c r="AP52" s="108">
        <v>-53100000</v>
      </c>
      <c r="AQ52" s="108">
        <v>-30680000</v>
      </c>
      <c r="AR52" s="108">
        <v>-47200000</v>
      </c>
      <c r="AS52" s="108">
        <v>-57820000</v>
      </c>
    </row>
    <row r="53" spans="1:45">
      <c r="A53" s="92" t="s">
        <v>695</v>
      </c>
      <c r="B53" s="95" t="s">
        <v>475</v>
      </c>
      <c r="C53" s="92" t="s">
        <v>474</v>
      </c>
      <c r="D53" s="96" t="s">
        <v>339</v>
      </c>
      <c r="E53" s="97">
        <v>191000</v>
      </c>
      <c r="F53" s="107" t="s">
        <v>668</v>
      </c>
      <c r="G53" s="107" t="s">
        <v>668</v>
      </c>
      <c r="H53" s="107" t="s">
        <v>668</v>
      </c>
      <c r="I53" s="107" t="s">
        <v>668</v>
      </c>
      <c r="J53" s="107" t="s">
        <v>668</v>
      </c>
      <c r="K53" s="107" t="s">
        <v>668</v>
      </c>
      <c r="L53" s="107" t="s">
        <v>668</v>
      </c>
      <c r="M53" s="107" t="s">
        <v>668</v>
      </c>
      <c r="N53" s="98">
        <v>1.03</v>
      </c>
      <c r="O53" s="98">
        <v>1.1200000000000001</v>
      </c>
      <c r="P53" s="98">
        <v>1.02</v>
      </c>
      <c r="Q53" s="98">
        <v>0.86</v>
      </c>
      <c r="R53" s="98">
        <v>1.05</v>
      </c>
      <c r="S53" s="98">
        <v>1.04</v>
      </c>
      <c r="T53" s="98">
        <v>1.01</v>
      </c>
      <c r="U53" s="98">
        <v>1.02</v>
      </c>
      <c r="V53" s="108">
        <v>-786</v>
      </c>
      <c r="W53" s="108">
        <v>-682</v>
      </c>
      <c r="X53" s="108">
        <v>-659</v>
      </c>
      <c r="Y53" s="108">
        <v>-241</v>
      </c>
      <c r="Z53" s="108">
        <v>-526</v>
      </c>
      <c r="AA53" s="108">
        <v>-303</v>
      </c>
      <c r="AB53" s="108">
        <v>-469</v>
      </c>
      <c r="AC53" s="108">
        <v>-575</v>
      </c>
      <c r="AD53" s="98">
        <v>3.62</v>
      </c>
      <c r="AE53" s="98">
        <v>3.67</v>
      </c>
      <c r="AF53" s="98">
        <v>3.72</v>
      </c>
      <c r="AG53" s="98">
        <v>3.75</v>
      </c>
      <c r="AH53" s="98">
        <v>3.72</v>
      </c>
      <c r="AI53" s="98">
        <v>3.74</v>
      </c>
      <c r="AJ53" s="98">
        <v>4.76</v>
      </c>
      <c r="AK53" s="98">
        <v>3.71</v>
      </c>
      <c r="AL53" s="108">
        <v>-150126000</v>
      </c>
      <c r="AM53" s="108">
        <v>-130262000</v>
      </c>
      <c r="AN53" s="108">
        <v>-125869000</v>
      </c>
      <c r="AO53" s="108">
        <v>-46031000</v>
      </c>
      <c r="AP53" s="108">
        <v>-100466000</v>
      </c>
      <c r="AQ53" s="108">
        <v>-57873000</v>
      </c>
      <c r="AR53" s="108">
        <v>-89579000</v>
      </c>
      <c r="AS53" s="108">
        <v>-109825000</v>
      </c>
    </row>
    <row r="54" spans="1:45">
      <c r="A54" s="92" t="s">
        <v>696</v>
      </c>
      <c r="B54" s="95" t="s">
        <v>293</v>
      </c>
      <c r="C54" s="92" t="s">
        <v>294</v>
      </c>
      <c r="D54" s="96" t="s">
        <v>339</v>
      </c>
      <c r="E54" s="97">
        <v>70700</v>
      </c>
      <c r="F54" s="107" t="s">
        <v>668</v>
      </c>
      <c r="G54" s="107" t="s">
        <v>668</v>
      </c>
      <c r="H54" s="107" t="s">
        <v>668</v>
      </c>
      <c r="I54" s="107" t="s">
        <v>668</v>
      </c>
      <c r="J54" s="107" t="s">
        <v>668</v>
      </c>
      <c r="K54" s="107" t="s">
        <v>668</v>
      </c>
      <c r="L54" s="107" t="s">
        <v>668</v>
      </c>
      <c r="M54" s="107" t="s">
        <v>668</v>
      </c>
      <c r="N54" s="98">
        <v>2.0499999999999998</v>
      </c>
      <c r="O54" s="98">
        <v>2.2400000000000002</v>
      </c>
      <c r="P54" s="98">
        <v>2.06</v>
      </c>
      <c r="Q54" s="98">
        <v>1.98</v>
      </c>
      <c r="R54" s="98">
        <v>2.0299999999999998</v>
      </c>
      <c r="S54" s="98">
        <v>1.98</v>
      </c>
      <c r="T54" s="98">
        <v>2.08</v>
      </c>
      <c r="U54" s="98">
        <v>2.04</v>
      </c>
      <c r="V54" s="108">
        <v>-4200</v>
      </c>
      <c r="W54" s="108">
        <v>-3666</v>
      </c>
      <c r="X54" s="108">
        <v>-3570</v>
      </c>
      <c r="Y54" s="108">
        <v>-1488</v>
      </c>
      <c r="Z54" s="108">
        <v>-2742</v>
      </c>
      <c r="AA54" s="108">
        <v>-1562</v>
      </c>
      <c r="AB54" s="108">
        <v>-2604</v>
      </c>
      <c r="AC54" s="108">
        <v>-3105</v>
      </c>
      <c r="AD54" s="98">
        <v>-12.89</v>
      </c>
      <c r="AE54" s="98">
        <v>-12.68</v>
      </c>
      <c r="AF54" s="98">
        <v>-12.5</v>
      </c>
      <c r="AG54" s="98">
        <v>-9.52</v>
      </c>
      <c r="AH54" s="98">
        <v>-12.97</v>
      </c>
      <c r="AI54" s="98">
        <v>-12.42</v>
      </c>
      <c r="AJ54" s="98">
        <v>-11.12</v>
      </c>
      <c r="AK54" s="98">
        <v>-12.45</v>
      </c>
      <c r="AL54" s="108">
        <v>-296940000</v>
      </c>
      <c r="AM54" s="108">
        <v>-259186200</v>
      </c>
      <c r="AN54" s="108">
        <v>-252399000</v>
      </c>
      <c r="AO54" s="108">
        <v>-105201600</v>
      </c>
      <c r="AP54" s="108">
        <v>-193859400</v>
      </c>
      <c r="AQ54" s="108">
        <v>-110433400</v>
      </c>
      <c r="AR54" s="108">
        <v>-184102800</v>
      </c>
      <c r="AS54" s="108">
        <v>-219523500</v>
      </c>
    </row>
    <row r="55" spans="1:45">
      <c r="A55" s="92" t="s">
        <v>697</v>
      </c>
      <c r="B55" s="95" t="s">
        <v>8</v>
      </c>
      <c r="C55" s="92" t="s">
        <v>9</v>
      </c>
      <c r="D55" s="96" t="s">
        <v>339</v>
      </c>
      <c r="E55" s="97">
        <v>729000</v>
      </c>
      <c r="F55" s="107" t="s">
        <v>668</v>
      </c>
      <c r="G55" s="107" t="s">
        <v>668</v>
      </c>
      <c r="H55" s="107" t="s">
        <v>668</v>
      </c>
      <c r="I55" s="107" t="s">
        <v>668</v>
      </c>
      <c r="J55" s="107" t="s">
        <v>668</v>
      </c>
      <c r="K55" s="107" t="s">
        <v>668</v>
      </c>
      <c r="L55" s="107" t="s">
        <v>668</v>
      </c>
      <c r="M55" s="107" t="s">
        <v>668</v>
      </c>
      <c r="N55" s="98">
        <v>1.17</v>
      </c>
      <c r="O55" s="98">
        <v>1.29</v>
      </c>
      <c r="P55" s="98">
        <v>1.17</v>
      </c>
      <c r="Q55" s="98">
        <v>1.1599999999999999</v>
      </c>
      <c r="R55" s="98">
        <v>1.19</v>
      </c>
      <c r="S55" s="98">
        <v>1.22</v>
      </c>
      <c r="T55" s="98">
        <v>1.17</v>
      </c>
      <c r="U55" s="98">
        <v>1.1399999999999999</v>
      </c>
      <c r="V55" s="108">
        <v>-233</v>
      </c>
      <c r="W55" s="108">
        <v>-205</v>
      </c>
      <c r="X55" s="108">
        <v>-198</v>
      </c>
      <c r="Y55" s="108">
        <v>-85</v>
      </c>
      <c r="Z55" s="108">
        <v>-156</v>
      </c>
      <c r="AA55" s="108">
        <v>-93</v>
      </c>
      <c r="AB55" s="108">
        <v>-142</v>
      </c>
      <c r="AC55" s="108">
        <v>-168</v>
      </c>
      <c r="AD55" s="98">
        <v>16.21</v>
      </c>
      <c r="AE55" s="98">
        <v>16.399999999999999</v>
      </c>
      <c r="AF55" s="98">
        <v>16.440000000000001</v>
      </c>
      <c r="AG55" s="98">
        <v>16.14</v>
      </c>
      <c r="AH55" s="98">
        <v>16.3</v>
      </c>
      <c r="AI55" s="98">
        <v>16.29</v>
      </c>
      <c r="AJ55" s="98">
        <v>16.45</v>
      </c>
      <c r="AK55" s="98">
        <v>16.3</v>
      </c>
      <c r="AL55" s="108">
        <v>-169857000</v>
      </c>
      <c r="AM55" s="108">
        <v>-149445000</v>
      </c>
      <c r="AN55" s="108">
        <v>-144342000</v>
      </c>
      <c r="AO55" s="108">
        <v>-61965000</v>
      </c>
      <c r="AP55" s="108">
        <v>-113724000</v>
      </c>
      <c r="AQ55" s="108">
        <v>-67797000</v>
      </c>
      <c r="AR55" s="108">
        <v>-103518000</v>
      </c>
      <c r="AS55" s="108">
        <v>-122472000</v>
      </c>
    </row>
    <row r="56" spans="1:45">
      <c r="A56" s="92" t="s">
        <v>698</v>
      </c>
      <c r="B56" s="95" t="s">
        <v>468</v>
      </c>
      <c r="C56" s="92" t="s">
        <v>467</v>
      </c>
      <c r="D56" s="96" t="s">
        <v>339</v>
      </c>
      <c r="E56" s="97">
        <v>28300</v>
      </c>
      <c r="F56" s="107" t="s">
        <v>668</v>
      </c>
      <c r="G56" s="107" t="s">
        <v>668</v>
      </c>
      <c r="H56" s="107" t="s">
        <v>668</v>
      </c>
      <c r="I56" s="107" t="s">
        <v>668</v>
      </c>
      <c r="J56" s="107" t="s">
        <v>668</v>
      </c>
      <c r="K56" s="107" t="s">
        <v>668</v>
      </c>
      <c r="L56" s="107" t="s">
        <v>668</v>
      </c>
      <c r="M56" s="107" t="s">
        <v>668</v>
      </c>
      <c r="N56" s="98">
        <v>1.04</v>
      </c>
      <c r="O56" s="98">
        <v>1.1299999999999999</v>
      </c>
      <c r="P56" s="98">
        <v>1.02</v>
      </c>
      <c r="Q56" s="98">
        <v>0.86</v>
      </c>
      <c r="R56" s="98">
        <v>1.05</v>
      </c>
      <c r="S56" s="98">
        <v>1.03</v>
      </c>
      <c r="T56" s="98">
        <v>1.02</v>
      </c>
      <c r="U56" s="98">
        <v>1.03</v>
      </c>
      <c r="V56" s="108">
        <v>-5349</v>
      </c>
      <c r="W56" s="108">
        <v>-4659</v>
      </c>
      <c r="X56" s="108">
        <v>-4454</v>
      </c>
      <c r="Y56" s="108">
        <v>-1617</v>
      </c>
      <c r="Z56" s="108">
        <v>-3556</v>
      </c>
      <c r="AA56" s="108">
        <v>-2033</v>
      </c>
      <c r="AB56" s="108">
        <v>-3197</v>
      </c>
      <c r="AC56" s="108">
        <v>-3926</v>
      </c>
      <c r="AD56" s="98">
        <v>14.21</v>
      </c>
      <c r="AE56" s="98">
        <v>14.26</v>
      </c>
      <c r="AF56" s="98">
        <v>14.27</v>
      </c>
      <c r="AG56" s="98">
        <v>13.14</v>
      </c>
      <c r="AH56" s="98">
        <v>14.29</v>
      </c>
      <c r="AI56" s="98">
        <v>14.15</v>
      </c>
      <c r="AJ56" s="98">
        <v>12.42</v>
      </c>
      <c r="AK56" s="98">
        <v>14.37</v>
      </c>
      <c r="AL56" s="108">
        <v>-151376700</v>
      </c>
      <c r="AM56" s="108">
        <v>-131849700</v>
      </c>
      <c r="AN56" s="108">
        <v>-126048200</v>
      </c>
      <c r="AO56" s="108">
        <v>-45761100</v>
      </c>
      <c r="AP56" s="108">
        <v>-100634800</v>
      </c>
      <c r="AQ56" s="108">
        <v>-57533900</v>
      </c>
      <c r="AR56" s="108">
        <v>-90475100</v>
      </c>
      <c r="AS56" s="108">
        <v>-111105800</v>
      </c>
    </row>
    <row r="57" spans="1:45">
      <c r="A57" s="92" t="s">
        <v>699</v>
      </c>
      <c r="B57" s="95" t="s">
        <v>288</v>
      </c>
      <c r="C57" s="92" t="s">
        <v>289</v>
      </c>
      <c r="D57" s="96" t="s">
        <v>339</v>
      </c>
      <c r="E57" s="97">
        <v>196500</v>
      </c>
      <c r="F57" s="107" t="s">
        <v>668</v>
      </c>
      <c r="G57" s="107" t="s">
        <v>668</v>
      </c>
      <c r="H57" s="107" t="s">
        <v>668</v>
      </c>
      <c r="I57" s="107" t="s">
        <v>668</v>
      </c>
      <c r="J57" s="107" t="s">
        <v>668</v>
      </c>
      <c r="K57" s="107" t="s">
        <v>668</v>
      </c>
      <c r="L57" s="107" t="s">
        <v>668</v>
      </c>
      <c r="M57" s="107" t="s">
        <v>668</v>
      </c>
      <c r="N57" s="98">
        <v>1.57</v>
      </c>
      <c r="O57" s="98">
        <v>1.66</v>
      </c>
      <c r="P57" s="98">
        <v>1.63</v>
      </c>
      <c r="Q57" s="98">
        <v>1.03</v>
      </c>
      <c r="R57" s="98">
        <v>1.61</v>
      </c>
      <c r="S57" s="98">
        <v>1.55</v>
      </c>
      <c r="T57" s="98">
        <v>1.56</v>
      </c>
      <c r="U57" s="98">
        <v>1.53</v>
      </c>
      <c r="V57" s="108">
        <v>-1160</v>
      </c>
      <c r="W57" s="108">
        <v>-980</v>
      </c>
      <c r="X57" s="108">
        <v>-1020</v>
      </c>
      <c r="Y57" s="108">
        <v>-280</v>
      </c>
      <c r="Z57" s="108">
        <v>-780</v>
      </c>
      <c r="AA57" s="108">
        <v>-440</v>
      </c>
      <c r="AB57" s="108">
        <v>-702</v>
      </c>
      <c r="AC57" s="108">
        <v>-840</v>
      </c>
      <c r="AD57" s="98">
        <v>-3.46</v>
      </c>
      <c r="AE57" s="98">
        <v>-3.46</v>
      </c>
      <c r="AF57" s="98">
        <v>-3.45</v>
      </c>
      <c r="AG57" s="98">
        <v>-3.46</v>
      </c>
      <c r="AH57" s="98">
        <v>-3.43</v>
      </c>
      <c r="AI57" s="98">
        <v>-3.46</v>
      </c>
      <c r="AJ57" s="98">
        <v>-3.44</v>
      </c>
      <c r="AK57" s="98">
        <v>-3.46</v>
      </c>
      <c r="AL57" s="108">
        <v>-227940000</v>
      </c>
      <c r="AM57" s="108">
        <v>-192570000</v>
      </c>
      <c r="AN57" s="108">
        <v>-200430000</v>
      </c>
      <c r="AO57" s="108">
        <v>-55020000</v>
      </c>
      <c r="AP57" s="108">
        <v>-153270000</v>
      </c>
      <c r="AQ57" s="108">
        <v>-86460000</v>
      </c>
      <c r="AR57" s="108">
        <v>-137943000</v>
      </c>
      <c r="AS57" s="108">
        <v>-165060000</v>
      </c>
    </row>
    <row r="58" spans="1:45">
      <c r="A58" s="92" t="s">
        <v>700</v>
      </c>
      <c r="B58" s="95" t="s">
        <v>463</v>
      </c>
      <c r="C58" s="92" t="s">
        <v>462</v>
      </c>
      <c r="D58" s="96" t="s">
        <v>339</v>
      </c>
      <c r="E58" s="97">
        <v>304000</v>
      </c>
      <c r="F58" s="107" t="s">
        <v>668</v>
      </c>
      <c r="G58" s="107" t="s">
        <v>668</v>
      </c>
      <c r="H58" s="107" t="s">
        <v>668</v>
      </c>
      <c r="I58" s="107" t="s">
        <v>668</v>
      </c>
      <c r="J58" s="107" t="s">
        <v>668</v>
      </c>
      <c r="K58" s="107" t="s">
        <v>668</v>
      </c>
      <c r="L58" s="107" t="s">
        <v>668</v>
      </c>
      <c r="M58" s="107" t="s">
        <v>668</v>
      </c>
      <c r="N58" s="98">
        <v>1.47</v>
      </c>
      <c r="O58" s="98">
        <v>1.57</v>
      </c>
      <c r="P58" s="98">
        <v>1.46</v>
      </c>
      <c r="Q58" s="98">
        <v>1.43</v>
      </c>
      <c r="R58" s="98">
        <v>1.47</v>
      </c>
      <c r="S58" s="98">
        <v>1.47</v>
      </c>
      <c r="T58" s="98">
        <v>1.48</v>
      </c>
      <c r="U58" s="98">
        <v>1.47</v>
      </c>
      <c r="V58" s="108">
        <v>-700</v>
      </c>
      <c r="W58" s="108">
        <v>-600</v>
      </c>
      <c r="X58" s="108">
        <v>-590</v>
      </c>
      <c r="Y58" s="108">
        <v>-250</v>
      </c>
      <c r="Z58" s="108">
        <v>-460</v>
      </c>
      <c r="AA58" s="108">
        <v>-270</v>
      </c>
      <c r="AB58" s="108">
        <v>-430</v>
      </c>
      <c r="AC58" s="108">
        <v>-520</v>
      </c>
      <c r="AD58" s="98">
        <v>0.7</v>
      </c>
      <c r="AE58" s="98">
        <v>0.76</v>
      </c>
      <c r="AF58" s="98">
        <v>0.73</v>
      </c>
      <c r="AG58" s="98">
        <v>0.71</v>
      </c>
      <c r="AH58" s="98">
        <v>0.71</v>
      </c>
      <c r="AI58" s="98">
        <v>0.7</v>
      </c>
      <c r="AJ58" s="98">
        <v>0.71</v>
      </c>
      <c r="AK58" s="98">
        <v>0.71</v>
      </c>
      <c r="AL58" s="108">
        <v>-212800000</v>
      </c>
      <c r="AM58" s="108">
        <v>-182400000</v>
      </c>
      <c r="AN58" s="108">
        <v>-179360000</v>
      </c>
      <c r="AO58" s="108">
        <v>-76000000</v>
      </c>
      <c r="AP58" s="108">
        <v>-139840000</v>
      </c>
      <c r="AQ58" s="108">
        <v>-82080000</v>
      </c>
      <c r="AR58" s="108">
        <v>-130720000</v>
      </c>
      <c r="AS58" s="108">
        <v>-158080000</v>
      </c>
    </row>
    <row r="59" spans="1:45">
      <c r="A59" s="92" t="s">
        <v>701</v>
      </c>
      <c r="B59" s="95" t="s">
        <v>301</v>
      </c>
      <c r="C59" s="92" t="s">
        <v>302</v>
      </c>
      <c r="D59" s="96" t="s">
        <v>339</v>
      </c>
      <c r="E59" s="97">
        <v>189500</v>
      </c>
      <c r="F59" s="107" t="s">
        <v>668</v>
      </c>
      <c r="G59" s="107" t="s">
        <v>668</v>
      </c>
      <c r="H59" s="107" t="s">
        <v>668</v>
      </c>
      <c r="I59" s="107" t="s">
        <v>668</v>
      </c>
      <c r="J59" s="107" t="s">
        <v>668</v>
      </c>
      <c r="K59" s="107" t="s">
        <v>668</v>
      </c>
      <c r="L59" s="107" t="s">
        <v>668</v>
      </c>
      <c r="M59" s="107" t="s">
        <v>668</v>
      </c>
      <c r="N59" s="98">
        <v>1.07</v>
      </c>
      <c r="O59" s="98">
        <v>1.1299999999999999</v>
      </c>
      <c r="P59" s="98">
        <v>1.03</v>
      </c>
      <c r="Q59" s="98">
        <v>0.82</v>
      </c>
      <c r="R59" s="98">
        <v>1.05</v>
      </c>
      <c r="S59" s="98">
        <v>1.0900000000000001</v>
      </c>
      <c r="T59" s="98">
        <v>1.04</v>
      </c>
      <c r="U59" s="98">
        <v>1.02</v>
      </c>
      <c r="V59" s="108">
        <v>-820</v>
      </c>
      <c r="W59" s="108">
        <v>-690</v>
      </c>
      <c r="X59" s="108">
        <v>-670</v>
      </c>
      <c r="Y59" s="108">
        <v>-230</v>
      </c>
      <c r="Z59" s="108">
        <v>-530</v>
      </c>
      <c r="AA59" s="108">
        <v>-320</v>
      </c>
      <c r="AB59" s="108">
        <v>-485</v>
      </c>
      <c r="AC59" s="108">
        <v>-580</v>
      </c>
      <c r="AD59" s="98">
        <v>-0.67</v>
      </c>
      <c r="AE59" s="98">
        <v>-0.75</v>
      </c>
      <c r="AF59" s="98">
        <v>-0.62</v>
      </c>
      <c r="AG59" s="98">
        <v>-0.82</v>
      </c>
      <c r="AH59" s="98">
        <v>-0.73</v>
      </c>
      <c r="AI59" s="98">
        <v>-0.82</v>
      </c>
      <c r="AJ59" s="98">
        <v>-0.67</v>
      </c>
      <c r="AK59" s="98">
        <v>-0.67</v>
      </c>
      <c r="AL59" s="108">
        <v>-155390000</v>
      </c>
      <c r="AM59" s="108">
        <v>-130755000</v>
      </c>
      <c r="AN59" s="108">
        <v>-126965000</v>
      </c>
      <c r="AO59" s="108">
        <v>-43585000</v>
      </c>
      <c r="AP59" s="108">
        <v>-100435000</v>
      </c>
      <c r="AQ59" s="108">
        <v>-60640000</v>
      </c>
      <c r="AR59" s="108">
        <v>-91907500</v>
      </c>
      <c r="AS59" s="108">
        <v>-109910000</v>
      </c>
    </row>
    <row r="60" spans="1:45">
      <c r="A60" s="92" t="s">
        <v>702</v>
      </c>
      <c r="B60" s="95" t="s">
        <v>129</v>
      </c>
      <c r="C60" s="92" t="s">
        <v>130</v>
      </c>
      <c r="D60" s="96" t="s">
        <v>339</v>
      </c>
      <c r="E60" s="97">
        <v>65200</v>
      </c>
      <c r="F60" s="107" t="s">
        <v>668</v>
      </c>
      <c r="G60" s="107" t="s">
        <v>668</v>
      </c>
      <c r="H60" s="107" t="s">
        <v>668</v>
      </c>
      <c r="I60" s="107" t="s">
        <v>668</v>
      </c>
      <c r="J60" s="107" t="s">
        <v>668</v>
      </c>
      <c r="K60" s="107" t="s">
        <v>668</v>
      </c>
      <c r="L60" s="107" t="s">
        <v>668</v>
      </c>
      <c r="M60" s="107" t="s">
        <v>668</v>
      </c>
      <c r="N60" s="98">
        <v>1.77</v>
      </c>
      <c r="O60" s="98">
        <v>1.82</v>
      </c>
      <c r="P60" s="98">
        <v>1.65</v>
      </c>
      <c r="Q60" s="98">
        <v>1.45</v>
      </c>
      <c r="R60" s="98">
        <v>1.7</v>
      </c>
      <c r="S60" s="98">
        <v>1.72</v>
      </c>
      <c r="T60" s="98">
        <v>1.65</v>
      </c>
      <c r="U60" s="98">
        <v>1.66</v>
      </c>
      <c r="V60" s="108">
        <v>-3925</v>
      </c>
      <c r="W60" s="108">
        <v>-3235</v>
      </c>
      <c r="X60" s="108">
        <v>-3108</v>
      </c>
      <c r="Y60" s="108">
        <v>-1180</v>
      </c>
      <c r="Z60" s="108">
        <v>-2488</v>
      </c>
      <c r="AA60" s="108">
        <v>-1469</v>
      </c>
      <c r="AB60" s="108">
        <v>-2234</v>
      </c>
      <c r="AC60" s="108">
        <v>-2741</v>
      </c>
      <c r="AD60" s="98">
        <v>3.66</v>
      </c>
      <c r="AE60" s="98">
        <v>3.18</v>
      </c>
      <c r="AF60" s="98">
        <v>3.47</v>
      </c>
      <c r="AG60" s="98">
        <v>1.38</v>
      </c>
      <c r="AH60" s="98">
        <v>4.4800000000000004</v>
      </c>
      <c r="AI60" s="98">
        <v>4.3600000000000003</v>
      </c>
      <c r="AJ60" s="98">
        <v>0.96</v>
      </c>
      <c r="AK60" s="98">
        <v>3.58</v>
      </c>
      <c r="AL60" s="108">
        <v>-255910000</v>
      </c>
      <c r="AM60" s="108">
        <v>-210922000</v>
      </c>
      <c r="AN60" s="108">
        <v>-202641600</v>
      </c>
      <c r="AO60" s="108">
        <v>-76936000</v>
      </c>
      <c r="AP60" s="108">
        <v>-162217600</v>
      </c>
      <c r="AQ60" s="108">
        <v>-95778800</v>
      </c>
      <c r="AR60" s="108">
        <v>-145656800</v>
      </c>
      <c r="AS60" s="108">
        <v>-178713200</v>
      </c>
    </row>
    <row r="61" spans="1:45">
      <c r="A61" s="92" t="s">
        <v>703</v>
      </c>
      <c r="B61" s="95" t="s">
        <v>320</v>
      </c>
      <c r="C61" s="92" t="s">
        <v>321</v>
      </c>
      <c r="D61" s="96" t="s">
        <v>339</v>
      </c>
      <c r="E61" s="97">
        <v>119000</v>
      </c>
      <c r="F61" s="107" t="s">
        <v>668</v>
      </c>
      <c r="G61" s="107" t="s">
        <v>668</v>
      </c>
      <c r="H61" s="107" t="s">
        <v>668</v>
      </c>
      <c r="I61" s="107" t="s">
        <v>668</v>
      </c>
      <c r="J61" s="107" t="s">
        <v>668</v>
      </c>
      <c r="K61" s="107" t="s">
        <v>668</v>
      </c>
      <c r="L61" s="107" t="s">
        <v>668</v>
      </c>
      <c r="M61" s="107" t="s">
        <v>668</v>
      </c>
      <c r="N61" s="98">
        <v>0.95</v>
      </c>
      <c r="O61" s="98">
        <v>0.99</v>
      </c>
      <c r="P61" s="98">
        <v>0.91</v>
      </c>
      <c r="Q61" s="98">
        <v>0.94</v>
      </c>
      <c r="R61" s="98">
        <v>0.92</v>
      </c>
      <c r="S61" s="98">
        <v>0.94</v>
      </c>
      <c r="T61" s="98">
        <v>0.87</v>
      </c>
      <c r="U61" s="98">
        <v>0.9</v>
      </c>
      <c r="V61" s="108">
        <v>-1156</v>
      </c>
      <c r="W61" s="108">
        <v>-967</v>
      </c>
      <c r="X61" s="108">
        <v>-937</v>
      </c>
      <c r="Y61" s="108">
        <v>-420</v>
      </c>
      <c r="Z61" s="108">
        <v>-737</v>
      </c>
      <c r="AA61" s="108">
        <v>-440</v>
      </c>
      <c r="AB61" s="108">
        <v>-650</v>
      </c>
      <c r="AC61" s="108">
        <v>-819</v>
      </c>
      <c r="AD61" s="98">
        <v>-1.41</v>
      </c>
      <c r="AE61" s="98">
        <v>-1.46</v>
      </c>
      <c r="AF61" s="98">
        <v>-1.46</v>
      </c>
      <c r="AG61" s="98">
        <v>-1.47</v>
      </c>
      <c r="AH61" s="98">
        <v>-1.47</v>
      </c>
      <c r="AI61" s="98">
        <v>-1.41</v>
      </c>
      <c r="AJ61" s="98">
        <v>-1.46</v>
      </c>
      <c r="AK61" s="98">
        <v>-1.46</v>
      </c>
      <c r="AL61" s="108">
        <v>-137564000</v>
      </c>
      <c r="AM61" s="108">
        <v>-115073000</v>
      </c>
      <c r="AN61" s="108">
        <v>-111503000</v>
      </c>
      <c r="AO61" s="108">
        <v>-49980000</v>
      </c>
      <c r="AP61" s="108">
        <v>-87703000</v>
      </c>
      <c r="AQ61" s="108">
        <v>-52360000</v>
      </c>
      <c r="AR61" s="108">
        <v>-77350000</v>
      </c>
      <c r="AS61" s="108">
        <v>-97461000</v>
      </c>
    </row>
    <row r="62" spans="1:45">
      <c r="A62" s="92" t="s">
        <v>704</v>
      </c>
      <c r="B62" s="95" t="s">
        <v>330</v>
      </c>
      <c r="C62" s="92" t="s">
        <v>331</v>
      </c>
      <c r="D62" s="96" t="s">
        <v>339</v>
      </c>
      <c r="E62" s="97">
        <v>209000</v>
      </c>
      <c r="F62" s="107" t="s">
        <v>668</v>
      </c>
      <c r="G62" s="107" t="s">
        <v>668</v>
      </c>
      <c r="H62" s="107" t="s">
        <v>668</v>
      </c>
      <c r="I62" s="107" t="s">
        <v>668</v>
      </c>
      <c r="J62" s="107" t="s">
        <v>668</v>
      </c>
      <c r="K62" s="107" t="s">
        <v>668</v>
      </c>
      <c r="L62" s="107" t="s">
        <v>668</v>
      </c>
      <c r="M62" s="107" t="s">
        <v>668</v>
      </c>
      <c r="N62" s="98">
        <v>1.4</v>
      </c>
      <c r="O62" s="98">
        <v>1.55</v>
      </c>
      <c r="P62" s="98">
        <v>1.41</v>
      </c>
      <c r="Q62" s="98">
        <v>1.42</v>
      </c>
      <c r="R62" s="98">
        <v>1.4</v>
      </c>
      <c r="S62" s="98">
        <v>1.35</v>
      </c>
      <c r="T62" s="98">
        <v>1.39</v>
      </c>
      <c r="U62" s="98">
        <v>1.4</v>
      </c>
      <c r="V62" s="108">
        <v>-970</v>
      </c>
      <c r="W62" s="108">
        <v>-860</v>
      </c>
      <c r="X62" s="108">
        <v>-830</v>
      </c>
      <c r="Y62" s="108">
        <v>-360</v>
      </c>
      <c r="Z62" s="108">
        <v>-640</v>
      </c>
      <c r="AA62" s="108">
        <v>-360</v>
      </c>
      <c r="AB62" s="108">
        <v>-590</v>
      </c>
      <c r="AC62" s="108">
        <v>-720</v>
      </c>
      <c r="AD62" s="98">
        <v>3.19</v>
      </c>
      <c r="AE62" s="98">
        <v>3.14</v>
      </c>
      <c r="AF62" s="98">
        <v>3.15</v>
      </c>
      <c r="AG62" s="98">
        <v>3.17</v>
      </c>
      <c r="AH62" s="98">
        <v>3.13</v>
      </c>
      <c r="AI62" s="98">
        <v>3.13</v>
      </c>
      <c r="AJ62" s="98">
        <v>3.18</v>
      </c>
      <c r="AK62" s="98">
        <v>3.17</v>
      </c>
      <c r="AL62" s="108">
        <v>-202730000</v>
      </c>
      <c r="AM62" s="108">
        <v>-179740000</v>
      </c>
      <c r="AN62" s="108">
        <v>-173470000</v>
      </c>
      <c r="AO62" s="108">
        <v>-75240000</v>
      </c>
      <c r="AP62" s="108">
        <v>-133760000</v>
      </c>
      <c r="AQ62" s="108">
        <v>-75240000</v>
      </c>
      <c r="AR62" s="108">
        <v>-123310000</v>
      </c>
      <c r="AS62" s="108">
        <v>-150480000</v>
      </c>
    </row>
    <row r="63" spans="1:45">
      <c r="A63" s="92" t="s">
        <v>705</v>
      </c>
      <c r="B63" s="95" t="s">
        <v>455</v>
      </c>
      <c r="C63" s="92" t="s">
        <v>454</v>
      </c>
      <c r="D63" s="96" t="s">
        <v>339</v>
      </c>
      <c r="E63" s="97">
        <v>48750</v>
      </c>
      <c r="F63" s="107" t="s">
        <v>668</v>
      </c>
      <c r="G63" s="107" t="s">
        <v>668</v>
      </c>
      <c r="H63" s="107" t="s">
        <v>668</v>
      </c>
      <c r="I63" s="107" t="s">
        <v>668</v>
      </c>
      <c r="J63" s="107" t="s">
        <v>668</v>
      </c>
      <c r="K63" s="107" t="s">
        <v>668</v>
      </c>
      <c r="L63" s="107" t="s">
        <v>668</v>
      </c>
      <c r="M63" s="107" t="s">
        <v>668</v>
      </c>
      <c r="N63" s="98">
        <v>0.91</v>
      </c>
      <c r="O63" s="98">
        <v>0.96</v>
      </c>
      <c r="P63" s="98">
        <v>0.94</v>
      </c>
      <c r="Q63" s="98">
        <v>0.59</v>
      </c>
      <c r="R63" s="98">
        <v>0.93</v>
      </c>
      <c r="S63" s="98">
        <v>0.91</v>
      </c>
      <c r="T63" s="98">
        <v>0.9</v>
      </c>
      <c r="U63" s="98">
        <v>0.9</v>
      </c>
      <c r="V63" s="108">
        <v>-2700</v>
      </c>
      <c r="W63" s="108">
        <v>-2280</v>
      </c>
      <c r="X63" s="108">
        <v>-2380</v>
      </c>
      <c r="Y63" s="108">
        <v>-650</v>
      </c>
      <c r="Z63" s="108">
        <v>-1830</v>
      </c>
      <c r="AA63" s="108">
        <v>-1040</v>
      </c>
      <c r="AB63" s="108">
        <v>-1644</v>
      </c>
      <c r="AC63" s="108">
        <v>-1980</v>
      </c>
      <c r="AD63" s="98">
        <v>14.93</v>
      </c>
      <c r="AE63" s="98">
        <v>14.93</v>
      </c>
      <c r="AF63" s="98">
        <v>15.09</v>
      </c>
      <c r="AG63" s="98">
        <v>14.82</v>
      </c>
      <c r="AH63" s="98">
        <v>15.01</v>
      </c>
      <c r="AI63" s="98">
        <v>14.95</v>
      </c>
      <c r="AJ63" s="98">
        <v>13.57</v>
      </c>
      <c r="AK63" s="98">
        <v>15.03</v>
      </c>
      <c r="AL63" s="108">
        <v>-131625000</v>
      </c>
      <c r="AM63" s="108">
        <v>-111150000</v>
      </c>
      <c r="AN63" s="108">
        <v>-116025000</v>
      </c>
      <c r="AO63" s="108">
        <v>-31687500</v>
      </c>
      <c r="AP63" s="108">
        <v>-89212500</v>
      </c>
      <c r="AQ63" s="108">
        <v>-50700000</v>
      </c>
      <c r="AR63" s="108">
        <v>-80145000</v>
      </c>
      <c r="AS63" s="108">
        <v>-96525000</v>
      </c>
    </row>
    <row r="64" spans="1:45">
      <c r="A64" s="92" t="s">
        <v>706</v>
      </c>
      <c r="B64" s="95" t="s">
        <v>238</v>
      </c>
      <c r="C64" s="92" t="s">
        <v>239</v>
      </c>
      <c r="D64" s="96" t="s">
        <v>339</v>
      </c>
      <c r="E64" s="97">
        <v>151000</v>
      </c>
      <c r="F64" s="107" t="s">
        <v>668</v>
      </c>
      <c r="G64" s="107" t="s">
        <v>668</v>
      </c>
      <c r="H64" s="107" t="s">
        <v>668</v>
      </c>
      <c r="I64" s="107" t="s">
        <v>668</v>
      </c>
      <c r="J64" s="107" t="s">
        <v>668</v>
      </c>
      <c r="K64" s="107" t="s">
        <v>668</v>
      </c>
      <c r="L64" s="107" t="s">
        <v>668</v>
      </c>
      <c r="M64" s="107" t="s">
        <v>668</v>
      </c>
      <c r="N64" s="98">
        <v>2</v>
      </c>
      <c r="O64" s="98">
        <v>1.49</v>
      </c>
      <c r="P64" s="98">
        <v>2</v>
      </c>
      <c r="Q64" s="98">
        <v>1.99</v>
      </c>
      <c r="R64" s="98">
        <v>1.99</v>
      </c>
      <c r="S64" s="98">
        <v>1.99</v>
      </c>
      <c r="T64" s="98">
        <v>1.99</v>
      </c>
      <c r="U64" s="98">
        <v>1.99</v>
      </c>
      <c r="V64" s="108">
        <v>-1916</v>
      </c>
      <c r="W64" s="108">
        <v>-1144</v>
      </c>
      <c r="X64" s="108">
        <v>-1625</v>
      </c>
      <c r="Y64" s="108">
        <v>-701</v>
      </c>
      <c r="Z64" s="108">
        <v>-1256</v>
      </c>
      <c r="AA64" s="108">
        <v>-732</v>
      </c>
      <c r="AB64" s="108">
        <v>-1168</v>
      </c>
      <c r="AC64" s="108">
        <v>-1419</v>
      </c>
      <c r="AD64" s="98">
        <v>3.82</v>
      </c>
      <c r="AE64" s="98">
        <v>5.45</v>
      </c>
      <c r="AF64" s="98">
        <v>3.54</v>
      </c>
      <c r="AG64" s="98">
        <v>3.48</v>
      </c>
      <c r="AH64" s="98">
        <v>3.73</v>
      </c>
      <c r="AI64" s="98">
        <v>3.8</v>
      </c>
      <c r="AJ64" s="98">
        <v>2.66</v>
      </c>
      <c r="AK64" s="98">
        <v>3.85</v>
      </c>
      <c r="AL64" s="108">
        <v>-289316000</v>
      </c>
      <c r="AM64" s="108">
        <v>-172744000</v>
      </c>
      <c r="AN64" s="108">
        <v>-245375000</v>
      </c>
      <c r="AO64" s="108">
        <v>-105851000</v>
      </c>
      <c r="AP64" s="108">
        <v>-189656000</v>
      </c>
      <c r="AQ64" s="108">
        <v>-110532000</v>
      </c>
      <c r="AR64" s="108">
        <v>-176368000</v>
      </c>
      <c r="AS64" s="108">
        <v>-214269000</v>
      </c>
    </row>
    <row r="65" spans="1:45">
      <c r="A65" s="92" t="s">
        <v>707</v>
      </c>
      <c r="B65" s="95" t="s">
        <v>300</v>
      </c>
      <c r="C65" s="92" t="s">
        <v>292</v>
      </c>
      <c r="D65" s="96" t="s">
        <v>339</v>
      </c>
      <c r="E65" s="97">
        <v>9600</v>
      </c>
      <c r="F65" s="107" t="s">
        <v>668</v>
      </c>
      <c r="G65" s="107" t="s">
        <v>668</v>
      </c>
      <c r="H65" s="107" t="s">
        <v>668</v>
      </c>
      <c r="I65" s="107" t="s">
        <v>668</v>
      </c>
      <c r="J65" s="107" t="s">
        <v>668</v>
      </c>
      <c r="K65" s="107" t="s">
        <v>668</v>
      </c>
      <c r="L65" s="107" t="s">
        <v>668</v>
      </c>
      <c r="M65" s="107" t="s">
        <v>668</v>
      </c>
      <c r="N65" s="98">
        <v>2.0099999999999998</v>
      </c>
      <c r="O65" s="98">
        <v>2.15</v>
      </c>
      <c r="P65" s="98">
        <v>1.96</v>
      </c>
      <c r="Q65" s="98">
        <v>1.93</v>
      </c>
      <c r="R65" s="98">
        <v>1.97</v>
      </c>
      <c r="S65" s="98">
        <v>1.96</v>
      </c>
      <c r="T65" s="98">
        <v>1.93</v>
      </c>
      <c r="U65" s="98">
        <v>1.96</v>
      </c>
      <c r="V65" s="108">
        <v>-30310</v>
      </c>
      <c r="W65" s="108">
        <v>-26030</v>
      </c>
      <c r="X65" s="108">
        <v>-25130</v>
      </c>
      <c r="Y65" s="108">
        <v>-10690</v>
      </c>
      <c r="Z65" s="108">
        <v>-19550</v>
      </c>
      <c r="AA65" s="108">
        <v>-11390</v>
      </c>
      <c r="AB65" s="108">
        <v>-17822</v>
      </c>
      <c r="AC65" s="108">
        <v>-21930</v>
      </c>
      <c r="AD65" s="98">
        <v>2.4700000000000002</v>
      </c>
      <c r="AE65" s="98">
        <v>2.3199999999999998</v>
      </c>
      <c r="AF65" s="98">
        <v>2.31</v>
      </c>
      <c r="AG65" s="98">
        <v>1.25</v>
      </c>
      <c r="AH65" s="98">
        <v>2.31</v>
      </c>
      <c r="AI65" s="98">
        <v>2.5</v>
      </c>
      <c r="AJ65" s="98">
        <v>2.4700000000000002</v>
      </c>
      <c r="AK65" s="98">
        <v>2.42</v>
      </c>
      <c r="AL65" s="108">
        <v>-290976000</v>
      </c>
      <c r="AM65" s="108">
        <v>-249888000</v>
      </c>
      <c r="AN65" s="108">
        <v>-241248000</v>
      </c>
      <c r="AO65" s="108">
        <v>-102624000</v>
      </c>
      <c r="AP65" s="108">
        <v>-187680000</v>
      </c>
      <c r="AQ65" s="108">
        <v>-109344000</v>
      </c>
      <c r="AR65" s="108">
        <v>-171091200</v>
      </c>
      <c r="AS65" s="108">
        <v>-210528000</v>
      </c>
    </row>
    <row r="66" spans="1:45">
      <c r="A66" s="92" t="s">
        <v>708</v>
      </c>
      <c r="B66" s="95" t="s">
        <v>326</v>
      </c>
      <c r="C66" s="92" t="s">
        <v>327</v>
      </c>
      <c r="D66" s="96" t="s">
        <v>339</v>
      </c>
      <c r="E66" s="97">
        <v>85000</v>
      </c>
      <c r="F66" s="107" t="s">
        <v>668</v>
      </c>
      <c r="G66" s="107" t="s">
        <v>668</v>
      </c>
      <c r="H66" s="107" t="s">
        <v>668</v>
      </c>
      <c r="I66" s="107" t="s">
        <v>668</v>
      </c>
      <c r="J66" s="107" t="s">
        <v>668</v>
      </c>
      <c r="K66" s="107" t="s">
        <v>668</v>
      </c>
      <c r="L66" s="107" t="s">
        <v>668</v>
      </c>
      <c r="M66" s="107" t="s">
        <v>668</v>
      </c>
      <c r="N66" s="98">
        <v>1.5</v>
      </c>
      <c r="O66" s="98">
        <v>1.65</v>
      </c>
      <c r="P66" s="98">
        <v>1.51</v>
      </c>
      <c r="Q66" s="98">
        <v>1.55</v>
      </c>
      <c r="R66" s="98">
        <v>1.52</v>
      </c>
      <c r="S66" s="98">
        <v>1.51</v>
      </c>
      <c r="T66" s="98">
        <v>1.49</v>
      </c>
      <c r="U66" s="98">
        <v>1.5</v>
      </c>
      <c r="V66" s="108">
        <v>-2560</v>
      </c>
      <c r="W66" s="108">
        <v>-2250</v>
      </c>
      <c r="X66" s="108">
        <v>-2180</v>
      </c>
      <c r="Y66" s="108">
        <v>-970</v>
      </c>
      <c r="Z66" s="108">
        <v>-1700</v>
      </c>
      <c r="AA66" s="108">
        <v>-990</v>
      </c>
      <c r="AB66" s="108">
        <v>-1550</v>
      </c>
      <c r="AC66" s="108">
        <v>-1900</v>
      </c>
      <c r="AD66" s="98">
        <v>0.32</v>
      </c>
      <c r="AE66" s="98">
        <v>0.32</v>
      </c>
      <c r="AF66" s="98">
        <v>0.32</v>
      </c>
      <c r="AG66" s="98">
        <v>0.31</v>
      </c>
      <c r="AH66" s="98">
        <v>0.32</v>
      </c>
      <c r="AI66" s="98">
        <v>0.32</v>
      </c>
      <c r="AJ66" s="98">
        <v>0.32</v>
      </c>
      <c r="AK66" s="98">
        <v>0.32</v>
      </c>
      <c r="AL66" s="108">
        <v>-217600000</v>
      </c>
      <c r="AM66" s="108">
        <v>-191250000</v>
      </c>
      <c r="AN66" s="108">
        <v>-185300000</v>
      </c>
      <c r="AO66" s="108">
        <v>-82450000</v>
      </c>
      <c r="AP66" s="108">
        <v>-144500000</v>
      </c>
      <c r="AQ66" s="108">
        <v>-84150000</v>
      </c>
      <c r="AR66" s="108">
        <v>-131750000</v>
      </c>
      <c r="AS66" s="108">
        <v>-161500000</v>
      </c>
    </row>
    <row r="67" spans="1:45">
      <c r="A67" s="92" t="s">
        <v>709</v>
      </c>
      <c r="B67" s="95" t="s">
        <v>332</v>
      </c>
      <c r="C67" s="92" t="s">
        <v>333</v>
      </c>
      <c r="D67" s="96" t="s">
        <v>339</v>
      </c>
      <c r="E67" s="97">
        <v>282500</v>
      </c>
      <c r="F67" s="107" t="s">
        <v>668</v>
      </c>
      <c r="G67" s="107" t="s">
        <v>668</v>
      </c>
      <c r="H67" s="107" t="s">
        <v>668</v>
      </c>
      <c r="I67" s="107" t="s">
        <v>668</v>
      </c>
      <c r="J67" s="107" t="s">
        <v>668</v>
      </c>
      <c r="K67" s="107" t="s">
        <v>668</v>
      </c>
      <c r="L67" s="107" t="s">
        <v>668</v>
      </c>
      <c r="M67" s="107" t="s">
        <v>668</v>
      </c>
      <c r="N67" s="98">
        <v>1.42</v>
      </c>
      <c r="O67" s="98">
        <v>1.58</v>
      </c>
      <c r="P67" s="98">
        <v>1.42</v>
      </c>
      <c r="Q67" s="98">
        <v>1.44</v>
      </c>
      <c r="R67" s="98">
        <v>1.42</v>
      </c>
      <c r="S67" s="98">
        <v>1.37</v>
      </c>
      <c r="T67" s="98">
        <v>1.4</v>
      </c>
      <c r="U67" s="98">
        <v>1.42</v>
      </c>
      <c r="V67" s="108">
        <v>-730</v>
      </c>
      <c r="W67" s="108">
        <v>-650</v>
      </c>
      <c r="X67" s="108">
        <v>-620</v>
      </c>
      <c r="Y67" s="108">
        <v>-270</v>
      </c>
      <c r="Z67" s="108">
        <v>-480</v>
      </c>
      <c r="AA67" s="108">
        <v>-270</v>
      </c>
      <c r="AB67" s="108">
        <v>-440</v>
      </c>
      <c r="AC67" s="108">
        <v>-540</v>
      </c>
      <c r="AD67" s="98">
        <v>1.59</v>
      </c>
      <c r="AE67" s="98">
        <v>1.59</v>
      </c>
      <c r="AF67" s="98">
        <v>1.56</v>
      </c>
      <c r="AG67" s="98">
        <v>1.63</v>
      </c>
      <c r="AH67" s="98">
        <v>1.62</v>
      </c>
      <c r="AI67" s="98">
        <v>1.63</v>
      </c>
      <c r="AJ67" s="98">
        <v>1.58</v>
      </c>
      <c r="AK67" s="98">
        <v>1.58</v>
      </c>
      <c r="AL67" s="108">
        <v>-206225000</v>
      </c>
      <c r="AM67" s="108">
        <v>-183625000</v>
      </c>
      <c r="AN67" s="108">
        <v>-175150000</v>
      </c>
      <c r="AO67" s="108">
        <v>-76275000</v>
      </c>
      <c r="AP67" s="108">
        <v>-135600000</v>
      </c>
      <c r="AQ67" s="108">
        <v>-76275000</v>
      </c>
      <c r="AR67" s="108">
        <v>-124300000</v>
      </c>
      <c r="AS67" s="108">
        <v>-152550000</v>
      </c>
    </row>
    <row r="68" spans="1:45">
      <c r="A68" s="92" t="s">
        <v>710</v>
      </c>
      <c r="B68" s="95" t="s">
        <v>445</v>
      </c>
      <c r="C68" s="92" t="s">
        <v>444</v>
      </c>
      <c r="D68" s="96" t="s">
        <v>339</v>
      </c>
      <c r="E68" s="97">
        <v>28250</v>
      </c>
      <c r="F68" s="107" t="s">
        <v>668</v>
      </c>
      <c r="G68" s="107" t="s">
        <v>668</v>
      </c>
      <c r="H68" s="107" t="s">
        <v>668</v>
      </c>
      <c r="I68" s="107" t="s">
        <v>668</v>
      </c>
      <c r="J68" s="107" t="s">
        <v>668</v>
      </c>
      <c r="K68" s="107" t="s">
        <v>668</v>
      </c>
      <c r="L68" s="107" t="s">
        <v>668</v>
      </c>
      <c r="M68" s="107" t="s">
        <v>668</v>
      </c>
      <c r="N68" s="98">
        <v>0.91</v>
      </c>
      <c r="O68" s="98">
        <v>0.98</v>
      </c>
      <c r="P68" s="98">
        <v>0.89</v>
      </c>
      <c r="Q68" s="98">
        <v>0.82</v>
      </c>
      <c r="R68" s="98">
        <v>0.92</v>
      </c>
      <c r="S68" s="98">
        <v>0.9</v>
      </c>
      <c r="T68" s="98">
        <v>0.88</v>
      </c>
      <c r="U68" s="98">
        <v>0.89</v>
      </c>
      <c r="V68" s="108">
        <v>-4660</v>
      </c>
      <c r="W68" s="108">
        <v>-4040</v>
      </c>
      <c r="X68" s="108">
        <v>-3890</v>
      </c>
      <c r="Y68" s="108">
        <v>-1540</v>
      </c>
      <c r="Z68" s="108">
        <v>-3100</v>
      </c>
      <c r="AA68" s="108">
        <v>-1770</v>
      </c>
      <c r="AB68" s="108">
        <v>-2770</v>
      </c>
      <c r="AC68" s="108">
        <v>-3400</v>
      </c>
      <c r="AD68" s="98">
        <v>10.17</v>
      </c>
      <c r="AE68" s="98">
        <v>10.17</v>
      </c>
      <c r="AF68" s="98">
        <v>10.17</v>
      </c>
      <c r="AG68" s="98">
        <v>10.16</v>
      </c>
      <c r="AH68" s="98">
        <v>10.17</v>
      </c>
      <c r="AI68" s="98">
        <v>10.17</v>
      </c>
      <c r="AJ68" s="98">
        <v>10.17</v>
      </c>
      <c r="AK68" s="98">
        <v>10.17</v>
      </c>
      <c r="AL68" s="108">
        <v>-131645000</v>
      </c>
      <c r="AM68" s="108">
        <v>-114130000</v>
      </c>
      <c r="AN68" s="108">
        <v>-109892500</v>
      </c>
      <c r="AO68" s="108">
        <v>-43505000</v>
      </c>
      <c r="AP68" s="108">
        <v>-87575000</v>
      </c>
      <c r="AQ68" s="108">
        <v>-50002500</v>
      </c>
      <c r="AR68" s="108">
        <v>-78252500</v>
      </c>
      <c r="AS68" s="108">
        <v>-96050000</v>
      </c>
    </row>
    <row r="69" spans="1:45">
      <c r="A69" s="92" t="s">
        <v>711</v>
      </c>
      <c r="B69" s="95" t="s">
        <v>143</v>
      </c>
      <c r="C69" s="92" t="s">
        <v>144</v>
      </c>
      <c r="D69" s="96" t="s">
        <v>339</v>
      </c>
      <c r="E69" s="97">
        <v>9110</v>
      </c>
      <c r="F69" s="107" t="s">
        <v>668</v>
      </c>
      <c r="G69" s="107" t="s">
        <v>668</v>
      </c>
      <c r="H69" s="107" t="s">
        <v>668</v>
      </c>
      <c r="I69" s="107" t="s">
        <v>668</v>
      </c>
      <c r="J69" s="107" t="s">
        <v>668</v>
      </c>
      <c r="K69" s="107" t="s">
        <v>668</v>
      </c>
      <c r="L69" s="107" t="s">
        <v>668</v>
      </c>
      <c r="M69" s="107" t="s">
        <v>668</v>
      </c>
      <c r="N69" s="98">
        <v>0.48</v>
      </c>
      <c r="O69" s="98">
        <v>0.53</v>
      </c>
      <c r="P69" s="98">
        <v>0.48</v>
      </c>
      <c r="Q69" s="98">
        <v>0.51</v>
      </c>
      <c r="R69" s="98">
        <v>0.48</v>
      </c>
      <c r="S69" s="98">
        <v>0.48</v>
      </c>
      <c r="T69" s="98">
        <v>0.47</v>
      </c>
      <c r="U69" s="98">
        <v>0.48</v>
      </c>
      <c r="V69" s="108">
        <v>-7659</v>
      </c>
      <c r="W69" s="108">
        <v>-6744</v>
      </c>
      <c r="X69" s="108">
        <v>-6472</v>
      </c>
      <c r="Y69" s="108">
        <v>-2970</v>
      </c>
      <c r="Z69" s="108">
        <v>-5092</v>
      </c>
      <c r="AA69" s="108">
        <v>-2956</v>
      </c>
      <c r="AB69" s="108">
        <v>-4626</v>
      </c>
      <c r="AC69" s="108">
        <v>-5683</v>
      </c>
      <c r="AD69" s="98">
        <v>24.52</v>
      </c>
      <c r="AE69" s="98">
        <v>24.41</v>
      </c>
      <c r="AF69" s="98">
        <v>17.86</v>
      </c>
      <c r="AG69" s="98">
        <v>-1.82</v>
      </c>
      <c r="AH69" s="98">
        <v>3.87</v>
      </c>
      <c r="AI69" s="98">
        <v>5.36</v>
      </c>
      <c r="AJ69" s="98">
        <v>16.88</v>
      </c>
      <c r="AK69" s="98">
        <v>19.670000000000002</v>
      </c>
      <c r="AL69" s="108">
        <v>-69773490</v>
      </c>
      <c r="AM69" s="108">
        <v>-61437840</v>
      </c>
      <c r="AN69" s="108">
        <v>-58959920</v>
      </c>
      <c r="AO69" s="108">
        <v>-27056700</v>
      </c>
      <c r="AP69" s="108">
        <v>-46388120</v>
      </c>
      <c r="AQ69" s="108">
        <v>-26929160</v>
      </c>
      <c r="AR69" s="108">
        <v>-42142860</v>
      </c>
      <c r="AS69" s="108">
        <v>-51772130</v>
      </c>
    </row>
    <row r="70" spans="1:45">
      <c r="A70" s="92" t="s">
        <v>712</v>
      </c>
      <c r="B70" s="95" t="s">
        <v>204</v>
      </c>
      <c r="C70" s="92" t="s">
        <v>205</v>
      </c>
      <c r="D70" s="96" t="s">
        <v>339</v>
      </c>
      <c r="E70" s="97">
        <v>222500</v>
      </c>
      <c r="F70" s="107" t="s">
        <v>668</v>
      </c>
      <c r="G70" s="107" t="s">
        <v>668</v>
      </c>
      <c r="H70" s="107" t="s">
        <v>668</v>
      </c>
      <c r="I70" s="107" t="s">
        <v>668</v>
      </c>
      <c r="J70" s="107" t="s">
        <v>668</v>
      </c>
      <c r="K70" s="107" t="s">
        <v>668</v>
      </c>
      <c r="L70" s="107" t="s">
        <v>668</v>
      </c>
      <c r="M70" s="107" t="s">
        <v>668</v>
      </c>
      <c r="N70" s="98">
        <v>1</v>
      </c>
      <c r="O70" s="98">
        <v>1.0900000000000001</v>
      </c>
      <c r="P70" s="98">
        <v>0.99</v>
      </c>
      <c r="Q70" s="98">
        <v>1</v>
      </c>
      <c r="R70" s="98">
        <v>1</v>
      </c>
      <c r="S70" s="98">
        <v>1</v>
      </c>
      <c r="T70" s="98">
        <v>0.98</v>
      </c>
      <c r="U70" s="98">
        <v>0.99</v>
      </c>
      <c r="V70" s="108">
        <v>-650</v>
      </c>
      <c r="W70" s="108">
        <v>-570</v>
      </c>
      <c r="X70" s="108">
        <v>-550</v>
      </c>
      <c r="Y70" s="108">
        <v>-240</v>
      </c>
      <c r="Z70" s="108">
        <v>-430</v>
      </c>
      <c r="AA70" s="108">
        <v>-250</v>
      </c>
      <c r="AB70" s="108">
        <v>-390</v>
      </c>
      <c r="AC70" s="108">
        <v>-480</v>
      </c>
      <c r="AD70" s="98">
        <v>-1.3</v>
      </c>
      <c r="AE70" s="98">
        <v>-1.3</v>
      </c>
      <c r="AF70" s="98">
        <v>-1.3</v>
      </c>
      <c r="AG70" s="98">
        <v>-1.3</v>
      </c>
      <c r="AH70" s="98">
        <v>-1.3</v>
      </c>
      <c r="AI70" s="98">
        <v>-1.3</v>
      </c>
      <c r="AJ70" s="98">
        <v>-1.29</v>
      </c>
      <c r="AK70" s="98">
        <v>-1.3</v>
      </c>
      <c r="AL70" s="108">
        <v>-144625000</v>
      </c>
      <c r="AM70" s="108">
        <v>-126825000</v>
      </c>
      <c r="AN70" s="108">
        <v>-122375000</v>
      </c>
      <c r="AO70" s="108">
        <v>-53400000</v>
      </c>
      <c r="AP70" s="108">
        <v>-95675000</v>
      </c>
      <c r="AQ70" s="108">
        <v>-55625000</v>
      </c>
      <c r="AR70" s="108">
        <v>-86775000</v>
      </c>
      <c r="AS70" s="108">
        <v>-106800000</v>
      </c>
    </row>
    <row r="71" spans="1:45">
      <c r="A71" s="92" t="s">
        <v>713</v>
      </c>
      <c r="B71" s="95" t="s">
        <v>145</v>
      </c>
      <c r="C71" s="92" t="s">
        <v>146</v>
      </c>
      <c r="D71" s="96" t="s">
        <v>339</v>
      </c>
      <c r="E71" s="97">
        <v>11350</v>
      </c>
      <c r="F71" s="107" t="s">
        <v>668</v>
      </c>
      <c r="G71" s="107" t="s">
        <v>668</v>
      </c>
      <c r="H71" s="107" t="s">
        <v>668</v>
      </c>
      <c r="I71" s="107" t="s">
        <v>668</v>
      </c>
      <c r="J71" s="107" t="s">
        <v>668</v>
      </c>
      <c r="K71" s="107" t="s">
        <v>668</v>
      </c>
      <c r="L71" s="107" t="s">
        <v>668</v>
      </c>
      <c r="M71" s="107" t="s">
        <v>668</v>
      </c>
      <c r="N71" s="98">
        <v>1.1000000000000001</v>
      </c>
      <c r="O71" s="98">
        <v>1.1599999999999999</v>
      </c>
      <c r="P71" s="98">
        <v>1.05</v>
      </c>
      <c r="Q71" s="98">
        <v>0.9</v>
      </c>
      <c r="R71" s="98">
        <v>1.08</v>
      </c>
      <c r="S71" s="98">
        <v>1.0900000000000001</v>
      </c>
      <c r="T71" s="98">
        <v>1.05</v>
      </c>
      <c r="U71" s="98">
        <v>1.06</v>
      </c>
      <c r="V71" s="108">
        <v>-14084</v>
      </c>
      <c r="W71" s="108">
        <v>-11878</v>
      </c>
      <c r="X71" s="108">
        <v>-11431</v>
      </c>
      <c r="Y71" s="108">
        <v>-4229</v>
      </c>
      <c r="Z71" s="108">
        <v>-9091</v>
      </c>
      <c r="AA71" s="108">
        <v>-5357</v>
      </c>
      <c r="AB71" s="108">
        <v>-8177</v>
      </c>
      <c r="AC71" s="108">
        <v>-10029</v>
      </c>
      <c r="AD71" s="98">
        <v>-1.23</v>
      </c>
      <c r="AE71" s="98">
        <v>-0.49</v>
      </c>
      <c r="AF71" s="98">
        <v>-0.67</v>
      </c>
      <c r="AG71" s="98">
        <v>-9.27</v>
      </c>
      <c r="AH71" s="98">
        <v>-0.52</v>
      </c>
      <c r="AI71" s="98">
        <v>-0.44</v>
      </c>
      <c r="AJ71" s="98">
        <v>-0.22</v>
      </c>
      <c r="AK71" s="98">
        <v>-0.51</v>
      </c>
      <c r="AL71" s="108">
        <v>-159853400</v>
      </c>
      <c r="AM71" s="108">
        <v>-134815300</v>
      </c>
      <c r="AN71" s="108">
        <v>-129741850</v>
      </c>
      <c r="AO71" s="108">
        <v>-47999150</v>
      </c>
      <c r="AP71" s="108">
        <v>-103182850</v>
      </c>
      <c r="AQ71" s="108">
        <v>-60801950</v>
      </c>
      <c r="AR71" s="108">
        <v>-92808950</v>
      </c>
      <c r="AS71" s="108">
        <v>-113829150</v>
      </c>
    </row>
    <row r="72" spans="1:45">
      <c r="A72" s="92" t="s">
        <v>714</v>
      </c>
      <c r="B72" s="95" t="s">
        <v>274</v>
      </c>
      <c r="C72" s="92" t="s">
        <v>275</v>
      </c>
      <c r="D72" s="96" t="s">
        <v>339</v>
      </c>
      <c r="E72" s="97">
        <v>208500</v>
      </c>
      <c r="F72" s="107" t="s">
        <v>668</v>
      </c>
      <c r="G72" s="107" t="s">
        <v>668</v>
      </c>
      <c r="H72" s="107" t="s">
        <v>668</v>
      </c>
      <c r="I72" s="107" t="s">
        <v>668</v>
      </c>
      <c r="J72" s="107" t="s">
        <v>668</v>
      </c>
      <c r="K72" s="107" t="s">
        <v>668</v>
      </c>
      <c r="L72" s="107" t="s">
        <v>668</v>
      </c>
      <c r="M72" s="107" t="s">
        <v>668</v>
      </c>
      <c r="N72" s="98">
        <v>2.1</v>
      </c>
      <c r="O72" s="98">
        <v>2.1800000000000002</v>
      </c>
      <c r="P72" s="98">
        <v>2.2599999999999998</v>
      </c>
      <c r="Q72" s="98">
        <v>1.69</v>
      </c>
      <c r="R72" s="98">
        <v>2.1</v>
      </c>
      <c r="S72" s="98">
        <v>2.06</v>
      </c>
      <c r="T72" s="98">
        <v>2.04</v>
      </c>
      <c r="U72" s="98">
        <v>2.02</v>
      </c>
      <c r="V72" s="108">
        <v>-1460</v>
      </c>
      <c r="W72" s="108">
        <v>-1210</v>
      </c>
      <c r="X72" s="108">
        <v>-1330</v>
      </c>
      <c r="Y72" s="108">
        <v>-430</v>
      </c>
      <c r="Z72" s="108">
        <v>-960</v>
      </c>
      <c r="AA72" s="108">
        <v>-550</v>
      </c>
      <c r="AB72" s="108">
        <v>-864</v>
      </c>
      <c r="AC72" s="108">
        <v>-1040</v>
      </c>
      <c r="AD72" s="98">
        <v>-2.1</v>
      </c>
      <c r="AE72" s="98">
        <v>-2.15</v>
      </c>
      <c r="AF72" s="98">
        <v>-2.0299999999999998</v>
      </c>
      <c r="AG72" s="98">
        <v>-6.49</v>
      </c>
      <c r="AH72" s="98">
        <v>-2.1</v>
      </c>
      <c r="AI72" s="98">
        <v>-2.16</v>
      </c>
      <c r="AJ72" s="98">
        <v>-2.83</v>
      </c>
      <c r="AK72" s="98">
        <v>-2.14</v>
      </c>
      <c r="AL72" s="108">
        <v>-304410000</v>
      </c>
      <c r="AM72" s="108">
        <v>-252285000</v>
      </c>
      <c r="AN72" s="108">
        <v>-277305000</v>
      </c>
      <c r="AO72" s="108">
        <v>-89655000</v>
      </c>
      <c r="AP72" s="108">
        <v>-200160000</v>
      </c>
      <c r="AQ72" s="108">
        <v>-114675000</v>
      </c>
      <c r="AR72" s="108">
        <v>-180144000</v>
      </c>
      <c r="AS72" s="108">
        <v>-216840000</v>
      </c>
    </row>
    <row r="73" spans="1:45">
      <c r="A73" s="92" t="s">
        <v>715</v>
      </c>
      <c r="B73" s="95" t="s">
        <v>147</v>
      </c>
      <c r="C73" s="92" t="s">
        <v>148</v>
      </c>
      <c r="D73" s="96" t="s">
        <v>339</v>
      </c>
      <c r="E73" s="97">
        <v>209500</v>
      </c>
      <c r="F73" s="107" t="s">
        <v>668</v>
      </c>
      <c r="G73" s="107" t="s">
        <v>668</v>
      </c>
      <c r="H73" s="107" t="s">
        <v>668</v>
      </c>
      <c r="I73" s="107" t="s">
        <v>668</v>
      </c>
      <c r="J73" s="107" t="s">
        <v>668</v>
      </c>
      <c r="K73" s="107" t="s">
        <v>668</v>
      </c>
      <c r="L73" s="107" t="s">
        <v>668</v>
      </c>
      <c r="M73" s="107" t="s">
        <v>668</v>
      </c>
      <c r="N73" s="98">
        <v>1.57</v>
      </c>
      <c r="O73" s="98">
        <v>1.74</v>
      </c>
      <c r="P73" s="98">
        <v>1.57</v>
      </c>
      <c r="Q73" s="98">
        <v>1.63</v>
      </c>
      <c r="R73" s="98">
        <v>1.58</v>
      </c>
      <c r="S73" s="98">
        <v>1.58</v>
      </c>
      <c r="T73" s="98">
        <v>1.55</v>
      </c>
      <c r="U73" s="98">
        <v>1.57</v>
      </c>
      <c r="V73" s="108">
        <v>-1089</v>
      </c>
      <c r="W73" s="108">
        <v>-961</v>
      </c>
      <c r="X73" s="108">
        <v>-922</v>
      </c>
      <c r="Y73" s="108">
        <v>-413</v>
      </c>
      <c r="Z73" s="108">
        <v>-721</v>
      </c>
      <c r="AA73" s="108">
        <v>-421</v>
      </c>
      <c r="AB73" s="108">
        <v>-655</v>
      </c>
      <c r="AC73" s="108">
        <v>-808</v>
      </c>
      <c r="AD73" s="98">
        <v>-5.7</v>
      </c>
      <c r="AE73" s="98">
        <v>-5.38</v>
      </c>
      <c r="AF73" s="98">
        <v>-4.97</v>
      </c>
      <c r="AG73" s="98">
        <v>-6.49</v>
      </c>
      <c r="AH73" s="98">
        <v>-5.16</v>
      </c>
      <c r="AI73" s="98">
        <v>-5.62</v>
      </c>
      <c r="AJ73" s="98">
        <v>-5.09</v>
      </c>
      <c r="AK73" s="98">
        <v>-5.3</v>
      </c>
      <c r="AL73" s="108">
        <v>-228145500</v>
      </c>
      <c r="AM73" s="108">
        <v>-201329500</v>
      </c>
      <c r="AN73" s="108">
        <v>-193159000</v>
      </c>
      <c r="AO73" s="108">
        <v>-86523500</v>
      </c>
      <c r="AP73" s="108">
        <v>-151049500</v>
      </c>
      <c r="AQ73" s="108">
        <v>-88199500</v>
      </c>
      <c r="AR73" s="108">
        <v>-137222500</v>
      </c>
      <c r="AS73" s="108">
        <v>-169276000</v>
      </c>
    </row>
    <row r="74" spans="1:45">
      <c r="A74" s="92" t="s">
        <v>716</v>
      </c>
      <c r="B74" s="95" t="s">
        <v>153</v>
      </c>
      <c r="C74" s="92" t="s">
        <v>154</v>
      </c>
      <c r="D74" s="96" t="s">
        <v>339</v>
      </c>
      <c r="E74" s="97">
        <v>81000</v>
      </c>
      <c r="F74" s="107" t="s">
        <v>668</v>
      </c>
      <c r="G74" s="107" t="s">
        <v>668</v>
      </c>
      <c r="H74" s="107" t="s">
        <v>668</v>
      </c>
      <c r="I74" s="107" t="s">
        <v>668</v>
      </c>
      <c r="J74" s="107" t="s">
        <v>668</v>
      </c>
      <c r="K74" s="107" t="s">
        <v>668</v>
      </c>
      <c r="L74" s="107" t="s">
        <v>668</v>
      </c>
      <c r="M74" s="107" t="s">
        <v>668</v>
      </c>
      <c r="N74" s="98">
        <v>1.86</v>
      </c>
      <c r="O74" s="98">
        <v>1.96</v>
      </c>
      <c r="P74" s="98">
        <v>1.78</v>
      </c>
      <c r="Q74" s="98">
        <v>1.36</v>
      </c>
      <c r="R74" s="98">
        <v>1.83</v>
      </c>
      <c r="S74" s="98">
        <v>1.85</v>
      </c>
      <c r="T74" s="98">
        <v>1.81</v>
      </c>
      <c r="U74" s="98">
        <v>1.8</v>
      </c>
      <c r="V74" s="108">
        <v>-3330</v>
      </c>
      <c r="W74" s="108">
        <v>-2810</v>
      </c>
      <c r="X74" s="108">
        <v>-2700</v>
      </c>
      <c r="Y74" s="108">
        <v>-890</v>
      </c>
      <c r="Z74" s="108">
        <v>-2150</v>
      </c>
      <c r="AA74" s="108">
        <v>-1270</v>
      </c>
      <c r="AB74" s="108">
        <v>-1980</v>
      </c>
      <c r="AC74" s="108">
        <v>-2390</v>
      </c>
      <c r="AD74" s="98">
        <v>11.84</v>
      </c>
      <c r="AE74" s="98">
        <v>11.8</v>
      </c>
      <c r="AF74" s="98">
        <v>11.9</v>
      </c>
      <c r="AG74" s="98">
        <v>11.71</v>
      </c>
      <c r="AH74" s="98">
        <v>11.85</v>
      </c>
      <c r="AI74" s="98">
        <v>11.82</v>
      </c>
      <c r="AJ74" s="98">
        <v>11.85</v>
      </c>
      <c r="AK74" s="98">
        <v>11.82</v>
      </c>
      <c r="AL74" s="108">
        <v>-269730000</v>
      </c>
      <c r="AM74" s="108">
        <v>-227610000</v>
      </c>
      <c r="AN74" s="108">
        <v>-218700000</v>
      </c>
      <c r="AO74" s="108">
        <v>-72090000</v>
      </c>
      <c r="AP74" s="108">
        <v>-174150000</v>
      </c>
      <c r="AQ74" s="108">
        <v>-102870000</v>
      </c>
      <c r="AR74" s="108">
        <v>-160380000</v>
      </c>
      <c r="AS74" s="108">
        <v>-193590000</v>
      </c>
    </row>
    <row r="75" spans="1:45">
      <c r="A75" s="92" t="s">
        <v>717</v>
      </c>
      <c r="B75" s="95" t="s">
        <v>310</v>
      </c>
      <c r="C75" s="92" t="s">
        <v>311</v>
      </c>
      <c r="D75" s="96" t="s">
        <v>339</v>
      </c>
      <c r="E75" s="97">
        <v>15100</v>
      </c>
      <c r="F75" s="107" t="s">
        <v>668</v>
      </c>
      <c r="G75" s="107" t="s">
        <v>668</v>
      </c>
      <c r="H75" s="107" t="s">
        <v>668</v>
      </c>
      <c r="I75" s="107" t="s">
        <v>668</v>
      </c>
      <c r="J75" s="107" t="s">
        <v>668</v>
      </c>
      <c r="K75" s="107" t="s">
        <v>668</v>
      </c>
      <c r="L75" s="107" t="s">
        <v>668</v>
      </c>
      <c r="M75" s="107" t="s">
        <v>668</v>
      </c>
      <c r="N75" s="98">
        <v>0.9</v>
      </c>
      <c r="O75" s="98">
        <v>0.95</v>
      </c>
      <c r="P75" s="98">
        <v>0.93</v>
      </c>
      <c r="Q75" s="98">
        <v>0.62</v>
      </c>
      <c r="R75" s="98">
        <v>0.9</v>
      </c>
      <c r="S75" s="98">
        <v>0.89</v>
      </c>
      <c r="T75" s="98">
        <v>0.88</v>
      </c>
      <c r="U75" s="98">
        <v>0.88</v>
      </c>
      <c r="V75" s="108">
        <v>-8680</v>
      </c>
      <c r="W75" s="108">
        <v>-7320</v>
      </c>
      <c r="X75" s="108">
        <v>-7590</v>
      </c>
      <c r="Y75" s="108">
        <v>-2200</v>
      </c>
      <c r="Z75" s="108">
        <v>-5700</v>
      </c>
      <c r="AA75" s="108">
        <v>-3300</v>
      </c>
      <c r="AB75" s="108">
        <v>-5193</v>
      </c>
      <c r="AC75" s="108">
        <v>-6280</v>
      </c>
      <c r="AD75" s="98">
        <v>9.01</v>
      </c>
      <c r="AE75" s="98">
        <v>9.0399999999999991</v>
      </c>
      <c r="AF75" s="98">
        <v>8.9499999999999993</v>
      </c>
      <c r="AG75" s="98">
        <v>9.09</v>
      </c>
      <c r="AH75" s="98">
        <v>8.99</v>
      </c>
      <c r="AI75" s="98">
        <v>9</v>
      </c>
      <c r="AJ75" s="98">
        <v>8.3000000000000007</v>
      </c>
      <c r="AK75" s="98">
        <v>8.99</v>
      </c>
      <c r="AL75" s="108">
        <v>-131068000</v>
      </c>
      <c r="AM75" s="108">
        <v>-110532000</v>
      </c>
      <c r="AN75" s="108">
        <v>-114609000</v>
      </c>
      <c r="AO75" s="108">
        <v>-33220000</v>
      </c>
      <c r="AP75" s="108">
        <v>-86070000</v>
      </c>
      <c r="AQ75" s="108">
        <v>-49830000</v>
      </c>
      <c r="AR75" s="108">
        <v>-78414300</v>
      </c>
      <c r="AS75" s="108">
        <v>-94828000</v>
      </c>
    </row>
    <row r="76" spans="1:45">
      <c r="A76" s="92" t="s">
        <v>718</v>
      </c>
      <c r="B76" s="95" t="s">
        <v>432</v>
      </c>
      <c r="C76" s="92" t="s">
        <v>431</v>
      </c>
      <c r="D76" s="96" t="s">
        <v>339</v>
      </c>
      <c r="E76" s="97">
        <v>23850</v>
      </c>
      <c r="F76" s="107" t="s">
        <v>668</v>
      </c>
      <c r="G76" s="107" t="s">
        <v>668</v>
      </c>
      <c r="H76" s="107" t="s">
        <v>668</v>
      </c>
      <c r="I76" s="107" t="s">
        <v>668</v>
      </c>
      <c r="J76" s="107" t="s">
        <v>668</v>
      </c>
      <c r="K76" s="107" t="s">
        <v>668</v>
      </c>
      <c r="L76" s="107" t="s">
        <v>668</v>
      </c>
      <c r="M76" s="107" t="s">
        <v>668</v>
      </c>
      <c r="N76" s="98">
        <v>1.72</v>
      </c>
      <c r="O76" s="98">
        <v>1.8</v>
      </c>
      <c r="P76" s="98">
        <v>1.63</v>
      </c>
      <c r="Q76" s="98">
        <v>1.35</v>
      </c>
      <c r="R76" s="98">
        <v>1.68</v>
      </c>
      <c r="S76" s="98">
        <v>1.7</v>
      </c>
      <c r="T76" s="98">
        <v>1.61</v>
      </c>
      <c r="U76" s="98">
        <v>1.63</v>
      </c>
      <c r="V76" s="108">
        <v>-10428</v>
      </c>
      <c r="W76" s="108">
        <v>-8777</v>
      </c>
      <c r="X76" s="108">
        <v>-8386</v>
      </c>
      <c r="Y76" s="108">
        <v>-3000</v>
      </c>
      <c r="Z76" s="108">
        <v>-6733</v>
      </c>
      <c r="AA76" s="108">
        <v>-3962</v>
      </c>
      <c r="AB76" s="108">
        <v>-5988</v>
      </c>
      <c r="AC76" s="108">
        <v>-7356</v>
      </c>
      <c r="AD76" s="98">
        <v>-0.84</v>
      </c>
      <c r="AE76" s="98">
        <v>-0.54</v>
      </c>
      <c r="AF76" s="98">
        <v>-4.1900000000000004</v>
      </c>
      <c r="AG76" s="98">
        <v>-0.77</v>
      </c>
      <c r="AH76" s="98">
        <v>1.71</v>
      </c>
      <c r="AI76" s="98">
        <v>1.62</v>
      </c>
      <c r="AJ76" s="98">
        <v>-2.11</v>
      </c>
      <c r="AK76" s="98">
        <v>-1.75</v>
      </c>
      <c r="AL76" s="108">
        <v>-248707800</v>
      </c>
      <c r="AM76" s="108">
        <v>-209331450</v>
      </c>
      <c r="AN76" s="108">
        <v>-200006100</v>
      </c>
      <c r="AO76" s="108">
        <v>-71550000</v>
      </c>
      <c r="AP76" s="108">
        <v>-160582050</v>
      </c>
      <c r="AQ76" s="108">
        <v>-94493700</v>
      </c>
      <c r="AR76" s="108">
        <v>-142813800</v>
      </c>
      <c r="AS76" s="108">
        <v>-175440600</v>
      </c>
    </row>
    <row r="77" spans="1:45">
      <c r="A77" s="92" t="s">
        <v>719</v>
      </c>
      <c r="B77" s="95" t="s">
        <v>261</v>
      </c>
      <c r="C77" s="92" t="s">
        <v>262</v>
      </c>
      <c r="D77" s="96" t="s">
        <v>339</v>
      </c>
      <c r="E77" s="97">
        <v>66200</v>
      </c>
      <c r="F77" s="107" t="s">
        <v>668</v>
      </c>
      <c r="G77" s="107" t="s">
        <v>668</v>
      </c>
      <c r="H77" s="107" t="s">
        <v>668</v>
      </c>
      <c r="I77" s="107" t="s">
        <v>668</v>
      </c>
      <c r="J77" s="107" t="s">
        <v>668</v>
      </c>
      <c r="K77" s="107" t="s">
        <v>668</v>
      </c>
      <c r="L77" s="107" t="s">
        <v>668</v>
      </c>
      <c r="M77" s="107" t="s">
        <v>668</v>
      </c>
      <c r="N77" s="98">
        <v>0.52</v>
      </c>
      <c r="O77" s="98">
        <v>0.57999999999999996</v>
      </c>
      <c r="P77" s="98">
        <v>0.52</v>
      </c>
      <c r="Q77" s="98">
        <v>0.53</v>
      </c>
      <c r="R77" s="98">
        <v>0.53</v>
      </c>
      <c r="S77" s="98">
        <v>0.53</v>
      </c>
      <c r="T77" s="98">
        <v>0.52</v>
      </c>
      <c r="U77" s="98">
        <v>0.52</v>
      </c>
      <c r="V77" s="108">
        <v>-1151</v>
      </c>
      <c r="W77" s="108">
        <v>-1018</v>
      </c>
      <c r="X77" s="108">
        <v>-977</v>
      </c>
      <c r="Y77" s="108">
        <v>-426</v>
      </c>
      <c r="Z77" s="108">
        <v>-767</v>
      </c>
      <c r="AA77" s="108">
        <v>-447</v>
      </c>
      <c r="AB77" s="108">
        <v>-698</v>
      </c>
      <c r="AC77" s="108">
        <v>-852</v>
      </c>
      <c r="AD77" s="98">
        <v>9.9499999999999993</v>
      </c>
      <c r="AE77" s="98">
        <v>9.58</v>
      </c>
      <c r="AF77" s="98">
        <v>10.44</v>
      </c>
      <c r="AG77" s="98">
        <v>-3.49</v>
      </c>
      <c r="AH77" s="98">
        <v>7.18</v>
      </c>
      <c r="AI77" s="98">
        <v>6.69</v>
      </c>
      <c r="AJ77" s="98">
        <v>9.4</v>
      </c>
      <c r="AK77" s="98">
        <v>9.8800000000000008</v>
      </c>
      <c r="AL77" s="108">
        <v>-76196200</v>
      </c>
      <c r="AM77" s="108">
        <v>-67391600</v>
      </c>
      <c r="AN77" s="108">
        <v>-64677400</v>
      </c>
      <c r="AO77" s="108">
        <v>-28201200</v>
      </c>
      <c r="AP77" s="108">
        <v>-50775400</v>
      </c>
      <c r="AQ77" s="108">
        <v>-29591400</v>
      </c>
      <c r="AR77" s="108">
        <v>-46207600</v>
      </c>
      <c r="AS77" s="108">
        <v>-56402400</v>
      </c>
    </row>
    <row r="78" spans="1:45">
      <c r="A78" s="92" t="s">
        <v>720</v>
      </c>
      <c r="B78" s="95" t="s">
        <v>163</v>
      </c>
      <c r="C78" s="92" t="s">
        <v>164</v>
      </c>
      <c r="D78" s="96" t="s">
        <v>339</v>
      </c>
      <c r="E78" s="97">
        <v>268500</v>
      </c>
      <c r="F78" s="107" t="s">
        <v>668</v>
      </c>
      <c r="G78" s="107" t="s">
        <v>668</v>
      </c>
      <c r="H78" s="107" t="s">
        <v>668</v>
      </c>
      <c r="I78" s="107" t="s">
        <v>668</v>
      </c>
      <c r="J78" s="107" t="s">
        <v>668</v>
      </c>
      <c r="K78" s="107" t="s">
        <v>668</v>
      </c>
      <c r="L78" s="107" t="s">
        <v>668</v>
      </c>
      <c r="M78" s="107" t="s">
        <v>668</v>
      </c>
      <c r="N78" s="98">
        <v>0.52</v>
      </c>
      <c r="O78" s="98">
        <v>0.53</v>
      </c>
      <c r="P78" s="98">
        <v>0.5</v>
      </c>
      <c r="Q78" s="98">
        <v>0.4</v>
      </c>
      <c r="R78" s="98">
        <v>0.5</v>
      </c>
      <c r="S78" s="98">
        <v>0.48</v>
      </c>
      <c r="T78" s="98">
        <v>0.48</v>
      </c>
      <c r="U78" s="98">
        <v>0.5</v>
      </c>
      <c r="V78" s="108">
        <v>-280</v>
      </c>
      <c r="W78" s="108">
        <v>-230</v>
      </c>
      <c r="X78" s="108">
        <v>-230</v>
      </c>
      <c r="Y78" s="108">
        <v>-80</v>
      </c>
      <c r="Z78" s="108">
        <v>-180</v>
      </c>
      <c r="AA78" s="108">
        <v>-100</v>
      </c>
      <c r="AB78" s="108">
        <v>-160</v>
      </c>
      <c r="AC78" s="108">
        <v>-200</v>
      </c>
      <c r="AD78" s="98">
        <v>-3.15</v>
      </c>
      <c r="AE78" s="98">
        <v>-3.15</v>
      </c>
      <c r="AF78" s="98">
        <v>-3.15</v>
      </c>
      <c r="AG78" s="98">
        <v>-3.15</v>
      </c>
      <c r="AH78" s="98">
        <v>-3.15</v>
      </c>
      <c r="AI78" s="98">
        <v>-3.15</v>
      </c>
      <c r="AJ78" s="98">
        <v>-3.14</v>
      </c>
      <c r="AK78" s="98">
        <v>-3.14</v>
      </c>
      <c r="AL78" s="108">
        <v>-75180000</v>
      </c>
      <c r="AM78" s="108">
        <v>-61755000</v>
      </c>
      <c r="AN78" s="108">
        <v>-61755000</v>
      </c>
      <c r="AO78" s="108">
        <v>-21480000</v>
      </c>
      <c r="AP78" s="108">
        <v>-48330000</v>
      </c>
      <c r="AQ78" s="108">
        <v>-26850000</v>
      </c>
      <c r="AR78" s="108">
        <v>-42960000</v>
      </c>
      <c r="AS78" s="108">
        <v>-53700000</v>
      </c>
    </row>
    <row r="79" spans="1:45">
      <c r="A79" s="92" t="s">
        <v>721</v>
      </c>
      <c r="B79" s="95" t="s">
        <v>165</v>
      </c>
      <c r="C79" s="92" t="s">
        <v>166</v>
      </c>
      <c r="D79" s="96" t="s">
        <v>339</v>
      </c>
      <c r="E79" s="97">
        <v>34100</v>
      </c>
      <c r="F79" s="107" t="s">
        <v>668</v>
      </c>
      <c r="G79" s="107" t="s">
        <v>668</v>
      </c>
      <c r="H79" s="107" t="s">
        <v>668</v>
      </c>
      <c r="I79" s="107" t="s">
        <v>668</v>
      </c>
      <c r="J79" s="107" t="s">
        <v>668</v>
      </c>
      <c r="K79" s="107" t="s">
        <v>668</v>
      </c>
      <c r="L79" s="107" t="s">
        <v>668</v>
      </c>
      <c r="M79" s="107" t="s">
        <v>668</v>
      </c>
      <c r="N79" s="98">
        <v>0.69</v>
      </c>
      <c r="O79" s="98">
        <v>0.76</v>
      </c>
      <c r="P79" s="98">
        <v>0.69</v>
      </c>
      <c r="Q79" s="98">
        <v>0.69</v>
      </c>
      <c r="R79" s="98">
        <v>0.7</v>
      </c>
      <c r="S79" s="98">
        <v>0.7</v>
      </c>
      <c r="T79" s="98">
        <v>0.77</v>
      </c>
      <c r="U79" s="98">
        <v>0.7</v>
      </c>
      <c r="V79" s="108">
        <v>-2933</v>
      </c>
      <c r="W79" s="108">
        <v>-2579</v>
      </c>
      <c r="X79" s="108">
        <v>-2514</v>
      </c>
      <c r="Y79" s="108">
        <v>-1083</v>
      </c>
      <c r="Z79" s="108">
        <v>-1970</v>
      </c>
      <c r="AA79" s="108">
        <v>-1143</v>
      </c>
      <c r="AB79" s="108">
        <v>-2018</v>
      </c>
      <c r="AC79" s="108">
        <v>-2202</v>
      </c>
      <c r="AD79" s="98">
        <v>-13.25</v>
      </c>
      <c r="AE79" s="98">
        <v>-9.81</v>
      </c>
      <c r="AF79" s="98">
        <v>-19.54</v>
      </c>
      <c r="AG79" s="98">
        <v>-29.65</v>
      </c>
      <c r="AH79" s="98">
        <v>-19.899999999999999</v>
      </c>
      <c r="AI79" s="98">
        <v>-20.2</v>
      </c>
      <c r="AJ79" s="98">
        <v>-14.28</v>
      </c>
      <c r="AK79" s="98">
        <v>-10.98</v>
      </c>
      <c r="AL79" s="108">
        <v>-100015300</v>
      </c>
      <c r="AM79" s="108">
        <v>-87943900</v>
      </c>
      <c r="AN79" s="108">
        <v>-85727400</v>
      </c>
      <c r="AO79" s="108">
        <v>-36930300</v>
      </c>
      <c r="AP79" s="108">
        <v>-67177000</v>
      </c>
      <c r="AQ79" s="108">
        <v>-38976300</v>
      </c>
      <c r="AR79" s="108">
        <v>-68813800</v>
      </c>
      <c r="AS79" s="108">
        <v>-75088200</v>
      </c>
    </row>
    <row r="80" spans="1:45">
      <c r="A80" s="92" t="s">
        <v>722</v>
      </c>
      <c r="B80" s="95" t="s">
        <v>425</v>
      </c>
      <c r="C80" s="92" t="s">
        <v>424</v>
      </c>
      <c r="D80" s="96" t="s">
        <v>339</v>
      </c>
      <c r="E80" s="97">
        <v>108000</v>
      </c>
      <c r="F80" s="107" t="s">
        <v>668</v>
      </c>
      <c r="G80" s="107" t="s">
        <v>668</v>
      </c>
      <c r="H80" s="107" t="s">
        <v>668</v>
      </c>
      <c r="I80" s="107" t="s">
        <v>668</v>
      </c>
      <c r="J80" s="107" t="s">
        <v>668</v>
      </c>
      <c r="K80" s="107" t="s">
        <v>668</v>
      </c>
      <c r="L80" s="107" t="s">
        <v>668</v>
      </c>
      <c r="M80" s="107" t="s">
        <v>668</v>
      </c>
      <c r="N80" s="98">
        <v>1.59</v>
      </c>
      <c r="O80" s="98">
        <v>1.74</v>
      </c>
      <c r="P80" s="98">
        <v>1.6</v>
      </c>
      <c r="Q80" s="98">
        <v>1.65</v>
      </c>
      <c r="R80" s="98">
        <v>1.61</v>
      </c>
      <c r="S80" s="98">
        <v>1.59</v>
      </c>
      <c r="T80" s="98">
        <v>1.57</v>
      </c>
      <c r="U80" s="98">
        <v>1.59</v>
      </c>
      <c r="V80" s="108">
        <v>-2130</v>
      </c>
      <c r="W80" s="108">
        <v>-1870</v>
      </c>
      <c r="X80" s="108">
        <v>-1820</v>
      </c>
      <c r="Y80" s="108">
        <v>-810</v>
      </c>
      <c r="Z80" s="108">
        <v>-1420</v>
      </c>
      <c r="AA80" s="108">
        <v>-820</v>
      </c>
      <c r="AB80" s="108">
        <v>-1290</v>
      </c>
      <c r="AC80" s="108">
        <v>-1580</v>
      </c>
      <c r="AD80" s="98">
        <v>2.84</v>
      </c>
      <c r="AE80" s="98">
        <v>2.5099999999999998</v>
      </c>
      <c r="AF80" s="98">
        <v>2.5099999999999998</v>
      </c>
      <c r="AG80" s="98">
        <v>0.9</v>
      </c>
      <c r="AH80" s="98">
        <v>2.76</v>
      </c>
      <c r="AI80" s="98">
        <v>2.98</v>
      </c>
      <c r="AJ80" s="98">
        <v>2.66</v>
      </c>
      <c r="AK80" s="98">
        <v>2.52</v>
      </c>
      <c r="AL80" s="108">
        <v>-230040000</v>
      </c>
      <c r="AM80" s="108">
        <v>-201960000</v>
      </c>
      <c r="AN80" s="108">
        <v>-196560000</v>
      </c>
      <c r="AO80" s="108">
        <v>-87480000</v>
      </c>
      <c r="AP80" s="108">
        <v>-153360000</v>
      </c>
      <c r="AQ80" s="108">
        <v>-88560000</v>
      </c>
      <c r="AR80" s="108">
        <v>-139320000</v>
      </c>
      <c r="AS80" s="108">
        <v>-170640000</v>
      </c>
    </row>
    <row r="81" spans="1:45">
      <c r="A81" s="92" t="s">
        <v>723</v>
      </c>
      <c r="B81" s="95" t="s">
        <v>316</v>
      </c>
      <c r="C81" s="92" t="s">
        <v>317</v>
      </c>
      <c r="D81" s="96" t="s">
        <v>339</v>
      </c>
      <c r="E81" s="97">
        <v>25500</v>
      </c>
      <c r="F81" s="107" t="s">
        <v>668</v>
      </c>
      <c r="G81" s="107" t="s">
        <v>668</v>
      </c>
      <c r="H81" s="107" t="s">
        <v>668</v>
      </c>
      <c r="I81" s="107" t="s">
        <v>668</v>
      </c>
      <c r="J81" s="107" t="s">
        <v>668</v>
      </c>
      <c r="K81" s="107" t="s">
        <v>668</v>
      </c>
      <c r="L81" s="107" t="s">
        <v>668</v>
      </c>
      <c r="M81" s="107" t="s">
        <v>668</v>
      </c>
      <c r="N81" s="98">
        <v>0.44</v>
      </c>
      <c r="O81" s="98">
        <v>0.47</v>
      </c>
      <c r="P81" s="98">
        <v>0.43</v>
      </c>
      <c r="Q81" s="98">
        <v>0.36</v>
      </c>
      <c r="R81" s="98">
        <v>0.44</v>
      </c>
      <c r="S81" s="98">
        <v>0.43</v>
      </c>
      <c r="T81" s="98">
        <v>0.43</v>
      </c>
      <c r="U81" s="98">
        <v>0.43</v>
      </c>
      <c r="V81" s="108">
        <v>-2510</v>
      </c>
      <c r="W81" s="108">
        <v>-2170</v>
      </c>
      <c r="X81" s="108">
        <v>-2090</v>
      </c>
      <c r="Y81" s="108">
        <v>-760</v>
      </c>
      <c r="Z81" s="108">
        <v>-1670</v>
      </c>
      <c r="AA81" s="108">
        <v>-950</v>
      </c>
      <c r="AB81" s="108">
        <v>-1500</v>
      </c>
      <c r="AC81" s="108">
        <v>-1830</v>
      </c>
      <c r="AD81" s="98">
        <v>11.97</v>
      </c>
      <c r="AE81" s="98">
        <v>11.96</v>
      </c>
      <c r="AF81" s="98">
        <v>11.96</v>
      </c>
      <c r="AG81" s="98">
        <v>11.96</v>
      </c>
      <c r="AH81" s="98">
        <v>11.97</v>
      </c>
      <c r="AI81" s="98">
        <v>11.95</v>
      </c>
      <c r="AJ81" s="98">
        <v>11.95</v>
      </c>
      <c r="AK81" s="98">
        <v>11.96</v>
      </c>
      <c r="AL81" s="108">
        <v>-64005000</v>
      </c>
      <c r="AM81" s="108">
        <v>-55335000</v>
      </c>
      <c r="AN81" s="108">
        <v>-53295000</v>
      </c>
      <c r="AO81" s="108">
        <v>-19380000</v>
      </c>
      <c r="AP81" s="108">
        <v>-42585000</v>
      </c>
      <c r="AQ81" s="108">
        <v>-24225000</v>
      </c>
      <c r="AR81" s="108">
        <v>-38250000</v>
      </c>
      <c r="AS81" s="108">
        <v>-46665000</v>
      </c>
    </row>
    <row r="82" spans="1:45">
      <c r="A82" s="92" t="s">
        <v>724</v>
      </c>
      <c r="B82" s="95" t="s">
        <v>240</v>
      </c>
      <c r="C82" s="92" t="s">
        <v>241</v>
      </c>
      <c r="D82" s="96" t="s">
        <v>339</v>
      </c>
      <c r="E82" s="97">
        <v>83800</v>
      </c>
      <c r="F82" s="107" t="s">
        <v>668</v>
      </c>
      <c r="G82" s="107" t="s">
        <v>668</v>
      </c>
      <c r="H82" s="107" t="s">
        <v>668</v>
      </c>
      <c r="I82" s="107" t="s">
        <v>668</v>
      </c>
      <c r="J82" s="107" t="s">
        <v>668</v>
      </c>
      <c r="K82" s="107" t="s">
        <v>668</v>
      </c>
      <c r="L82" s="107" t="s">
        <v>668</v>
      </c>
      <c r="M82" s="107" t="s">
        <v>668</v>
      </c>
      <c r="N82" s="98">
        <v>1.44</v>
      </c>
      <c r="O82" s="98">
        <v>1.57</v>
      </c>
      <c r="P82" s="98">
        <v>1.42</v>
      </c>
      <c r="Q82" s="98">
        <v>1.35</v>
      </c>
      <c r="R82" s="98">
        <v>1.46</v>
      </c>
      <c r="S82" s="98">
        <v>1.43</v>
      </c>
      <c r="T82" s="98">
        <v>1.4</v>
      </c>
      <c r="U82" s="98">
        <v>1.41</v>
      </c>
      <c r="V82" s="108">
        <v>-2499</v>
      </c>
      <c r="W82" s="108">
        <v>-2168</v>
      </c>
      <c r="X82" s="108">
        <v>-2087</v>
      </c>
      <c r="Y82" s="108">
        <v>-855</v>
      </c>
      <c r="Z82" s="108">
        <v>-1662</v>
      </c>
      <c r="AA82" s="108">
        <v>-948</v>
      </c>
      <c r="AB82" s="108">
        <v>-1483</v>
      </c>
      <c r="AC82" s="108">
        <v>-1813</v>
      </c>
      <c r="AD82" s="98">
        <v>4.45</v>
      </c>
      <c r="AE82" s="98">
        <v>4.3899999999999997</v>
      </c>
      <c r="AF82" s="98">
        <v>4.3499999999999996</v>
      </c>
      <c r="AG82" s="98">
        <v>4.34</v>
      </c>
      <c r="AH82" s="98">
        <v>4.37</v>
      </c>
      <c r="AI82" s="98">
        <v>4.43</v>
      </c>
      <c r="AJ82" s="98">
        <v>1.55</v>
      </c>
      <c r="AK82" s="98">
        <v>4.38</v>
      </c>
      <c r="AL82" s="108">
        <v>-209416200</v>
      </c>
      <c r="AM82" s="108">
        <v>-181678400</v>
      </c>
      <c r="AN82" s="108">
        <v>-174890600</v>
      </c>
      <c r="AO82" s="108">
        <v>-71649000</v>
      </c>
      <c r="AP82" s="108">
        <v>-139275600</v>
      </c>
      <c r="AQ82" s="108">
        <v>-79442400</v>
      </c>
      <c r="AR82" s="108">
        <v>-124275400</v>
      </c>
      <c r="AS82" s="108">
        <v>-151929400</v>
      </c>
    </row>
    <row r="83" spans="1:45">
      <c r="A83" s="92" t="s">
        <v>725</v>
      </c>
      <c r="B83" s="95" t="s">
        <v>218</v>
      </c>
      <c r="C83" s="92" t="s">
        <v>219</v>
      </c>
      <c r="D83" s="96" t="s">
        <v>339</v>
      </c>
      <c r="E83" s="97">
        <v>24200</v>
      </c>
      <c r="F83" s="107" t="s">
        <v>668</v>
      </c>
      <c r="G83" s="107" t="s">
        <v>668</v>
      </c>
      <c r="H83" s="107" t="s">
        <v>668</v>
      </c>
      <c r="I83" s="107" t="s">
        <v>668</v>
      </c>
      <c r="J83" s="107" t="s">
        <v>668</v>
      </c>
      <c r="K83" s="107" t="s">
        <v>668</v>
      </c>
      <c r="L83" s="107" t="s">
        <v>668</v>
      </c>
      <c r="M83" s="107" t="s">
        <v>668</v>
      </c>
      <c r="N83" s="98">
        <v>1.63</v>
      </c>
      <c r="O83" s="98">
        <v>1.78</v>
      </c>
      <c r="P83" s="98">
        <v>1.58</v>
      </c>
      <c r="Q83" s="98">
        <v>1.57</v>
      </c>
      <c r="R83" s="98">
        <v>1.6</v>
      </c>
      <c r="S83" s="98">
        <v>1.59</v>
      </c>
      <c r="T83" s="98">
        <v>1.57</v>
      </c>
      <c r="U83" s="98">
        <v>1.59</v>
      </c>
      <c r="V83" s="108">
        <v>-9745</v>
      </c>
      <c r="W83" s="108">
        <v>-8517</v>
      </c>
      <c r="X83" s="108">
        <v>-8036</v>
      </c>
      <c r="Y83" s="108">
        <v>-3437</v>
      </c>
      <c r="Z83" s="108">
        <v>-6299</v>
      </c>
      <c r="AA83" s="108">
        <v>-3660</v>
      </c>
      <c r="AB83" s="108">
        <v>-5748</v>
      </c>
      <c r="AC83" s="108">
        <v>-7044</v>
      </c>
      <c r="AD83" s="98">
        <v>7.92</v>
      </c>
      <c r="AE83" s="98">
        <v>8.06</v>
      </c>
      <c r="AF83" s="98">
        <v>6.58</v>
      </c>
      <c r="AG83" s="98">
        <v>9.74</v>
      </c>
      <c r="AH83" s="98">
        <v>7.93</v>
      </c>
      <c r="AI83" s="98">
        <v>7.77</v>
      </c>
      <c r="AJ83" s="98">
        <v>6.63</v>
      </c>
      <c r="AK83" s="98">
        <v>6.61</v>
      </c>
      <c r="AL83" s="108">
        <v>-235829000</v>
      </c>
      <c r="AM83" s="108">
        <v>-206111400</v>
      </c>
      <c r="AN83" s="108">
        <v>-194471200</v>
      </c>
      <c r="AO83" s="108">
        <v>-83175400</v>
      </c>
      <c r="AP83" s="108">
        <v>-152435800</v>
      </c>
      <c r="AQ83" s="108">
        <v>-88572000</v>
      </c>
      <c r="AR83" s="108">
        <v>-139101600</v>
      </c>
      <c r="AS83" s="108">
        <v>-170464800</v>
      </c>
    </row>
    <row r="84" spans="1:45">
      <c r="A84" s="92" t="s">
        <v>726</v>
      </c>
      <c r="B84" s="95" t="s">
        <v>263</v>
      </c>
      <c r="C84" s="92" t="s">
        <v>264</v>
      </c>
      <c r="D84" s="96" t="s">
        <v>339</v>
      </c>
      <c r="E84" s="97">
        <v>125000</v>
      </c>
      <c r="F84" s="107" t="s">
        <v>668</v>
      </c>
      <c r="G84" s="107" t="s">
        <v>668</v>
      </c>
      <c r="H84" s="107" t="s">
        <v>668</v>
      </c>
      <c r="I84" s="107" t="s">
        <v>668</v>
      </c>
      <c r="J84" s="107" t="s">
        <v>668</v>
      </c>
      <c r="K84" s="107" t="s">
        <v>668</v>
      </c>
      <c r="L84" s="107" t="s">
        <v>668</v>
      </c>
      <c r="M84" s="107" t="s">
        <v>668</v>
      </c>
      <c r="N84" s="98">
        <v>1.58</v>
      </c>
      <c r="O84" s="98">
        <v>1.66</v>
      </c>
      <c r="P84" s="98">
        <v>1.63</v>
      </c>
      <c r="Q84" s="98">
        <v>1.08</v>
      </c>
      <c r="R84" s="98">
        <v>1.57</v>
      </c>
      <c r="S84" s="98">
        <v>1.57</v>
      </c>
      <c r="T84" s="98">
        <v>1.54</v>
      </c>
      <c r="U84" s="98">
        <v>1.53</v>
      </c>
      <c r="V84" s="108">
        <v>-1830</v>
      </c>
      <c r="W84" s="108">
        <v>-1540</v>
      </c>
      <c r="X84" s="108">
        <v>-1600</v>
      </c>
      <c r="Y84" s="108">
        <v>-460</v>
      </c>
      <c r="Z84" s="108">
        <v>-1200</v>
      </c>
      <c r="AA84" s="108">
        <v>-700</v>
      </c>
      <c r="AB84" s="108">
        <v>-1089</v>
      </c>
      <c r="AC84" s="108">
        <v>-1320</v>
      </c>
      <c r="AD84" s="98">
        <v>3.79</v>
      </c>
      <c r="AE84" s="98">
        <v>3.66</v>
      </c>
      <c r="AF84" s="98">
        <v>3.89</v>
      </c>
      <c r="AG84" s="98">
        <v>-0.82</v>
      </c>
      <c r="AH84" s="98">
        <v>-0.81</v>
      </c>
      <c r="AI84" s="98">
        <v>-0.84</v>
      </c>
      <c r="AJ84" s="98">
        <v>3.51</v>
      </c>
      <c r="AK84" s="98">
        <v>3.79</v>
      </c>
      <c r="AL84" s="108">
        <v>-228750000</v>
      </c>
      <c r="AM84" s="108">
        <v>-192500000</v>
      </c>
      <c r="AN84" s="108">
        <v>-200000000</v>
      </c>
      <c r="AO84" s="108">
        <v>-57500000</v>
      </c>
      <c r="AP84" s="108">
        <v>-150000000</v>
      </c>
      <c r="AQ84" s="108">
        <v>-87500000</v>
      </c>
      <c r="AR84" s="108">
        <v>-136125000</v>
      </c>
      <c r="AS84" s="108">
        <v>-165000000</v>
      </c>
    </row>
    <row r="85" spans="1:45">
      <c r="A85" s="92" t="s">
        <v>727</v>
      </c>
      <c r="B85" s="95" t="s">
        <v>416</v>
      </c>
      <c r="C85" s="92" t="s">
        <v>415</v>
      </c>
      <c r="D85" s="96" t="s">
        <v>339</v>
      </c>
      <c r="E85" s="97">
        <v>18700</v>
      </c>
      <c r="F85" s="107" t="s">
        <v>668</v>
      </c>
      <c r="G85" s="107" t="s">
        <v>668</v>
      </c>
      <c r="H85" s="107" t="s">
        <v>668</v>
      </c>
      <c r="I85" s="107" t="s">
        <v>668</v>
      </c>
      <c r="J85" s="107" t="s">
        <v>668</v>
      </c>
      <c r="K85" s="107" t="s">
        <v>668</v>
      </c>
      <c r="L85" s="107" t="s">
        <v>668</v>
      </c>
      <c r="M85" s="107" t="s">
        <v>668</v>
      </c>
      <c r="N85" s="98">
        <v>0.54</v>
      </c>
      <c r="O85" s="98">
        <v>0.56999999999999995</v>
      </c>
      <c r="P85" s="98">
        <v>0.52</v>
      </c>
      <c r="Q85" s="98">
        <v>0.43</v>
      </c>
      <c r="R85" s="98">
        <v>0.53</v>
      </c>
      <c r="S85" s="98">
        <v>0.54</v>
      </c>
      <c r="T85" s="98">
        <v>0.51</v>
      </c>
      <c r="U85" s="98">
        <v>0.52</v>
      </c>
      <c r="V85" s="108">
        <v>-4230</v>
      </c>
      <c r="W85" s="108">
        <v>-3540</v>
      </c>
      <c r="X85" s="108">
        <v>-3410</v>
      </c>
      <c r="Y85" s="108">
        <v>-1240</v>
      </c>
      <c r="Z85" s="108">
        <v>-2720</v>
      </c>
      <c r="AA85" s="108">
        <v>-1610</v>
      </c>
      <c r="AB85" s="108">
        <v>-2430</v>
      </c>
      <c r="AC85" s="108">
        <v>-2990</v>
      </c>
      <c r="AD85" s="98">
        <v>-6.19</v>
      </c>
      <c r="AE85" s="98">
        <v>-6.19</v>
      </c>
      <c r="AF85" s="98">
        <v>-6.19</v>
      </c>
      <c r="AG85" s="98">
        <v>-6.19</v>
      </c>
      <c r="AH85" s="98">
        <v>-6.19</v>
      </c>
      <c r="AI85" s="98">
        <v>-6.19</v>
      </c>
      <c r="AJ85" s="98">
        <v>-6.2</v>
      </c>
      <c r="AK85" s="98">
        <v>-6.19</v>
      </c>
      <c r="AL85" s="108">
        <v>-79101000</v>
      </c>
      <c r="AM85" s="108">
        <v>-66198000</v>
      </c>
      <c r="AN85" s="108">
        <v>-63767000</v>
      </c>
      <c r="AO85" s="108">
        <v>-23188000</v>
      </c>
      <c r="AP85" s="108">
        <v>-50864000</v>
      </c>
      <c r="AQ85" s="108">
        <v>-30107000</v>
      </c>
      <c r="AR85" s="108">
        <v>-45441000</v>
      </c>
      <c r="AS85" s="108">
        <v>-55913000</v>
      </c>
    </row>
    <row r="86" spans="1:45">
      <c r="A86" s="92" t="s">
        <v>728</v>
      </c>
      <c r="B86" s="95" t="s">
        <v>280</v>
      </c>
      <c r="C86" s="92" t="s">
        <v>281</v>
      </c>
      <c r="D86" s="96" t="s">
        <v>339</v>
      </c>
      <c r="E86" s="97">
        <v>158000</v>
      </c>
      <c r="F86" s="107" t="s">
        <v>668</v>
      </c>
      <c r="G86" s="107" t="s">
        <v>668</v>
      </c>
      <c r="H86" s="107" t="s">
        <v>668</v>
      </c>
      <c r="I86" s="107" t="s">
        <v>668</v>
      </c>
      <c r="J86" s="107" t="s">
        <v>668</v>
      </c>
      <c r="K86" s="107" t="s">
        <v>668</v>
      </c>
      <c r="L86" s="107" t="s">
        <v>668</v>
      </c>
      <c r="M86" s="107" t="s">
        <v>668</v>
      </c>
      <c r="N86" s="98">
        <v>2.0699999999999998</v>
      </c>
      <c r="O86" s="98">
        <v>2.15</v>
      </c>
      <c r="P86" s="98">
        <v>1.98</v>
      </c>
      <c r="Q86" s="98">
        <v>1.67</v>
      </c>
      <c r="R86" s="98">
        <v>2.04</v>
      </c>
      <c r="S86" s="98">
        <v>2.04</v>
      </c>
      <c r="T86" s="98">
        <v>1.95</v>
      </c>
      <c r="U86" s="98">
        <v>1.98</v>
      </c>
      <c r="V86" s="108">
        <v>-1900</v>
      </c>
      <c r="W86" s="108">
        <v>-1580</v>
      </c>
      <c r="X86" s="108">
        <v>-1540</v>
      </c>
      <c r="Y86" s="108">
        <v>-560</v>
      </c>
      <c r="Z86" s="108">
        <v>-1230</v>
      </c>
      <c r="AA86" s="108">
        <v>-720</v>
      </c>
      <c r="AB86" s="108">
        <v>-1092</v>
      </c>
      <c r="AC86" s="108">
        <v>-1350</v>
      </c>
      <c r="AD86" s="98">
        <v>5.09</v>
      </c>
      <c r="AE86" s="98">
        <v>5.0999999999999996</v>
      </c>
      <c r="AF86" s="98">
        <v>5.41</v>
      </c>
      <c r="AG86" s="98">
        <v>4.42</v>
      </c>
      <c r="AH86" s="98">
        <v>5.16</v>
      </c>
      <c r="AI86" s="98">
        <v>5.1100000000000003</v>
      </c>
      <c r="AJ86" s="98">
        <v>4.68</v>
      </c>
      <c r="AK86" s="98">
        <v>5.13</v>
      </c>
      <c r="AL86" s="108">
        <v>-300200000</v>
      </c>
      <c r="AM86" s="108">
        <v>-249640000</v>
      </c>
      <c r="AN86" s="108">
        <v>-243320000</v>
      </c>
      <c r="AO86" s="108">
        <v>-88480000</v>
      </c>
      <c r="AP86" s="108">
        <v>-194340000</v>
      </c>
      <c r="AQ86" s="108">
        <v>-113760000</v>
      </c>
      <c r="AR86" s="108">
        <v>-172536000</v>
      </c>
      <c r="AS86" s="108">
        <v>-213300000</v>
      </c>
    </row>
    <row r="87" spans="1:45">
      <c r="A87" s="92" t="s">
        <v>729</v>
      </c>
      <c r="B87" s="95" t="s">
        <v>411</v>
      </c>
      <c r="C87" s="92" t="s">
        <v>410</v>
      </c>
      <c r="D87" s="96" t="s">
        <v>339</v>
      </c>
      <c r="E87" s="97">
        <v>61600</v>
      </c>
      <c r="F87" s="107" t="s">
        <v>668</v>
      </c>
      <c r="G87" s="107" t="s">
        <v>668</v>
      </c>
      <c r="H87" s="107" t="s">
        <v>668</v>
      </c>
      <c r="I87" s="107" t="s">
        <v>668</v>
      </c>
      <c r="J87" s="107" t="s">
        <v>668</v>
      </c>
      <c r="K87" s="107" t="s">
        <v>668</v>
      </c>
      <c r="L87" s="107" t="s">
        <v>668</v>
      </c>
      <c r="M87" s="107" t="s">
        <v>668</v>
      </c>
      <c r="N87" s="98">
        <v>0.99</v>
      </c>
      <c r="O87" s="98">
        <v>1.04</v>
      </c>
      <c r="P87" s="98">
        <v>0.94</v>
      </c>
      <c r="Q87" s="98">
        <v>0.72</v>
      </c>
      <c r="R87" s="98">
        <v>0.97</v>
      </c>
      <c r="S87" s="98">
        <v>0.97</v>
      </c>
      <c r="T87" s="98">
        <v>0.96</v>
      </c>
      <c r="U87" s="98">
        <v>0.95</v>
      </c>
      <c r="V87" s="108">
        <v>-2330</v>
      </c>
      <c r="W87" s="108">
        <v>-1960</v>
      </c>
      <c r="X87" s="108">
        <v>-1880</v>
      </c>
      <c r="Y87" s="108">
        <v>-620</v>
      </c>
      <c r="Z87" s="108">
        <v>-1500</v>
      </c>
      <c r="AA87" s="108">
        <v>-880</v>
      </c>
      <c r="AB87" s="108">
        <v>-1386</v>
      </c>
      <c r="AC87" s="108">
        <v>-1670</v>
      </c>
      <c r="AD87" s="98">
        <v>3.82</v>
      </c>
      <c r="AE87" s="98">
        <v>3.81</v>
      </c>
      <c r="AF87" s="98">
        <v>3.81</v>
      </c>
      <c r="AG87" s="98">
        <v>3.81</v>
      </c>
      <c r="AH87" s="98">
        <v>3.81</v>
      </c>
      <c r="AI87" s="98">
        <v>3.8</v>
      </c>
      <c r="AJ87" s="98">
        <v>3.8</v>
      </c>
      <c r="AK87" s="98">
        <v>3.81</v>
      </c>
      <c r="AL87" s="108">
        <v>-143528000</v>
      </c>
      <c r="AM87" s="108">
        <v>-120736000</v>
      </c>
      <c r="AN87" s="108">
        <v>-115808000</v>
      </c>
      <c r="AO87" s="108">
        <v>-38192000</v>
      </c>
      <c r="AP87" s="108">
        <v>-92400000</v>
      </c>
      <c r="AQ87" s="108">
        <v>-54208000</v>
      </c>
      <c r="AR87" s="108">
        <v>-85377600</v>
      </c>
      <c r="AS87" s="108">
        <v>-102872000</v>
      </c>
    </row>
    <row r="88" spans="1:45">
      <c r="A88" s="92" t="s">
        <v>730</v>
      </c>
      <c r="B88" s="95" t="s">
        <v>296</v>
      </c>
      <c r="C88" s="92" t="s">
        <v>297</v>
      </c>
      <c r="D88" s="96" t="s">
        <v>339</v>
      </c>
      <c r="E88" s="97">
        <v>30650</v>
      </c>
      <c r="F88" s="107" t="s">
        <v>668</v>
      </c>
      <c r="G88" s="107" t="s">
        <v>668</v>
      </c>
      <c r="H88" s="107" t="s">
        <v>668</v>
      </c>
      <c r="I88" s="107" t="s">
        <v>668</v>
      </c>
      <c r="J88" s="107" t="s">
        <v>668</v>
      </c>
      <c r="K88" s="107" t="s">
        <v>668</v>
      </c>
      <c r="L88" s="107" t="s">
        <v>668</v>
      </c>
      <c r="M88" s="107" t="s">
        <v>668</v>
      </c>
      <c r="N88" s="98">
        <v>1.72</v>
      </c>
      <c r="O88" s="98">
        <v>1.85</v>
      </c>
      <c r="P88" s="98">
        <v>1.68</v>
      </c>
      <c r="Q88" s="98">
        <v>1.65</v>
      </c>
      <c r="R88" s="98">
        <v>1.69</v>
      </c>
      <c r="S88" s="98">
        <v>1.68</v>
      </c>
      <c r="T88" s="98">
        <v>1.65</v>
      </c>
      <c r="U88" s="98">
        <v>1.68</v>
      </c>
      <c r="V88" s="108">
        <v>-8134</v>
      </c>
      <c r="W88" s="108">
        <v>-7000</v>
      </c>
      <c r="X88" s="108">
        <v>-6736</v>
      </c>
      <c r="Y88" s="108">
        <v>-2866</v>
      </c>
      <c r="Z88" s="108">
        <v>-5247</v>
      </c>
      <c r="AA88" s="108">
        <v>-3058</v>
      </c>
      <c r="AB88" s="108">
        <v>-4775</v>
      </c>
      <c r="AC88" s="108">
        <v>-5883</v>
      </c>
      <c r="AD88" s="98">
        <v>11.76</v>
      </c>
      <c r="AE88" s="98">
        <v>11.59</v>
      </c>
      <c r="AF88" s="98">
        <v>11.77</v>
      </c>
      <c r="AG88" s="98">
        <v>10.42</v>
      </c>
      <c r="AH88" s="98">
        <v>11.76</v>
      </c>
      <c r="AI88" s="98">
        <v>11.83</v>
      </c>
      <c r="AJ88" s="98">
        <v>11.72</v>
      </c>
      <c r="AK88" s="98">
        <v>11.64</v>
      </c>
      <c r="AL88" s="108">
        <v>-249307100</v>
      </c>
      <c r="AM88" s="108">
        <v>-214550000</v>
      </c>
      <c r="AN88" s="108">
        <v>-206458400</v>
      </c>
      <c r="AO88" s="108">
        <v>-87842900</v>
      </c>
      <c r="AP88" s="108">
        <v>-160820550</v>
      </c>
      <c r="AQ88" s="108">
        <v>-93727700</v>
      </c>
      <c r="AR88" s="108">
        <v>-146353750</v>
      </c>
      <c r="AS88" s="108">
        <v>-180313950</v>
      </c>
    </row>
    <row r="89" spans="1:45">
      <c r="A89" s="92" t="s">
        <v>731</v>
      </c>
      <c r="B89" s="95" t="s">
        <v>312</v>
      </c>
      <c r="C89" s="92" t="s">
        <v>313</v>
      </c>
      <c r="D89" s="96" t="s">
        <v>339</v>
      </c>
      <c r="E89" s="97">
        <v>122800</v>
      </c>
      <c r="F89" s="107" t="s">
        <v>668</v>
      </c>
      <c r="G89" s="107" t="s">
        <v>668</v>
      </c>
      <c r="H89" s="107" t="s">
        <v>668</v>
      </c>
      <c r="I89" s="107" t="s">
        <v>668</v>
      </c>
      <c r="J89" s="107" t="s">
        <v>668</v>
      </c>
      <c r="K89" s="107" t="s">
        <v>668</v>
      </c>
      <c r="L89" s="107" t="s">
        <v>668</v>
      </c>
      <c r="M89" s="107" t="s">
        <v>668</v>
      </c>
      <c r="N89" s="98">
        <v>0.49</v>
      </c>
      <c r="O89" s="98">
        <v>0.5</v>
      </c>
      <c r="P89" s="98">
        <v>0.47</v>
      </c>
      <c r="Q89" s="98">
        <v>0.37</v>
      </c>
      <c r="R89" s="98">
        <v>0.47</v>
      </c>
      <c r="S89" s="98">
        <v>0.46</v>
      </c>
      <c r="T89" s="98">
        <v>0.45</v>
      </c>
      <c r="U89" s="98">
        <v>0.45</v>
      </c>
      <c r="V89" s="108">
        <v>-580</v>
      </c>
      <c r="W89" s="108">
        <v>-480</v>
      </c>
      <c r="X89" s="108">
        <v>-470</v>
      </c>
      <c r="Y89" s="108">
        <v>-160</v>
      </c>
      <c r="Z89" s="108">
        <v>-370</v>
      </c>
      <c r="AA89" s="108">
        <v>-210</v>
      </c>
      <c r="AB89" s="108">
        <v>-330</v>
      </c>
      <c r="AC89" s="108">
        <v>-400</v>
      </c>
      <c r="AD89" s="98">
        <v>3.35</v>
      </c>
      <c r="AE89" s="98">
        <v>3.35</v>
      </c>
      <c r="AF89" s="98">
        <v>3.35</v>
      </c>
      <c r="AG89" s="98">
        <v>3.35</v>
      </c>
      <c r="AH89" s="98">
        <v>3.35</v>
      </c>
      <c r="AI89" s="98">
        <v>3.35</v>
      </c>
      <c r="AJ89" s="98">
        <v>3.35</v>
      </c>
      <c r="AK89" s="98">
        <v>3.35</v>
      </c>
      <c r="AL89" s="108">
        <v>-71224000</v>
      </c>
      <c r="AM89" s="108">
        <v>-58944000</v>
      </c>
      <c r="AN89" s="108">
        <v>-57716000</v>
      </c>
      <c r="AO89" s="108">
        <v>-19648000</v>
      </c>
      <c r="AP89" s="108">
        <v>-45436000</v>
      </c>
      <c r="AQ89" s="108">
        <v>-25788000</v>
      </c>
      <c r="AR89" s="108">
        <v>-40524000</v>
      </c>
      <c r="AS89" s="108">
        <v>-49120000</v>
      </c>
    </row>
    <row r="90" spans="1:45">
      <c r="A90" s="99" t="s">
        <v>341</v>
      </c>
      <c r="B90" s="100" t="s">
        <v>604</v>
      </c>
      <c r="C90" s="101" t="s">
        <v>604</v>
      </c>
      <c r="D90" s="101" t="s">
        <v>604</v>
      </c>
      <c r="E90" s="101"/>
      <c r="F90" s="101"/>
      <c r="G90" s="101"/>
      <c r="H90" s="101"/>
      <c r="I90" s="101"/>
      <c r="J90" s="101"/>
      <c r="K90" s="101"/>
      <c r="L90" s="101"/>
      <c r="M90" s="101"/>
      <c r="N90" s="102">
        <v>47.760000000000005</v>
      </c>
      <c r="O90" s="102">
        <v>50.509999999999991</v>
      </c>
      <c r="P90" s="102">
        <v>47.260000000000005</v>
      </c>
      <c r="Q90" s="102">
        <v>42.24</v>
      </c>
      <c r="R90" s="102">
        <v>47.53</v>
      </c>
      <c r="S90" s="102">
        <v>47.240000000000009</v>
      </c>
      <c r="T90" s="102">
        <v>46.58</v>
      </c>
      <c r="U90" s="102">
        <v>46.680000000000014</v>
      </c>
      <c r="V90" s="103">
        <v>-150477</v>
      </c>
      <c r="W90" s="103">
        <v>-128440</v>
      </c>
      <c r="X90" s="103">
        <v>-125192</v>
      </c>
      <c r="Y90" s="103">
        <v>-48901</v>
      </c>
      <c r="Z90" s="103">
        <v>-98093</v>
      </c>
      <c r="AA90" s="103">
        <v>-57054</v>
      </c>
      <c r="AB90" s="103">
        <v>-89169</v>
      </c>
      <c r="AC90" s="103">
        <v>-108853</v>
      </c>
      <c r="AD90" s="101"/>
      <c r="AE90" s="101"/>
      <c r="AF90" s="101"/>
      <c r="AG90" s="101"/>
      <c r="AH90" s="101"/>
      <c r="AI90" s="101"/>
      <c r="AJ90" s="101"/>
      <c r="AK90" s="101"/>
      <c r="AL90" s="103">
        <v>-6926185690</v>
      </c>
      <c r="AM90" s="103">
        <v>-5862339290</v>
      </c>
      <c r="AN90" s="103">
        <v>-5815400170</v>
      </c>
      <c r="AO90" s="103">
        <v>-2246353350</v>
      </c>
      <c r="AP90" s="103">
        <v>-4538290170</v>
      </c>
      <c r="AQ90" s="103">
        <v>-2632611710</v>
      </c>
      <c r="AR90" s="103">
        <v>-4129656060</v>
      </c>
      <c r="AS90" s="103">
        <v>-5025657130</v>
      </c>
    </row>
    <row r="91" spans="1:45">
      <c r="A91" s="92" t="s">
        <v>671</v>
      </c>
      <c r="B91" s="95" t="s">
        <v>322</v>
      </c>
      <c r="C91" s="92" t="s">
        <v>323</v>
      </c>
      <c r="D91" s="96" t="s">
        <v>338</v>
      </c>
      <c r="E91" s="97">
        <v>415000</v>
      </c>
      <c r="F91" s="107" t="s">
        <v>669</v>
      </c>
      <c r="G91" s="107" t="s">
        <v>669</v>
      </c>
      <c r="H91" s="107" t="s">
        <v>669</v>
      </c>
      <c r="I91" s="107" t="s">
        <v>669</v>
      </c>
      <c r="J91" s="107" t="s">
        <v>669</v>
      </c>
      <c r="K91" s="107" t="s">
        <v>669</v>
      </c>
      <c r="L91" s="107" t="s">
        <v>669</v>
      </c>
      <c r="M91" s="107" t="s">
        <v>669</v>
      </c>
      <c r="N91" s="98">
        <v>1.52</v>
      </c>
      <c r="O91" s="98">
        <v>1.65</v>
      </c>
      <c r="P91" s="98">
        <v>1.5</v>
      </c>
      <c r="Q91" s="98">
        <v>1.52</v>
      </c>
      <c r="R91" s="98">
        <v>1.54</v>
      </c>
      <c r="S91" s="98">
        <v>1.53</v>
      </c>
      <c r="T91" s="98">
        <v>1.47</v>
      </c>
      <c r="U91" s="98">
        <v>1.49</v>
      </c>
      <c r="V91" s="108">
        <v>532</v>
      </c>
      <c r="W91" s="108">
        <v>461</v>
      </c>
      <c r="X91" s="108">
        <v>445</v>
      </c>
      <c r="Y91" s="108">
        <v>195</v>
      </c>
      <c r="Z91" s="108">
        <v>353</v>
      </c>
      <c r="AA91" s="108">
        <v>206</v>
      </c>
      <c r="AB91" s="108">
        <v>313</v>
      </c>
      <c r="AC91" s="108">
        <v>387</v>
      </c>
      <c r="AD91" s="98">
        <v>-3.09</v>
      </c>
      <c r="AE91" s="98">
        <v>-3.12</v>
      </c>
      <c r="AF91" s="98">
        <v>-3.15</v>
      </c>
      <c r="AG91" s="98">
        <v>-3.11</v>
      </c>
      <c r="AH91" s="98">
        <v>-3.15</v>
      </c>
      <c r="AI91" s="98">
        <v>-3.13</v>
      </c>
      <c r="AJ91" s="98">
        <v>-3.09</v>
      </c>
      <c r="AK91" s="98">
        <v>-3.16</v>
      </c>
      <c r="AL91" s="108">
        <v>220780000</v>
      </c>
      <c r="AM91" s="108">
        <v>191315000</v>
      </c>
      <c r="AN91" s="108">
        <v>184675000</v>
      </c>
      <c r="AO91" s="108">
        <v>80925000</v>
      </c>
      <c r="AP91" s="108">
        <v>146495000</v>
      </c>
      <c r="AQ91" s="108">
        <v>85490000</v>
      </c>
      <c r="AR91" s="108">
        <v>129895000</v>
      </c>
      <c r="AS91" s="108">
        <v>160605000</v>
      </c>
    </row>
    <row r="92" spans="1:45">
      <c r="A92" s="92" t="s">
        <v>670</v>
      </c>
      <c r="B92" s="95" t="s">
        <v>404</v>
      </c>
      <c r="C92" s="92" t="s">
        <v>403</v>
      </c>
      <c r="D92" s="96" t="s">
        <v>338</v>
      </c>
      <c r="E92" s="97">
        <v>8070</v>
      </c>
      <c r="F92" s="107" t="s">
        <v>669</v>
      </c>
      <c r="G92" s="107" t="s">
        <v>669</v>
      </c>
      <c r="H92" s="107" t="s">
        <v>669</v>
      </c>
      <c r="I92" s="107" t="s">
        <v>669</v>
      </c>
      <c r="J92" s="107" t="s">
        <v>669</v>
      </c>
      <c r="K92" s="107" t="s">
        <v>669</v>
      </c>
      <c r="L92" s="107" t="s">
        <v>669</v>
      </c>
      <c r="M92" s="107" t="s">
        <v>669</v>
      </c>
      <c r="N92" s="98">
        <v>3.67</v>
      </c>
      <c r="O92" s="98">
        <v>4</v>
      </c>
      <c r="P92" s="98">
        <v>3.64</v>
      </c>
      <c r="Q92" s="98">
        <v>3.46</v>
      </c>
      <c r="R92" s="98">
        <v>3.73</v>
      </c>
      <c r="S92" s="98">
        <v>3.65</v>
      </c>
      <c r="T92" s="98">
        <v>3.59</v>
      </c>
      <c r="U92" s="98">
        <v>3.63</v>
      </c>
      <c r="V92" s="108">
        <v>65870</v>
      </c>
      <c r="W92" s="108">
        <v>57380</v>
      </c>
      <c r="X92" s="108">
        <v>55270</v>
      </c>
      <c r="Y92" s="108">
        <v>22720</v>
      </c>
      <c r="Z92" s="108">
        <v>43960</v>
      </c>
      <c r="AA92" s="108">
        <v>25164</v>
      </c>
      <c r="AB92" s="108">
        <v>39280</v>
      </c>
      <c r="AC92" s="108">
        <v>48320</v>
      </c>
      <c r="AD92" s="98">
        <v>-6.41</v>
      </c>
      <c r="AE92" s="98">
        <v>-6.49</v>
      </c>
      <c r="AF92" s="98">
        <v>-6.38</v>
      </c>
      <c r="AG92" s="98">
        <v>-6.91</v>
      </c>
      <c r="AH92" s="98">
        <v>-6.43</v>
      </c>
      <c r="AI92" s="98">
        <v>-6.43</v>
      </c>
      <c r="AJ92" s="98">
        <v>-6.4</v>
      </c>
      <c r="AK92" s="98">
        <v>-6.46</v>
      </c>
      <c r="AL92" s="108">
        <v>531570900</v>
      </c>
      <c r="AM92" s="108">
        <v>463056600</v>
      </c>
      <c r="AN92" s="108">
        <v>446028900</v>
      </c>
      <c r="AO92" s="108">
        <v>183350400</v>
      </c>
      <c r="AP92" s="108">
        <v>354757200</v>
      </c>
      <c r="AQ92" s="108">
        <v>203073480</v>
      </c>
      <c r="AR92" s="108">
        <v>316989600</v>
      </c>
      <c r="AS92" s="108">
        <v>389942400</v>
      </c>
    </row>
    <row r="93" spans="1:45">
      <c r="A93" s="92" t="s">
        <v>732</v>
      </c>
      <c r="B93" s="95" t="s">
        <v>308</v>
      </c>
      <c r="C93" s="92" t="s">
        <v>309</v>
      </c>
      <c r="D93" s="96" t="s">
        <v>339</v>
      </c>
      <c r="E93" s="97">
        <v>41700</v>
      </c>
      <c r="F93" s="107" t="s">
        <v>669</v>
      </c>
      <c r="G93" s="107" t="s">
        <v>669</v>
      </c>
      <c r="H93" s="107" t="s">
        <v>669</v>
      </c>
      <c r="I93" s="107" t="s">
        <v>669</v>
      </c>
      <c r="J93" s="107" t="s">
        <v>669</v>
      </c>
      <c r="K93" s="107" t="s">
        <v>669</v>
      </c>
      <c r="L93" s="107" t="s">
        <v>669</v>
      </c>
      <c r="M93" s="107" t="s">
        <v>669</v>
      </c>
      <c r="N93" s="98">
        <v>3.43</v>
      </c>
      <c r="O93" s="98">
        <v>3.72</v>
      </c>
      <c r="P93" s="98">
        <v>3.38</v>
      </c>
      <c r="Q93" s="98">
        <v>3.21</v>
      </c>
      <c r="R93" s="98">
        <v>3.47</v>
      </c>
      <c r="S93" s="98">
        <v>3.38</v>
      </c>
      <c r="T93" s="98">
        <v>3.35</v>
      </c>
      <c r="U93" s="98">
        <v>3.37</v>
      </c>
      <c r="V93" s="108">
        <v>-11890</v>
      </c>
      <c r="W93" s="108">
        <v>-10330</v>
      </c>
      <c r="X93" s="108">
        <v>-9930</v>
      </c>
      <c r="Y93" s="108">
        <v>-4090</v>
      </c>
      <c r="Z93" s="108">
        <v>-7910</v>
      </c>
      <c r="AA93" s="108">
        <v>-4510</v>
      </c>
      <c r="AB93" s="108">
        <v>-7090</v>
      </c>
      <c r="AC93" s="108">
        <v>-8670</v>
      </c>
      <c r="AD93" s="98">
        <v>5.14</v>
      </c>
      <c r="AE93" s="98">
        <v>5.0599999999999996</v>
      </c>
      <c r="AF93" s="98">
        <v>5.0599999999999996</v>
      </c>
      <c r="AG93" s="98">
        <v>4.7699999999999996</v>
      </c>
      <c r="AH93" s="98">
        <v>5.04</v>
      </c>
      <c r="AI93" s="98">
        <v>5.08</v>
      </c>
      <c r="AJ93" s="98">
        <v>5.0599999999999996</v>
      </c>
      <c r="AK93" s="98">
        <v>5.08</v>
      </c>
      <c r="AL93" s="108">
        <v>-495813000</v>
      </c>
      <c r="AM93" s="108">
        <v>-430761000</v>
      </c>
      <c r="AN93" s="108">
        <v>-414081000</v>
      </c>
      <c r="AO93" s="108">
        <v>-170553000</v>
      </c>
      <c r="AP93" s="108">
        <v>-329847000</v>
      </c>
      <c r="AQ93" s="108">
        <v>-188067000</v>
      </c>
      <c r="AR93" s="108">
        <v>-295653000</v>
      </c>
      <c r="AS93" s="108">
        <v>-361539000</v>
      </c>
    </row>
    <row r="94" spans="1:45">
      <c r="A94" s="92" t="s">
        <v>733</v>
      </c>
      <c r="B94" s="95" t="s">
        <v>90</v>
      </c>
      <c r="C94" s="92" t="s">
        <v>91</v>
      </c>
      <c r="D94" s="96" t="s">
        <v>339</v>
      </c>
      <c r="E94" s="97">
        <v>111500</v>
      </c>
      <c r="F94" s="107" t="s">
        <v>669</v>
      </c>
      <c r="G94" s="107" t="s">
        <v>669</v>
      </c>
      <c r="H94" s="107" t="s">
        <v>669</v>
      </c>
      <c r="I94" s="107" t="s">
        <v>669</v>
      </c>
      <c r="J94" s="107" t="s">
        <v>669</v>
      </c>
      <c r="K94" s="107" t="s">
        <v>669</v>
      </c>
      <c r="L94" s="107" t="s">
        <v>669</v>
      </c>
      <c r="M94" s="107" t="s">
        <v>669</v>
      </c>
      <c r="N94" s="98">
        <v>1.36</v>
      </c>
      <c r="O94" s="98">
        <v>1.48</v>
      </c>
      <c r="P94" s="98">
        <v>1.34</v>
      </c>
      <c r="Q94" s="98">
        <v>1.34</v>
      </c>
      <c r="R94" s="98">
        <v>1.37</v>
      </c>
      <c r="S94" s="98">
        <v>1.34</v>
      </c>
      <c r="T94" s="98">
        <v>1.32</v>
      </c>
      <c r="U94" s="98">
        <v>1.34</v>
      </c>
      <c r="V94" s="108">
        <v>-1770</v>
      </c>
      <c r="W94" s="108">
        <v>-1540</v>
      </c>
      <c r="X94" s="108">
        <v>-1480</v>
      </c>
      <c r="Y94" s="108">
        <v>-640</v>
      </c>
      <c r="Z94" s="108">
        <v>-1170</v>
      </c>
      <c r="AA94" s="108">
        <v>-670</v>
      </c>
      <c r="AB94" s="108">
        <v>-1050</v>
      </c>
      <c r="AC94" s="108">
        <v>-1290</v>
      </c>
      <c r="AD94" s="98">
        <v>8.4</v>
      </c>
      <c r="AE94" s="98">
        <v>8.3699999999999992</v>
      </c>
      <c r="AF94" s="98">
        <v>8.41</v>
      </c>
      <c r="AG94" s="98">
        <v>8.26</v>
      </c>
      <c r="AH94" s="98">
        <v>8.41</v>
      </c>
      <c r="AI94" s="98">
        <v>8.44</v>
      </c>
      <c r="AJ94" s="98">
        <v>8.41</v>
      </c>
      <c r="AK94" s="98">
        <v>8.4</v>
      </c>
      <c r="AL94" s="108">
        <v>-197355000</v>
      </c>
      <c r="AM94" s="108">
        <v>-171710000</v>
      </c>
      <c r="AN94" s="108">
        <v>-165020000</v>
      </c>
      <c r="AO94" s="108">
        <v>-71360000</v>
      </c>
      <c r="AP94" s="108">
        <v>-130455000</v>
      </c>
      <c r="AQ94" s="108">
        <v>-74705000</v>
      </c>
      <c r="AR94" s="108">
        <v>-117075000</v>
      </c>
      <c r="AS94" s="108">
        <v>-143835000</v>
      </c>
    </row>
    <row r="95" spans="1:45">
      <c r="A95" s="99" t="s">
        <v>341</v>
      </c>
      <c r="B95" s="100" t="s">
        <v>604</v>
      </c>
      <c r="C95" s="101" t="s">
        <v>604</v>
      </c>
      <c r="D95" s="101" t="s">
        <v>604</v>
      </c>
      <c r="E95" s="101"/>
      <c r="F95" s="101"/>
      <c r="G95" s="101"/>
      <c r="H95" s="101"/>
      <c r="I95" s="101"/>
      <c r="J95" s="101"/>
      <c r="K95" s="101"/>
      <c r="L95" s="101"/>
      <c r="M95" s="101"/>
      <c r="N95" s="102">
        <v>9.9799999999999986</v>
      </c>
      <c r="O95" s="102">
        <v>10.850000000000001</v>
      </c>
      <c r="P95" s="102">
        <v>9.86</v>
      </c>
      <c r="Q95" s="102">
        <v>9.5300000000000011</v>
      </c>
      <c r="R95" s="102">
        <v>10.11</v>
      </c>
      <c r="S95" s="102">
        <v>9.8999999999999986</v>
      </c>
      <c r="T95" s="102">
        <v>9.73</v>
      </c>
      <c r="U95" s="102">
        <v>9.83</v>
      </c>
      <c r="V95" s="103">
        <v>52742</v>
      </c>
      <c r="W95" s="103">
        <v>45971</v>
      </c>
      <c r="X95" s="103">
        <v>44305</v>
      </c>
      <c r="Y95" s="103">
        <v>18185</v>
      </c>
      <c r="Z95" s="103">
        <v>35233</v>
      </c>
      <c r="AA95" s="103">
        <v>20190</v>
      </c>
      <c r="AB95" s="103">
        <v>31453</v>
      </c>
      <c r="AC95" s="103">
        <v>38747</v>
      </c>
      <c r="AD95" s="101"/>
      <c r="AE95" s="101"/>
      <c r="AF95" s="101"/>
      <c r="AG95" s="101"/>
      <c r="AH95" s="101"/>
      <c r="AI95" s="101"/>
      <c r="AJ95" s="101"/>
      <c r="AK95" s="101"/>
      <c r="AL95" s="103">
        <v>59182900</v>
      </c>
      <c r="AM95" s="103">
        <v>51900600</v>
      </c>
      <c r="AN95" s="103">
        <v>51602900</v>
      </c>
      <c r="AO95" s="103">
        <v>22362400</v>
      </c>
      <c r="AP95" s="103">
        <v>40950200</v>
      </c>
      <c r="AQ95" s="103">
        <v>25791480</v>
      </c>
      <c r="AR95" s="103">
        <v>34156600</v>
      </c>
      <c r="AS95" s="103">
        <v>45173400</v>
      </c>
    </row>
    <row r="96" spans="1:45">
      <c r="A96" s="92" t="s">
        <v>605</v>
      </c>
      <c r="B96" s="95" t="s">
        <v>298</v>
      </c>
      <c r="C96" s="92" t="s">
        <v>299</v>
      </c>
      <c r="D96" s="96" t="s">
        <v>338</v>
      </c>
      <c r="E96" s="97">
        <v>34950</v>
      </c>
      <c r="F96" s="107" t="s">
        <v>255</v>
      </c>
      <c r="G96" s="107" t="s">
        <v>255</v>
      </c>
      <c r="H96" s="107" t="s">
        <v>255</v>
      </c>
      <c r="I96" s="107" t="s">
        <v>255</v>
      </c>
      <c r="J96" s="107" t="s">
        <v>255</v>
      </c>
      <c r="K96" s="107" t="s">
        <v>255</v>
      </c>
      <c r="L96" s="107" t="s">
        <v>255</v>
      </c>
      <c r="M96" s="107" t="s">
        <v>255</v>
      </c>
      <c r="N96" s="98">
        <v>1.02</v>
      </c>
      <c r="O96" s="98">
        <v>1.1299999999999999</v>
      </c>
      <c r="P96" s="98">
        <v>1.03</v>
      </c>
      <c r="Q96" s="98">
        <v>1.06</v>
      </c>
      <c r="R96" s="98">
        <v>1.03</v>
      </c>
      <c r="S96" s="98">
        <v>1.03</v>
      </c>
      <c r="T96" s="98">
        <v>1.01</v>
      </c>
      <c r="U96" s="98">
        <v>1.02</v>
      </c>
      <c r="V96" s="108">
        <v>4237</v>
      </c>
      <c r="W96" s="108">
        <v>3767</v>
      </c>
      <c r="X96" s="108">
        <v>3634</v>
      </c>
      <c r="Y96" s="108">
        <v>1611</v>
      </c>
      <c r="Z96" s="108">
        <v>2818</v>
      </c>
      <c r="AA96" s="108">
        <v>1644</v>
      </c>
      <c r="AB96" s="108">
        <v>2559</v>
      </c>
      <c r="AC96" s="108">
        <v>3154</v>
      </c>
      <c r="AD96" s="98">
        <v>0</v>
      </c>
      <c r="AE96" s="98">
        <v>0.3</v>
      </c>
      <c r="AF96" s="98">
        <v>-0.11</v>
      </c>
      <c r="AG96" s="98">
        <v>-0.05</v>
      </c>
      <c r="AH96" s="98">
        <v>-0.11</v>
      </c>
      <c r="AI96" s="98">
        <v>-0.12</v>
      </c>
      <c r="AJ96" s="98">
        <v>0.01</v>
      </c>
      <c r="AK96" s="98">
        <v>-0.02</v>
      </c>
      <c r="AL96" s="108">
        <v>148083150</v>
      </c>
      <c r="AM96" s="108">
        <v>131656650</v>
      </c>
      <c r="AN96" s="108">
        <v>127008300</v>
      </c>
      <c r="AO96" s="108">
        <v>56304450</v>
      </c>
      <c r="AP96" s="108">
        <v>98489100</v>
      </c>
      <c r="AQ96" s="108">
        <v>57457800</v>
      </c>
      <c r="AR96" s="108">
        <v>89437050</v>
      </c>
      <c r="AS96" s="108">
        <v>110232300</v>
      </c>
    </row>
    <row r="97" spans="1:45">
      <c r="A97" s="92" t="s">
        <v>606</v>
      </c>
      <c r="B97" s="95" t="s">
        <v>50</v>
      </c>
      <c r="C97" s="92" t="s">
        <v>51</v>
      </c>
      <c r="D97" s="96" t="s">
        <v>338</v>
      </c>
      <c r="E97" s="97">
        <v>19450</v>
      </c>
      <c r="F97" s="107" t="s">
        <v>255</v>
      </c>
      <c r="G97" s="107" t="s">
        <v>255</v>
      </c>
      <c r="H97" s="107" t="s">
        <v>255</v>
      </c>
      <c r="I97" s="107" t="s">
        <v>255</v>
      </c>
      <c r="J97" s="107" t="s">
        <v>255</v>
      </c>
      <c r="K97" s="107" t="s">
        <v>255</v>
      </c>
      <c r="L97" s="107" t="s">
        <v>255</v>
      </c>
      <c r="M97" s="107" t="s">
        <v>255</v>
      </c>
      <c r="N97" s="98">
        <v>1.03</v>
      </c>
      <c r="O97" s="98">
        <v>0.79</v>
      </c>
      <c r="P97" s="98">
        <v>1.01</v>
      </c>
      <c r="Q97" s="98">
        <v>0.99</v>
      </c>
      <c r="R97" s="98">
        <v>1</v>
      </c>
      <c r="S97" s="98">
        <v>1</v>
      </c>
      <c r="T97" s="98">
        <v>1</v>
      </c>
      <c r="U97" s="98">
        <v>1</v>
      </c>
      <c r="V97" s="108">
        <v>7671</v>
      </c>
      <c r="W97" s="108">
        <v>4729</v>
      </c>
      <c r="X97" s="108">
        <v>6420</v>
      </c>
      <c r="Y97" s="108">
        <v>2713</v>
      </c>
      <c r="Z97" s="108">
        <v>4918</v>
      </c>
      <c r="AA97" s="108">
        <v>2879</v>
      </c>
      <c r="AB97" s="108">
        <v>4548</v>
      </c>
      <c r="AC97" s="108">
        <v>5532</v>
      </c>
      <c r="AD97" s="98">
        <v>-10.98</v>
      </c>
      <c r="AE97" s="98">
        <v>-11</v>
      </c>
      <c r="AF97" s="98">
        <v>-12.11</v>
      </c>
      <c r="AG97" s="98">
        <v>1.77</v>
      </c>
      <c r="AH97" s="98">
        <v>-13.3</v>
      </c>
      <c r="AI97" s="98">
        <v>-12.46</v>
      </c>
      <c r="AJ97" s="98">
        <v>-0.77</v>
      </c>
      <c r="AK97" s="98">
        <v>-10.41</v>
      </c>
      <c r="AL97" s="108">
        <v>149200950</v>
      </c>
      <c r="AM97" s="108">
        <v>91979050</v>
      </c>
      <c r="AN97" s="108">
        <v>124869000</v>
      </c>
      <c r="AO97" s="108">
        <v>52767850</v>
      </c>
      <c r="AP97" s="108">
        <v>95655100</v>
      </c>
      <c r="AQ97" s="108">
        <v>55996550</v>
      </c>
      <c r="AR97" s="108">
        <v>88458600</v>
      </c>
      <c r="AS97" s="108">
        <v>107597400</v>
      </c>
    </row>
    <row r="98" spans="1:45">
      <c r="A98" s="92" t="s">
        <v>607</v>
      </c>
      <c r="B98" s="95" t="s">
        <v>393</v>
      </c>
      <c r="C98" s="92" t="s">
        <v>392</v>
      </c>
      <c r="D98" s="96" t="s">
        <v>338</v>
      </c>
      <c r="E98" s="97">
        <v>61800</v>
      </c>
      <c r="F98" s="107" t="s">
        <v>255</v>
      </c>
      <c r="G98" s="107" t="s">
        <v>255</v>
      </c>
      <c r="H98" s="107" t="s">
        <v>255</v>
      </c>
      <c r="I98" s="107" t="s">
        <v>255</v>
      </c>
      <c r="J98" s="107" t="s">
        <v>255</v>
      </c>
      <c r="K98" s="107" t="s">
        <v>255</v>
      </c>
      <c r="L98" s="107" t="s">
        <v>255</v>
      </c>
      <c r="M98" s="107" t="s">
        <v>255</v>
      </c>
      <c r="N98" s="98">
        <v>0.98</v>
      </c>
      <c r="O98" s="98">
        <v>0.85</v>
      </c>
      <c r="P98" s="98">
        <v>0.96</v>
      </c>
      <c r="Q98" s="98">
        <v>1.01</v>
      </c>
      <c r="R98" s="98">
        <v>0.97</v>
      </c>
      <c r="S98" s="98">
        <v>0.98</v>
      </c>
      <c r="T98" s="98">
        <v>0.95</v>
      </c>
      <c r="U98" s="98">
        <v>0.98</v>
      </c>
      <c r="V98" s="108">
        <v>2305</v>
      </c>
      <c r="W98" s="108">
        <v>1604</v>
      </c>
      <c r="X98" s="108">
        <v>1918</v>
      </c>
      <c r="Y98" s="108">
        <v>869</v>
      </c>
      <c r="Z98" s="108">
        <v>1507</v>
      </c>
      <c r="AA98" s="108">
        <v>886</v>
      </c>
      <c r="AB98" s="108">
        <v>1366</v>
      </c>
      <c r="AC98" s="108">
        <v>1710</v>
      </c>
      <c r="AD98" s="98">
        <v>-4.13</v>
      </c>
      <c r="AE98" s="98">
        <v>-4.3499999999999996</v>
      </c>
      <c r="AF98" s="98">
        <v>-4.21</v>
      </c>
      <c r="AG98" s="98">
        <v>-4.2699999999999996</v>
      </c>
      <c r="AH98" s="98">
        <v>-4.18</v>
      </c>
      <c r="AI98" s="98">
        <v>-4.1900000000000004</v>
      </c>
      <c r="AJ98" s="98">
        <v>-4.1100000000000003</v>
      </c>
      <c r="AK98" s="98">
        <v>-4.13</v>
      </c>
      <c r="AL98" s="108">
        <v>142449000</v>
      </c>
      <c r="AM98" s="108">
        <v>99127200</v>
      </c>
      <c r="AN98" s="108">
        <v>118532400</v>
      </c>
      <c r="AO98" s="108">
        <v>53704200</v>
      </c>
      <c r="AP98" s="108">
        <v>93132600</v>
      </c>
      <c r="AQ98" s="108">
        <v>54754800</v>
      </c>
      <c r="AR98" s="108">
        <v>84418800</v>
      </c>
      <c r="AS98" s="108">
        <v>105678000</v>
      </c>
    </row>
    <row r="99" spans="1:45">
      <c r="A99" s="92" t="s">
        <v>608</v>
      </c>
      <c r="B99" s="95" t="s">
        <v>305</v>
      </c>
      <c r="C99" s="92" t="s">
        <v>306</v>
      </c>
      <c r="D99" s="96" t="s">
        <v>338</v>
      </c>
      <c r="E99" s="97">
        <v>259000</v>
      </c>
      <c r="F99" s="107" t="s">
        <v>255</v>
      </c>
      <c r="G99" s="107" t="s">
        <v>255</v>
      </c>
      <c r="H99" s="107" t="s">
        <v>255</v>
      </c>
      <c r="I99" s="107" t="s">
        <v>255</v>
      </c>
      <c r="J99" s="107" t="s">
        <v>255</v>
      </c>
      <c r="K99" s="107" t="s">
        <v>255</v>
      </c>
      <c r="L99" s="107" t="s">
        <v>255</v>
      </c>
      <c r="M99" s="107" t="s">
        <v>255</v>
      </c>
      <c r="N99" s="98">
        <v>0.64</v>
      </c>
      <c r="O99" s="98">
        <v>0.67</v>
      </c>
      <c r="P99" s="98">
        <v>0.6</v>
      </c>
      <c r="Q99" s="98">
        <v>0.46</v>
      </c>
      <c r="R99" s="98">
        <v>0.62</v>
      </c>
      <c r="S99" s="98">
        <v>0.63</v>
      </c>
      <c r="T99" s="98">
        <v>0.69</v>
      </c>
      <c r="U99" s="98">
        <v>0.61</v>
      </c>
      <c r="V99" s="108">
        <v>357</v>
      </c>
      <c r="W99" s="108">
        <v>300</v>
      </c>
      <c r="X99" s="108">
        <v>287</v>
      </c>
      <c r="Y99" s="108">
        <v>95</v>
      </c>
      <c r="Z99" s="108">
        <v>229</v>
      </c>
      <c r="AA99" s="108">
        <v>136</v>
      </c>
      <c r="AB99" s="108">
        <v>236</v>
      </c>
      <c r="AC99" s="108">
        <v>256</v>
      </c>
      <c r="AD99" s="98">
        <v>14.79</v>
      </c>
      <c r="AE99" s="98">
        <v>14.87</v>
      </c>
      <c r="AF99" s="98">
        <v>14.52</v>
      </c>
      <c r="AG99" s="98">
        <v>14.34</v>
      </c>
      <c r="AH99" s="98">
        <v>14.52</v>
      </c>
      <c r="AI99" s="98">
        <v>13.9</v>
      </c>
      <c r="AJ99" s="98">
        <v>14</v>
      </c>
      <c r="AK99" s="98">
        <v>14.87</v>
      </c>
      <c r="AL99" s="108">
        <v>92463000</v>
      </c>
      <c r="AM99" s="108">
        <v>77700000</v>
      </c>
      <c r="AN99" s="108">
        <v>74333000</v>
      </c>
      <c r="AO99" s="108">
        <v>24605000</v>
      </c>
      <c r="AP99" s="108">
        <v>59311000</v>
      </c>
      <c r="AQ99" s="108">
        <v>35224000</v>
      </c>
      <c r="AR99" s="108">
        <v>61124000</v>
      </c>
      <c r="AS99" s="108">
        <v>66304000</v>
      </c>
    </row>
    <row r="100" spans="1:45">
      <c r="A100" s="99" t="s">
        <v>341</v>
      </c>
      <c r="B100" s="100" t="s">
        <v>604</v>
      </c>
      <c r="C100" s="101" t="s">
        <v>604</v>
      </c>
      <c r="D100" s="101" t="s">
        <v>604</v>
      </c>
      <c r="E100" s="101"/>
      <c r="F100" s="101"/>
      <c r="G100" s="101"/>
      <c r="H100" s="101"/>
      <c r="I100" s="101"/>
      <c r="J100" s="101"/>
      <c r="K100" s="101"/>
      <c r="L100" s="101"/>
      <c r="M100" s="101"/>
      <c r="N100" s="102">
        <v>3.67</v>
      </c>
      <c r="O100" s="102">
        <v>3.44</v>
      </c>
      <c r="P100" s="102">
        <v>3.6</v>
      </c>
      <c r="Q100" s="102">
        <v>3.5199999999999996</v>
      </c>
      <c r="R100" s="102">
        <v>3.62</v>
      </c>
      <c r="S100" s="102">
        <v>3.64</v>
      </c>
      <c r="T100" s="102">
        <v>3.65</v>
      </c>
      <c r="U100" s="102">
        <v>3.61</v>
      </c>
      <c r="V100" s="103">
        <v>14570</v>
      </c>
      <c r="W100" s="103">
        <v>10400</v>
      </c>
      <c r="X100" s="103">
        <v>12259</v>
      </c>
      <c r="Y100" s="103">
        <v>5288</v>
      </c>
      <c r="Z100" s="103">
        <v>9472</v>
      </c>
      <c r="AA100" s="103">
        <v>5545</v>
      </c>
      <c r="AB100" s="103">
        <v>8709</v>
      </c>
      <c r="AC100" s="103">
        <v>10652</v>
      </c>
      <c r="AD100" s="101"/>
      <c r="AE100" s="101"/>
      <c r="AF100" s="101"/>
      <c r="AG100" s="101"/>
      <c r="AH100" s="101"/>
      <c r="AI100" s="101"/>
      <c r="AJ100" s="101"/>
      <c r="AK100" s="101"/>
      <c r="AL100" s="103">
        <v>532196100</v>
      </c>
      <c r="AM100" s="103">
        <v>400462900</v>
      </c>
      <c r="AN100" s="103">
        <v>444742700</v>
      </c>
      <c r="AO100" s="103">
        <v>187381500</v>
      </c>
      <c r="AP100" s="103">
        <v>346587800</v>
      </c>
      <c r="AQ100" s="103">
        <v>203433150</v>
      </c>
      <c r="AR100" s="103">
        <v>323438450</v>
      </c>
      <c r="AS100" s="103">
        <v>389811700</v>
      </c>
    </row>
    <row r="101" spans="1:45">
      <c r="A101" s="92" t="s">
        <v>609</v>
      </c>
      <c r="B101" s="95" t="s">
        <v>282</v>
      </c>
      <c r="C101" s="92" t="s">
        <v>283</v>
      </c>
      <c r="D101" s="96" t="s">
        <v>338</v>
      </c>
      <c r="E101" s="97">
        <v>17500</v>
      </c>
      <c r="F101" s="107" t="s">
        <v>254</v>
      </c>
      <c r="G101" s="107" t="s">
        <v>254</v>
      </c>
      <c r="H101" s="107" t="s">
        <v>254</v>
      </c>
      <c r="I101" s="107" t="s">
        <v>254</v>
      </c>
      <c r="J101" s="107" t="s">
        <v>254</v>
      </c>
      <c r="K101" s="107" t="s">
        <v>254</v>
      </c>
      <c r="L101" s="107" t="s">
        <v>254</v>
      </c>
      <c r="M101" s="107" t="s">
        <v>254</v>
      </c>
      <c r="N101" s="98">
        <v>1.02</v>
      </c>
      <c r="O101" s="98">
        <v>1.07</v>
      </c>
      <c r="P101" s="98">
        <v>0.97</v>
      </c>
      <c r="Q101" s="98">
        <v>0.81</v>
      </c>
      <c r="R101" s="98">
        <v>1</v>
      </c>
      <c r="S101" s="98">
        <v>1.01</v>
      </c>
      <c r="T101" s="98">
        <v>0.96</v>
      </c>
      <c r="U101" s="98">
        <v>0.98</v>
      </c>
      <c r="V101" s="108">
        <v>8474</v>
      </c>
      <c r="W101" s="108">
        <v>7128</v>
      </c>
      <c r="X101" s="108">
        <v>6851</v>
      </c>
      <c r="Y101" s="108">
        <v>2473</v>
      </c>
      <c r="Z101" s="108">
        <v>5463</v>
      </c>
      <c r="AA101" s="108">
        <v>3231</v>
      </c>
      <c r="AB101" s="108">
        <v>4881</v>
      </c>
      <c r="AC101" s="108">
        <v>6007</v>
      </c>
      <c r="AD101" s="98">
        <v>-10.55</v>
      </c>
      <c r="AE101" s="98">
        <v>-10.71</v>
      </c>
      <c r="AF101" s="98">
        <v>-8.25</v>
      </c>
      <c r="AG101" s="98">
        <v>-8.19</v>
      </c>
      <c r="AH101" s="98">
        <v>-10.17</v>
      </c>
      <c r="AI101" s="98">
        <v>-10.16</v>
      </c>
      <c r="AJ101" s="98">
        <v>-10.6</v>
      </c>
      <c r="AK101" s="98">
        <v>-8.61</v>
      </c>
      <c r="AL101" s="108">
        <v>148295000</v>
      </c>
      <c r="AM101" s="108">
        <v>124740000</v>
      </c>
      <c r="AN101" s="108">
        <v>119892500</v>
      </c>
      <c r="AO101" s="108">
        <v>43277500</v>
      </c>
      <c r="AP101" s="108">
        <v>95602500</v>
      </c>
      <c r="AQ101" s="108">
        <v>56542500</v>
      </c>
      <c r="AR101" s="108">
        <v>85417500</v>
      </c>
      <c r="AS101" s="108">
        <v>105122500</v>
      </c>
    </row>
    <row r="102" spans="1:45">
      <c r="A102" s="92" t="s">
        <v>610</v>
      </c>
      <c r="B102" s="95" t="s">
        <v>386</v>
      </c>
      <c r="C102" s="92" t="s">
        <v>385</v>
      </c>
      <c r="D102" s="96" t="s">
        <v>338</v>
      </c>
      <c r="E102" s="97">
        <v>161000</v>
      </c>
      <c r="F102" s="107" t="s">
        <v>254</v>
      </c>
      <c r="G102" s="107"/>
      <c r="H102" s="107" t="s">
        <v>254</v>
      </c>
      <c r="I102" s="107" t="s">
        <v>254</v>
      </c>
      <c r="J102" s="107" t="s">
        <v>254</v>
      </c>
      <c r="K102" s="107" t="s">
        <v>254</v>
      </c>
      <c r="L102" s="107" t="s">
        <v>254</v>
      </c>
      <c r="M102" s="107" t="s">
        <v>254</v>
      </c>
      <c r="N102" s="98">
        <v>0.49</v>
      </c>
      <c r="O102" s="98"/>
      <c r="P102" s="98">
        <v>0.49</v>
      </c>
      <c r="Q102" s="98">
        <v>0.49</v>
      </c>
      <c r="R102" s="98">
        <v>0.49</v>
      </c>
      <c r="S102" s="98">
        <v>0.49</v>
      </c>
      <c r="T102" s="98">
        <v>0.49</v>
      </c>
      <c r="U102" s="98">
        <v>0.49</v>
      </c>
      <c r="V102" s="108">
        <v>443</v>
      </c>
      <c r="W102" s="108"/>
      <c r="X102" s="108">
        <v>378</v>
      </c>
      <c r="Y102" s="108">
        <v>163</v>
      </c>
      <c r="Z102" s="108">
        <v>293</v>
      </c>
      <c r="AA102" s="108">
        <v>171</v>
      </c>
      <c r="AB102" s="108">
        <v>271</v>
      </c>
      <c r="AC102" s="108">
        <v>329</v>
      </c>
      <c r="AD102" s="98">
        <v>-1.23</v>
      </c>
      <c r="AE102" s="98"/>
      <c r="AF102" s="98">
        <v>-0.92</v>
      </c>
      <c r="AG102" s="98">
        <v>-1.23</v>
      </c>
      <c r="AH102" s="98">
        <v>-0.92</v>
      </c>
      <c r="AI102" s="98">
        <v>-0.92</v>
      </c>
      <c r="AJ102" s="98">
        <v>-1.23</v>
      </c>
      <c r="AK102" s="98">
        <v>-1.23</v>
      </c>
      <c r="AL102" s="108">
        <v>71323000</v>
      </c>
      <c r="AM102" s="108"/>
      <c r="AN102" s="108">
        <v>60858000</v>
      </c>
      <c r="AO102" s="108">
        <v>26243000</v>
      </c>
      <c r="AP102" s="108">
        <v>47173000</v>
      </c>
      <c r="AQ102" s="108">
        <v>27531000</v>
      </c>
      <c r="AR102" s="108">
        <v>43631000</v>
      </c>
      <c r="AS102" s="108">
        <v>52969000</v>
      </c>
    </row>
    <row r="103" spans="1:45">
      <c r="A103" s="92" t="s">
        <v>611</v>
      </c>
      <c r="B103" s="95" t="s">
        <v>202</v>
      </c>
      <c r="C103" s="92" t="s">
        <v>203</v>
      </c>
      <c r="D103" s="96" t="s">
        <v>338</v>
      </c>
      <c r="E103" s="97">
        <v>149500</v>
      </c>
      <c r="F103" s="107" t="s">
        <v>254</v>
      </c>
      <c r="G103" s="107" t="s">
        <v>254</v>
      </c>
      <c r="H103" s="107" t="s">
        <v>254</v>
      </c>
      <c r="I103" s="107" t="s">
        <v>254</v>
      </c>
      <c r="J103" s="107" t="s">
        <v>254</v>
      </c>
      <c r="K103" s="107" t="s">
        <v>254</v>
      </c>
      <c r="L103" s="107" t="s">
        <v>254</v>
      </c>
      <c r="M103" s="107" t="s">
        <v>254</v>
      </c>
      <c r="N103" s="98">
        <v>1.7</v>
      </c>
      <c r="O103" s="98">
        <v>1.77</v>
      </c>
      <c r="P103" s="98">
        <v>1.62</v>
      </c>
      <c r="Q103" s="98">
        <v>1.37</v>
      </c>
      <c r="R103" s="98">
        <v>1.66</v>
      </c>
      <c r="S103" s="98">
        <v>1.68</v>
      </c>
      <c r="T103" s="98">
        <v>1.6</v>
      </c>
      <c r="U103" s="98">
        <v>1.63</v>
      </c>
      <c r="V103" s="108">
        <v>1652</v>
      </c>
      <c r="W103" s="108">
        <v>1376</v>
      </c>
      <c r="X103" s="108">
        <v>1331</v>
      </c>
      <c r="Y103" s="108">
        <v>487</v>
      </c>
      <c r="Z103" s="108">
        <v>1061</v>
      </c>
      <c r="AA103" s="108">
        <v>627</v>
      </c>
      <c r="AB103" s="108">
        <v>949</v>
      </c>
      <c r="AC103" s="108">
        <v>1172</v>
      </c>
      <c r="AD103" s="98">
        <v>13.2</v>
      </c>
      <c r="AE103" s="98">
        <v>13.3</v>
      </c>
      <c r="AF103" s="98">
        <v>13.76</v>
      </c>
      <c r="AG103" s="98">
        <v>12.34</v>
      </c>
      <c r="AH103" s="98">
        <v>13.53</v>
      </c>
      <c r="AI103" s="98">
        <v>13.35</v>
      </c>
      <c r="AJ103" s="98">
        <v>13.55</v>
      </c>
      <c r="AK103" s="98">
        <v>13.35</v>
      </c>
      <c r="AL103" s="108">
        <v>246974000</v>
      </c>
      <c r="AM103" s="108">
        <v>205712000</v>
      </c>
      <c r="AN103" s="108">
        <v>198984500</v>
      </c>
      <c r="AO103" s="108">
        <v>72806500</v>
      </c>
      <c r="AP103" s="108">
        <v>158619500</v>
      </c>
      <c r="AQ103" s="108">
        <v>93736500</v>
      </c>
      <c r="AR103" s="108">
        <v>141875500</v>
      </c>
      <c r="AS103" s="108">
        <v>175214000</v>
      </c>
    </row>
    <row r="104" spans="1:45">
      <c r="A104" s="99" t="s">
        <v>341</v>
      </c>
      <c r="B104" s="100" t="s">
        <v>604</v>
      </c>
      <c r="C104" s="101" t="s">
        <v>604</v>
      </c>
      <c r="D104" s="101" t="s">
        <v>604</v>
      </c>
      <c r="E104" s="101"/>
      <c r="F104" s="101"/>
      <c r="G104" s="101"/>
      <c r="H104" s="101"/>
      <c r="I104" s="101"/>
      <c r="J104" s="101"/>
      <c r="K104" s="101"/>
      <c r="L104" s="101"/>
      <c r="M104" s="101"/>
      <c r="N104" s="102">
        <v>3.21</v>
      </c>
      <c r="O104" s="102">
        <v>2.84</v>
      </c>
      <c r="P104" s="102">
        <v>3.08</v>
      </c>
      <c r="Q104" s="102">
        <v>2.67</v>
      </c>
      <c r="R104" s="102">
        <v>3.15</v>
      </c>
      <c r="S104" s="102">
        <v>3.1799999999999997</v>
      </c>
      <c r="T104" s="102">
        <v>3.05</v>
      </c>
      <c r="U104" s="102">
        <v>3.0999999999999996</v>
      </c>
      <c r="V104" s="103">
        <v>10569</v>
      </c>
      <c r="W104" s="103">
        <v>8504</v>
      </c>
      <c r="X104" s="103">
        <v>8560</v>
      </c>
      <c r="Y104" s="103">
        <v>3123</v>
      </c>
      <c r="Z104" s="103">
        <v>6817</v>
      </c>
      <c r="AA104" s="103">
        <v>4029</v>
      </c>
      <c r="AB104" s="103">
        <v>6101</v>
      </c>
      <c r="AC104" s="103">
        <v>7508</v>
      </c>
      <c r="AD104" s="101"/>
      <c r="AE104" s="101"/>
      <c r="AF104" s="101"/>
      <c r="AG104" s="101"/>
      <c r="AH104" s="101"/>
      <c r="AI104" s="101"/>
      <c r="AJ104" s="101"/>
      <c r="AK104" s="101"/>
      <c r="AL104" s="103">
        <v>466592000</v>
      </c>
      <c r="AM104" s="103">
        <v>330452000</v>
      </c>
      <c r="AN104" s="103">
        <v>379735000</v>
      </c>
      <c r="AO104" s="103">
        <v>142327000</v>
      </c>
      <c r="AP104" s="103">
        <v>301395000</v>
      </c>
      <c r="AQ104" s="103">
        <v>177810000</v>
      </c>
      <c r="AR104" s="103">
        <v>270924000</v>
      </c>
      <c r="AS104" s="103">
        <v>333305500</v>
      </c>
    </row>
    <row r="105" spans="1:45">
      <c r="A105" s="92" t="s">
        <v>734</v>
      </c>
      <c r="B105" s="95" t="s">
        <v>270</v>
      </c>
      <c r="C105" s="92" t="s">
        <v>271</v>
      </c>
      <c r="D105" s="96" t="s">
        <v>339</v>
      </c>
      <c r="E105" s="97">
        <v>256.7</v>
      </c>
      <c r="F105" s="107" t="s">
        <v>197</v>
      </c>
      <c r="G105" s="107" t="s">
        <v>197</v>
      </c>
      <c r="H105" s="107" t="s">
        <v>197</v>
      </c>
      <c r="I105" s="107" t="s">
        <v>197</v>
      </c>
      <c r="J105" s="107" t="s">
        <v>197</v>
      </c>
      <c r="K105" s="107" t="s">
        <v>197</v>
      </c>
      <c r="L105" s="107" t="s">
        <v>197</v>
      </c>
      <c r="M105" s="107" t="s">
        <v>197</v>
      </c>
      <c r="N105" s="98">
        <v>16.88</v>
      </c>
      <c r="O105" s="98">
        <v>16.63</v>
      </c>
      <c r="P105" s="98">
        <v>15.71</v>
      </c>
      <c r="Q105" s="98">
        <v>12.11</v>
      </c>
      <c r="R105" s="98">
        <v>17.55</v>
      </c>
      <c r="S105" s="98">
        <v>18.489999999999998</v>
      </c>
      <c r="T105" s="98">
        <v>16</v>
      </c>
      <c r="U105" s="98">
        <v>16.760000000000002</v>
      </c>
      <c r="V105" s="108">
        <v>-19</v>
      </c>
      <c r="W105" s="108">
        <v>-15</v>
      </c>
      <c r="X105" s="108">
        <v>-15</v>
      </c>
      <c r="Y105" s="108">
        <v>-5</v>
      </c>
      <c r="Z105" s="108">
        <v>-13</v>
      </c>
      <c r="AA105" s="108">
        <v>-8</v>
      </c>
      <c r="AB105" s="108">
        <v>-11</v>
      </c>
      <c r="AC105" s="108">
        <v>-14</v>
      </c>
      <c r="AD105" s="98">
        <v>-3.46</v>
      </c>
      <c r="AE105" s="98">
        <v>-3.44</v>
      </c>
      <c r="AF105" s="98">
        <v>-3.93</v>
      </c>
      <c r="AG105" s="98">
        <v>-5.93</v>
      </c>
      <c r="AH105" s="98">
        <v>-3.52</v>
      </c>
      <c r="AI105" s="98">
        <v>-3.5</v>
      </c>
      <c r="AJ105" s="98">
        <v>-3.46</v>
      </c>
      <c r="AK105" s="98">
        <v>-3.45</v>
      </c>
      <c r="AL105" s="108">
        <v>-4877.3</v>
      </c>
      <c r="AM105" s="108">
        <v>-3850.5</v>
      </c>
      <c r="AN105" s="108">
        <v>-3850.5</v>
      </c>
      <c r="AO105" s="108">
        <v>-1283.5</v>
      </c>
      <c r="AP105" s="108">
        <v>-3337.1</v>
      </c>
      <c r="AQ105" s="108">
        <v>-2053.6</v>
      </c>
      <c r="AR105" s="108">
        <v>-2823.7</v>
      </c>
      <c r="AS105" s="108">
        <v>-3593.7999999999997</v>
      </c>
    </row>
    <row r="106" spans="1:45">
      <c r="A106" s="99" t="s">
        <v>341</v>
      </c>
      <c r="B106" s="100" t="s">
        <v>604</v>
      </c>
      <c r="C106" s="101" t="s">
        <v>604</v>
      </c>
      <c r="D106" s="101" t="s">
        <v>604</v>
      </c>
      <c r="E106" s="101"/>
      <c r="F106" s="101"/>
      <c r="G106" s="101"/>
      <c r="H106" s="101"/>
      <c r="I106" s="101"/>
      <c r="J106" s="101"/>
      <c r="K106" s="101"/>
      <c r="L106" s="101"/>
      <c r="M106" s="101"/>
      <c r="N106" s="102">
        <v>16.88</v>
      </c>
      <c r="O106" s="102">
        <v>16.63</v>
      </c>
      <c r="P106" s="102">
        <v>15.71</v>
      </c>
      <c r="Q106" s="102">
        <v>12.11</v>
      </c>
      <c r="R106" s="102">
        <v>17.55</v>
      </c>
      <c r="S106" s="102">
        <v>18.489999999999998</v>
      </c>
      <c r="T106" s="102">
        <v>16</v>
      </c>
      <c r="U106" s="102">
        <v>16.760000000000002</v>
      </c>
      <c r="V106" s="103">
        <v>-19</v>
      </c>
      <c r="W106" s="103">
        <v>-15</v>
      </c>
      <c r="X106" s="103">
        <v>-15</v>
      </c>
      <c r="Y106" s="103">
        <v>-5</v>
      </c>
      <c r="Z106" s="103">
        <v>-13</v>
      </c>
      <c r="AA106" s="103">
        <v>-8</v>
      </c>
      <c r="AB106" s="103">
        <v>-11</v>
      </c>
      <c r="AC106" s="103">
        <v>-14</v>
      </c>
      <c r="AD106" s="101"/>
      <c r="AE106" s="101"/>
      <c r="AF106" s="101"/>
      <c r="AG106" s="101"/>
      <c r="AH106" s="101"/>
      <c r="AI106" s="101"/>
      <c r="AJ106" s="101"/>
      <c r="AK106" s="101"/>
      <c r="AL106" s="103">
        <v>-4877.3</v>
      </c>
      <c r="AM106" s="103">
        <v>-3850.5</v>
      </c>
      <c r="AN106" s="103">
        <v>-3850.5</v>
      </c>
      <c r="AO106" s="103">
        <v>-1283.5</v>
      </c>
      <c r="AP106" s="103">
        <v>-3337.1</v>
      </c>
      <c r="AQ106" s="103">
        <v>-2053.6</v>
      </c>
      <c r="AR106" s="103">
        <v>-2823.7</v>
      </c>
      <c r="AS106" s="103">
        <v>-3593.7999999999997</v>
      </c>
    </row>
    <row r="107" spans="1:45">
      <c r="A107" s="92" t="s">
        <v>612</v>
      </c>
      <c r="B107" s="95" t="s">
        <v>377</v>
      </c>
      <c r="C107" s="92" t="s">
        <v>376</v>
      </c>
      <c r="D107" s="96" t="s">
        <v>338</v>
      </c>
      <c r="E107" s="97">
        <v>6220</v>
      </c>
      <c r="F107" s="107" t="s">
        <v>260</v>
      </c>
      <c r="G107" s="107" t="s">
        <v>260</v>
      </c>
      <c r="H107" s="107" t="s">
        <v>260</v>
      </c>
      <c r="I107" s="107" t="s">
        <v>260</v>
      </c>
      <c r="J107" s="107" t="s">
        <v>260</v>
      </c>
      <c r="K107" s="107" t="s">
        <v>260</v>
      </c>
      <c r="L107" s="107" t="s">
        <v>260</v>
      </c>
      <c r="M107" s="107" t="s">
        <v>260</v>
      </c>
      <c r="N107" s="98">
        <v>0.98</v>
      </c>
      <c r="O107" s="98">
        <v>1.03</v>
      </c>
      <c r="P107" s="98">
        <v>1.02</v>
      </c>
      <c r="Q107" s="98">
        <v>1.02</v>
      </c>
      <c r="R107" s="98">
        <v>1.01</v>
      </c>
      <c r="S107" s="98">
        <v>0.97</v>
      </c>
      <c r="T107" s="98">
        <v>0.97</v>
      </c>
      <c r="U107" s="98">
        <v>0.96</v>
      </c>
      <c r="V107" s="108">
        <v>22815</v>
      </c>
      <c r="W107" s="108">
        <v>19316</v>
      </c>
      <c r="X107" s="108">
        <v>20124</v>
      </c>
      <c r="Y107" s="108">
        <v>8758</v>
      </c>
      <c r="Z107" s="108">
        <v>15446</v>
      </c>
      <c r="AA107" s="108">
        <v>8740</v>
      </c>
      <c r="AB107" s="108">
        <v>13809</v>
      </c>
      <c r="AC107" s="108">
        <v>16658</v>
      </c>
      <c r="AD107" s="98">
        <v>-4.72</v>
      </c>
      <c r="AE107" s="98">
        <v>-4.9400000000000004</v>
      </c>
      <c r="AF107" s="98">
        <v>-6.26</v>
      </c>
      <c r="AG107" s="98">
        <v>-6.21</v>
      </c>
      <c r="AH107" s="98">
        <v>-8.86</v>
      </c>
      <c r="AI107" s="98">
        <v>-8.86</v>
      </c>
      <c r="AJ107" s="98">
        <v>-4.43</v>
      </c>
      <c r="AK107" s="98">
        <v>-4.5599999999999996</v>
      </c>
      <c r="AL107" s="108">
        <v>141909300</v>
      </c>
      <c r="AM107" s="108">
        <v>120145520</v>
      </c>
      <c r="AN107" s="108">
        <v>125171280</v>
      </c>
      <c r="AO107" s="108">
        <v>54474760</v>
      </c>
      <c r="AP107" s="108">
        <v>96074120</v>
      </c>
      <c r="AQ107" s="108">
        <v>54362800</v>
      </c>
      <c r="AR107" s="108">
        <v>85891980</v>
      </c>
      <c r="AS107" s="108">
        <v>103612760</v>
      </c>
    </row>
    <row r="108" spans="1:45">
      <c r="A108" s="99" t="s">
        <v>341</v>
      </c>
      <c r="B108" s="100" t="s">
        <v>604</v>
      </c>
      <c r="C108" s="101" t="s">
        <v>604</v>
      </c>
      <c r="D108" s="101" t="s">
        <v>604</v>
      </c>
      <c r="E108" s="101"/>
      <c r="F108" s="101"/>
      <c r="G108" s="101"/>
      <c r="H108" s="101"/>
      <c r="I108" s="101"/>
      <c r="J108" s="101"/>
      <c r="K108" s="101"/>
      <c r="L108" s="101"/>
      <c r="M108" s="101"/>
      <c r="N108" s="102">
        <v>0.98</v>
      </c>
      <c r="O108" s="102">
        <v>1.03</v>
      </c>
      <c r="P108" s="102">
        <v>1.02</v>
      </c>
      <c r="Q108" s="102">
        <v>1.02</v>
      </c>
      <c r="R108" s="102">
        <v>1.01</v>
      </c>
      <c r="S108" s="102">
        <v>0.97</v>
      </c>
      <c r="T108" s="102">
        <v>0.97</v>
      </c>
      <c r="U108" s="102">
        <v>0.96</v>
      </c>
      <c r="V108" s="103">
        <v>22815</v>
      </c>
      <c r="W108" s="103">
        <v>19316</v>
      </c>
      <c r="X108" s="103">
        <v>20124</v>
      </c>
      <c r="Y108" s="103">
        <v>8758</v>
      </c>
      <c r="Z108" s="103">
        <v>15446</v>
      </c>
      <c r="AA108" s="103">
        <v>8740</v>
      </c>
      <c r="AB108" s="103">
        <v>13809</v>
      </c>
      <c r="AC108" s="103">
        <v>16658</v>
      </c>
      <c r="AD108" s="101"/>
      <c r="AE108" s="101"/>
      <c r="AF108" s="101"/>
      <c r="AG108" s="101"/>
      <c r="AH108" s="101"/>
      <c r="AI108" s="101"/>
      <c r="AJ108" s="101"/>
      <c r="AK108" s="101"/>
      <c r="AL108" s="103">
        <v>141909300</v>
      </c>
      <c r="AM108" s="103">
        <v>120145520</v>
      </c>
      <c r="AN108" s="103">
        <v>125171280</v>
      </c>
      <c r="AO108" s="103">
        <v>54474760</v>
      </c>
      <c r="AP108" s="103">
        <v>96074120</v>
      </c>
      <c r="AQ108" s="103">
        <v>54362800</v>
      </c>
      <c r="AR108" s="103">
        <v>85891980</v>
      </c>
      <c r="AS108" s="103">
        <v>103612760</v>
      </c>
    </row>
    <row r="109" spans="1:45">
      <c r="A109" s="92" t="s">
        <v>613</v>
      </c>
      <c r="B109" s="95" t="s">
        <v>295</v>
      </c>
      <c r="C109" s="92" t="s">
        <v>307</v>
      </c>
      <c r="D109" s="96" t="s">
        <v>338</v>
      </c>
      <c r="E109" s="97">
        <v>2335</v>
      </c>
      <c r="F109" s="107" t="s">
        <v>251</v>
      </c>
      <c r="G109" s="107" t="s">
        <v>251</v>
      </c>
      <c r="H109" s="107" t="s">
        <v>251</v>
      </c>
      <c r="I109" s="107" t="s">
        <v>251</v>
      </c>
      <c r="J109" s="107" t="s">
        <v>251</v>
      </c>
      <c r="K109" s="107" t="s">
        <v>251</v>
      </c>
      <c r="L109" s="107" t="s">
        <v>251</v>
      </c>
      <c r="M109" s="107" t="s">
        <v>251</v>
      </c>
      <c r="N109" s="98">
        <v>0.02</v>
      </c>
      <c r="O109" s="98">
        <v>0.02</v>
      </c>
      <c r="P109" s="98">
        <v>0.02</v>
      </c>
      <c r="Q109" s="98">
        <v>0.01</v>
      </c>
      <c r="R109" s="98">
        <v>0.02</v>
      </c>
      <c r="S109" s="98">
        <v>0.02</v>
      </c>
      <c r="T109" s="98">
        <v>0.03</v>
      </c>
      <c r="U109" s="98">
        <v>0.02</v>
      </c>
      <c r="V109" s="108">
        <v>1515</v>
      </c>
      <c r="W109" s="108">
        <v>1276</v>
      </c>
      <c r="X109" s="108">
        <v>1321</v>
      </c>
      <c r="Y109" s="108">
        <v>383</v>
      </c>
      <c r="Z109" s="108">
        <v>1016</v>
      </c>
      <c r="AA109" s="108">
        <v>577</v>
      </c>
      <c r="AB109" s="108">
        <v>1406</v>
      </c>
      <c r="AC109" s="108">
        <v>1096</v>
      </c>
      <c r="AD109" s="98">
        <v>5.66</v>
      </c>
      <c r="AE109" s="98">
        <v>5.66</v>
      </c>
      <c r="AF109" s="98">
        <v>5.66</v>
      </c>
      <c r="AG109" s="98">
        <v>5.66</v>
      </c>
      <c r="AH109" s="98">
        <v>5.66</v>
      </c>
      <c r="AI109" s="98">
        <v>5.66</v>
      </c>
      <c r="AJ109" s="98">
        <v>5.66</v>
      </c>
      <c r="AK109" s="98">
        <v>5.66</v>
      </c>
      <c r="AL109" s="108">
        <v>3537525</v>
      </c>
      <c r="AM109" s="108">
        <v>2979460</v>
      </c>
      <c r="AN109" s="108">
        <v>3084535</v>
      </c>
      <c r="AO109" s="108">
        <v>894305</v>
      </c>
      <c r="AP109" s="108">
        <v>2372360</v>
      </c>
      <c r="AQ109" s="108">
        <v>1347295</v>
      </c>
      <c r="AR109" s="108">
        <v>3283010</v>
      </c>
      <c r="AS109" s="108">
        <v>2559160</v>
      </c>
    </row>
    <row r="110" spans="1:45">
      <c r="A110" s="92" t="s">
        <v>614</v>
      </c>
      <c r="B110" s="95" t="s">
        <v>278</v>
      </c>
      <c r="C110" s="92" t="s">
        <v>279</v>
      </c>
      <c r="D110" s="96" t="s">
        <v>338</v>
      </c>
      <c r="E110" s="97">
        <v>53500</v>
      </c>
      <c r="F110" s="107" t="s">
        <v>251</v>
      </c>
      <c r="G110" s="107" t="s">
        <v>251</v>
      </c>
      <c r="H110" s="107" t="s">
        <v>251</v>
      </c>
      <c r="I110" s="107"/>
      <c r="J110" s="107" t="s">
        <v>251</v>
      </c>
      <c r="K110" s="107" t="s">
        <v>251</v>
      </c>
      <c r="L110" s="107" t="s">
        <v>251</v>
      </c>
      <c r="M110" s="107" t="s">
        <v>251</v>
      </c>
      <c r="N110" s="98">
        <v>0.17</v>
      </c>
      <c r="O110" s="98">
        <v>0.17</v>
      </c>
      <c r="P110" s="98">
        <v>0.18</v>
      </c>
      <c r="Q110" s="98"/>
      <c r="R110" s="98">
        <v>0.17</v>
      </c>
      <c r="S110" s="98">
        <v>0.16</v>
      </c>
      <c r="T110" s="98">
        <v>0.25</v>
      </c>
      <c r="U110" s="98">
        <v>0.16</v>
      </c>
      <c r="V110" s="108">
        <v>471</v>
      </c>
      <c r="W110" s="108">
        <v>383</v>
      </c>
      <c r="X110" s="108">
        <v>433</v>
      </c>
      <c r="Y110" s="108"/>
      <c r="Z110" s="108">
        <v>310</v>
      </c>
      <c r="AA110" s="108">
        <v>169</v>
      </c>
      <c r="AB110" s="108">
        <v>426</v>
      </c>
      <c r="AC110" s="108">
        <v>335</v>
      </c>
      <c r="AD110" s="98">
        <v>84.48</v>
      </c>
      <c r="AE110" s="98">
        <v>84.48</v>
      </c>
      <c r="AF110" s="98">
        <v>84.48</v>
      </c>
      <c r="AG110" s="98"/>
      <c r="AH110" s="98">
        <v>84.48</v>
      </c>
      <c r="AI110" s="98">
        <v>84.48</v>
      </c>
      <c r="AJ110" s="98">
        <v>84.48</v>
      </c>
      <c r="AK110" s="98">
        <v>84.48</v>
      </c>
      <c r="AL110" s="108">
        <v>25198500</v>
      </c>
      <c r="AM110" s="108">
        <v>20490500</v>
      </c>
      <c r="AN110" s="108">
        <v>23165500</v>
      </c>
      <c r="AO110" s="108"/>
      <c r="AP110" s="108">
        <v>16585000</v>
      </c>
      <c r="AQ110" s="108">
        <v>9041500</v>
      </c>
      <c r="AR110" s="108">
        <v>22791000</v>
      </c>
      <c r="AS110" s="108">
        <v>17922500</v>
      </c>
    </row>
    <row r="111" spans="1:45">
      <c r="A111" s="99" t="s">
        <v>341</v>
      </c>
      <c r="B111" s="100" t="s">
        <v>604</v>
      </c>
      <c r="C111" s="101" t="s">
        <v>604</v>
      </c>
      <c r="D111" s="101" t="s">
        <v>604</v>
      </c>
      <c r="E111" s="101"/>
      <c r="F111" s="101"/>
      <c r="G111" s="101"/>
      <c r="H111" s="101"/>
      <c r="I111" s="101"/>
      <c r="J111" s="101"/>
      <c r="K111" s="101"/>
      <c r="L111" s="101"/>
      <c r="M111" s="101"/>
      <c r="N111" s="102">
        <v>0.19</v>
      </c>
      <c r="O111" s="102">
        <v>0.19</v>
      </c>
      <c r="P111" s="102">
        <v>0.19999999999999998</v>
      </c>
      <c r="Q111" s="102">
        <v>0.01</v>
      </c>
      <c r="R111" s="102">
        <v>0.19</v>
      </c>
      <c r="S111" s="102">
        <v>0.18</v>
      </c>
      <c r="T111" s="102">
        <v>0.28000000000000003</v>
      </c>
      <c r="U111" s="102">
        <v>0.18</v>
      </c>
      <c r="V111" s="103">
        <v>1986</v>
      </c>
      <c r="W111" s="103">
        <v>1659</v>
      </c>
      <c r="X111" s="103">
        <v>1754</v>
      </c>
      <c r="Y111" s="103">
        <v>383</v>
      </c>
      <c r="Z111" s="103">
        <v>1326</v>
      </c>
      <c r="AA111" s="103">
        <v>746</v>
      </c>
      <c r="AB111" s="103">
        <v>1832</v>
      </c>
      <c r="AC111" s="103">
        <v>1431</v>
      </c>
      <c r="AD111" s="101"/>
      <c r="AE111" s="101"/>
      <c r="AF111" s="101"/>
      <c r="AG111" s="101"/>
      <c r="AH111" s="101"/>
      <c r="AI111" s="101"/>
      <c r="AJ111" s="101"/>
      <c r="AK111" s="101"/>
      <c r="AL111" s="103">
        <v>28736025</v>
      </c>
      <c r="AM111" s="103">
        <v>23469960</v>
      </c>
      <c r="AN111" s="103">
        <v>26250035</v>
      </c>
      <c r="AO111" s="103">
        <v>894305</v>
      </c>
      <c r="AP111" s="103">
        <v>18957360</v>
      </c>
      <c r="AQ111" s="103">
        <v>10388795</v>
      </c>
      <c r="AR111" s="103">
        <v>26074010</v>
      </c>
      <c r="AS111" s="103">
        <v>20481660</v>
      </c>
    </row>
    <row r="112" spans="1:45">
      <c r="A112" s="92" t="s">
        <v>678</v>
      </c>
      <c r="B112" s="95" t="s">
        <v>369</v>
      </c>
      <c r="C112" s="92" t="s">
        <v>368</v>
      </c>
      <c r="D112" s="96" t="s">
        <v>338</v>
      </c>
      <c r="E112" s="97">
        <v>1380</v>
      </c>
      <c r="F112" s="107" t="s">
        <v>672</v>
      </c>
      <c r="G112" s="107" t="s">
        <v>672</v>
      </c>
      <c r="H112" s="107" t="s">
        <v>672</v>
      </c>
      <c r="I112" s="107"/>
      <c r="J112" s="107"/>
      <c r="K112" s="107"/>
      <c r="L112" s="107" t="s">
        <v>672</v>
      </c>
      <c r="M112" s="107"/>
      <c r="N112" s="98">
        <v>1.53</v>
      </c>
      <c r="O112" s="98">
        <v>1.79</v>
      </c>
      <c r="P112" s="98">
        <v>2.83</v>
      </c>
      <c r="Q112" s="98"/>
      <c r="R112" s="98"/>
      <c r="S112" s="98"/>
      <c r="T112" s="98">
        <v>1.8</v>
      </c>
      <c r="U112" s="98"/>
      <c r="V112" s="108">
        <v>160938</v>
      </c>
      <c r="W112" s="108">
        <v>150878</v>
      </c>
      <c r="X112" s="108">
        <v>251463</v>
      </c>
      <c r="Y112" s="108"/>
      <c r="Z112" s="108"/>
      <c r="AA112" s="108"/>
      <c r="AB112" s="108">
        <v>115672</v>
      </c>
      <c r="AC112" s="108"/>
      <c r="AD112" s="98">
        <v>178.43</v>
      </c>
      <c r="AE112" s="98">
        <v>178.43</v>
      </c>
      <c r="AF112" s="98">
        <v>178.43</v>
      </c>
      <c r="AG112" s="98"/>
      <c r="AH112" s="98"/>
      <c r="AI112" s="98"/>
      <c r="AJ112" s="98">
        <v>178.43</v>
      </c>
      <c r="AK112" s="98"/>
      <c r="AL112" s="108">
        <v>222094440</v>
      </c>
      <c r="AM112" s="108">
        <v>208211640</v>
      </c>
      <c r="AN112" s="108">
        <v>347018940</v>
      </c>
      <c r="AO112" s="108"/>
      <c r="AP112" s="108"/>
      <c r="AQ112" s="108"/>
      <c r="AR112" s="108">
        <v>159627360</v>
      </c>
      <c r="AS112" s="108"/>
    </row>
    <row r="113" spans="1:45">
      <c r="A113" s="92" t="s">
        <v>680</v>
      </c>
      <c r="B113" s="95" t="s">
        <v>364</v>
      </c>
      <c r="C113" s="92" t="s">
        <v>363</v>
      </c>
      <c r="D113" s="96" t="s">
        <v>338</v>
      </c>
      <c r="E113" s="97">
        <v>722</v>
      </c>
      <c r="F113" s="107" t="s">
        <v>672</v>
      </c>
      <c r="G113" s="107" t="s">
        <v>672</v>
      </c>
      <c r="H113" s="107" t="s">
        <v>672</v>
      </c>
      <c r="I113" s="107"/>
      <c r="J113" s="107" t="s">
        <v>672</v>
      </c>
      <c r="K113" s="107" t="s">
        <v>672</v>
      </c>
      <c r="L113" s="107" t="s">
        <v>672</v>
      </c>
      <c r="M113" s="107" t="s">
        <v>672</v>
      </c>
      <c r="N113" s="98">
        <v>0.04</v>
      </c>
      <c r="O113" s="98">
        <v>0.06</v>
      </c>
      <c r="P113" s="98">
        <v>0.05</v>
      </c>
      <c r="Q113" s="98"/>
      <c r="R113" s="98">
        <v>7.0000000000000007E-2</v>
      </c>
      <c r="S113" s="98">
        <v>0.06</v>
      </c>
      <c r="T113" s="98">
        <v>0.08</v>
      </c>
      <c r="U113" s="98">
        <v>0.06</v>
      </c>
      <c r="V113" s="108">
        <v>9813</v>
      </c>
      <c r="W113" s="108">
        <v>9813</v>
      </c>
      <c r="X113" s="108">
        <v>9813</v>
      </c>
      <c r="Y113" s="108"/>
      <c r="Z113" s="108">
        <v>9813</v>
      </c>
      <c r="AA113" s="108">
        <v>4907</v>
      </c>
      <c r="AB113" s="108">
        <v>9813</v>
      </c>
      <c r="AC113" s="108">
        <v>9813</v>
      </c>
      <c r="AD113" s="98">
        <v>-32.64</v>
      </c>
      <c r="AE113" s="98">
        <v>-32.64</v>
      </c>
      <c r="AF113" s="98">
        <v>-32.64</v>
      </c>
      <c r="AG113" s="98"/>
      <c r="AH113" s="98">
        <v>-32.64</v>
      </c>
      <c r="AI113" s="98">
        <v>-32.64</v>
      </c>
      <c r="AJ113" s="98">
        <v>-32.64</v>
      </c>
      <c r="AK113" s="98">
        <v>-32.64</v>
      </c>
      <c r="AL113" s="108">
        <v>7084986</v>
      </c>
      <c r="AM113" s="108">
        <v>7084986</v>
      </c>
      <c r="AN113" s="108">
        <v>7084986</v>
      </c>
      <c r="AO113" s="108"/>
      <c r="AP113" s="108">
        <v>7084986</v>
      </c>
      <c r="AQ113" s="108">
        <v>3542854</v>
      </c>
      <c r="AR113" s="108">
        <v>7084986</v>
      </c>
      <c r="AS113" s="108">
        <v>7084986</v>
      </c>
    </row>
    <row r="114" spans="1:45">
      <c r="A114" s="92" t="s">
        <v>675</v>
      </c>
      <c r="B114" s="95" t="s">
        <v>256</v>
      </c>
      <c r="C114" s="92" t="s">
        <v>257</v>
      </c>
      <c r="D114" s="96" t="s">
        <v>338</v>
      </c>
      <c r="E114" s="97">
        <v>10782.5</v>
      </c>
      <c r="F114" s="107" t="s">
        <v>672</v>
      </c>
      <c r="G114" s="107" t="s">
        <v>672</v>
      </c>
      <c r="H114" s="107"/>
      <c r="I114" s="107"/>
      <c r="J114" s="107"/>
      <c r="K114" s="107"/>
      <c r="L114" s="107" t="s">
        <v>672</v>
      </c>
      <c r="M114" s="107"/>
      <c r="N114" s="98">
        <v>3.73</v>
      </c>
      <c r="O114" s="98">
        <v>4.6500000000000004</v>
      </c>
      <c r="P114" s="98"/>
      <c r="Q114" s="98"/>
      <c r="R114" s="98"/>
      <c r="S114" s="98"/>
      <c r="T114" s="98">
        <v>6.11</v>
      </c>
      <c r="U114" s="98"/>
      <c r="V114" s="108">
        <v>500000000</v>
      </c>
      <c r="W114" s="108">
        <v>500000000</v>
      </c>
      <c r="X114" s="108"/>
      <c r="Y114" s="108"/>
      <c r="Z114" s="108"/>
      <c r="AA114" s="108"/>
      <c r="AB114" s="108">
        <v>500000000</v>
      </c>
      <c r="AC114" s="108"/>
      <c r="AD114" s="98">
        <v>5.98</v>
      </c>
      <c r="AE114" s="98">
        <v>5.98</v>
      </c>
      <c r="AF114" s="98"/>
      <c r="AG114" s="98"/>
      <c r="AH114" s="98"/>
      <c r="AI114" s="98"/>
      <c r="AJ114" s="98">
        <v>5.98</v>
      </c>
      <c r="AK114" s="98"/>
      <c r="AL114" s="108">
        <v>5391250000000</v>
      </c>
      <c r="AM114" s="108">
        <v>5391250000000</v>
      </c>
      <c r="AN114" s="108"/>
      <c r="AO114" s="108"/>
      <c r="AP114" s="108"/>
      <c r="AQ114" s="108"/>
      <c r="AR114" s="108">
        <v>5391250000000</v>
      </c>
      <c r="AS114" s="108"/>
    </row>
    <row r="115" spans="1:45">
      <c r="A115" s="92" t="s">
        <v>673</v>
      </c>
      <c r="B115" s="95" t="s">
        <v>267</v>
      </c>
      <c r="C115" s="92" t="s">
        <v>268</v>
      </c>
      <c r="D115" s="96" t="s">
        <v>338</v>
      </c>
      <c r="E115" s="97">
        <v>9119.15</v>
      </c>
      <c r="F115" s="107" t="s">
        <v>672</v>
      </c>
      <c r="G115" s="107" t="s">
        <v>672</v>
      </c>
      <c r="H115" s="107" t="s">
        <v>672</v>
      </c>
      <c r="I115" s="107"/>
      <c r="J115" s="107"/>
      <c r="K115" s="107"/>
      <c r="L115" s="107" t="s">
        <v>672</v>
      </c>
      <c r="M115" s="107"/>
      <c r="N115" s="98">
        <v>3.78</v>
      </c>
      <c r="O115" s="98">
        <v>3.94</v>
      </c>
      <c r="P115" s="98">
        <v>4.46</v>
      </c>
      <c r="Q115" s="98"/>
      <c r="R115" s="98"/>
      <c r="S115" s="98"/>
      <c r="T115" s="98">
        <v>6.2</v>
      </c>
      <c r="U115" s="98"/>
      <c r="V115" s="108">
        <v>600000000</v>
      </c>
      <c r="W115" s="108">
        <v>500000000</v>
      </c>
      <c r="X115" s="108">
        <v>600000000</v>
      </c>
      <c r="Y115" s="108"/>
      <c r="Z115" s="108"/>
      <c r="AA115" s="108"/>
      <c r="AB115" s="108">
        <v>600000000</v>
      </c>
      <c r="AC115" s="108"/>
      <c r="AD115" s="98">
        <v>-9.16</v>
      </c>
      <c r="AE115" s="98">
        <v>-9.16</v>
      </c>
      <c r="AF115" s="98">
        <v>-9.16</v>
      </c>
      <c r="AG115" s="98"/>
      <c r="AH115" s="98"/>
      <c r="AI115" s="98"/>
      <c r="AJ115" s="98">
        <v>-9.16</v>
      </c>
      <c r="AK115" s="98"/>
      <c r="AL115" s="108">
        <v>5471490000000</v>
      </c>
      <c r="AM115" s="108">
        <v>4559575000000</v>
      </c>
      <c r="AN115" s="108">
        <v>5471490000000</v>
      </c>
      <c r="AO115" s="108"/>
      <c r="AP115" s="108"/>
      <c r="AQ115" s="108"/>
      <c r="AR115" s="108">
        <v>5471490000000</v>
      </c>
      <c r="AS115" s="108"/>
    </row>
    <row r="116" spans="1:45">
      <c r="A116" s="92" t="s">
        <v>676</v>
      </c>
      <c r="B116" s="95" t="s">
        <v>357</v>
      </c>
      <c r="C116" s="92" t="s">
        <v>356</v>
      </c>
      <c r="D116" s="96" t="s">
        <v>338</v>
      </c>
      <c r="E116" s="97">
        <v>9742.5300000000007</v>
      </c>
      <c r="F116" s="107" t="s">
        <v>672</v>
      </c>
      <c r="G116" s="107" t="s">
        <v>672</v>
      </c>
      <c r="H116" s="107"/>
      <c r="I116" s="107"/>
      <c r="J116" s="107"/>
      <c r="K116" s="107"/>
      <c r="L116" s="107" t="s">
        <v>672</v>
      </c>
      <c r="M116" s="107"/>
      <c r="N116" s="98">
        <v>3.37</v>
      </c>
      <c r="O116" s="98">
        <v>4.21</v>
      </c>
      <c r="P116" s="98"/>
      <c r="Q116" s="98"/>
      <c r="R116" s="98"/>
      <c r="S116" s="98"/>
      <c r="T116" s="98">
        <v>5.52</v>
      </c>
      <c r="U116" s="98"/>
      <c r="V116" s="108">
        <v>500000000</v>
      </c>
      <c r="W116" s="108">
        <v>500000000</v>
      </c>
      <c r="X116" s="108"/>
      <c r="Y116" s="108"/>
      <c r="Z116" s="108"/>
      <c r="AA116" s="108"/>
      <c r="AB116" s="108">
        <v>500000000</v>
      </c>
      <c r="AC116" s="108"/>
      <c r="AD116" s="98">
        <v>-3.76</v>
      </c>
      <c r="AE116" s="98">
        <v>-3.76</v>
      </c>
      <c r="AF116" s="98"/>
      <c r="AG116" s="98"/>
      <c r="AH116" s="98"/>
      <c r="AI116" s="98"/>
      <c r="AJ116" s="98">
        <v>-3.76</v>
      </c>
      <c r="AK116" s="98"/>
      <c r="AL116" s="108">
        <v>4871265000000</v>
      </c>
      <c r="AM116" s="108">
        <v>4871265000000</v>
      </c>
      <c r="AN116" s="108"/>
      <c r="AO116" s="108"/>
      <c r="AP116" s="108"/>
      <c r="AQ116" s="108"/>
      <c r="AR116" s="108">
        <v>4871265000000</v>
      </c>
      <c r="AS116" s="108"/>
    </row>
    <row r="117" spans="1:45">
      <c r="A117" s="92" t="s">
        <v>681</v>
      </c>
      <c r="B117" s="95" t="s">
        <v>580</v>
      </c>
      <c r="C117" s="92" t="s">
        <v>579</v>
      </c>
      <c r="D117" s="96" t="s">
        <v>338</v>
      </c>
      <c r="E117" s="97">
        <v>9929.8700000000008</v>
      </c>
      <c r="F117" s="107" t="s">
        <v>672</v>
      </c>
      <c r="G117" s="107" t="s">
        <v>672</v>
      </c>
      <c r="H117" s="107" t="s">
        <v>672</v>
      </c>
      <c r="I117" s="107" t="s">
        <v>672</v>
      </c>
      <c r="J117" s="107" t="s">
        <v>672</v>
      </c>
      <c r="K117" s="107" t="s">
        <v>672</v>
      </c>
      <c r="L117" s="107"/>
      <c r="M117" s="107" t="s">
        <v>672</v>
      </c>
      <c r="N117" s="98">
        <v>2.06</v>
      </c>
      <c r="O117" s="98">
        <v>0</v>
      </c>
      <c r="P117" s="98">
        <v>2.14</v>
      </c>
      <c r="Q117" s="98">
        <v>1.89</v>
      </c>
      <c r="R117" s="98">
        <v>2.67</v>
      </c>
      <c r="S117" s="98">
        <v>2.6</v>
      </c>
      <c r="T117" s="98"/>
      <c r="U117" s="98">
        <v>2.66</v>
      </c>
      <c r="V117" s="108">
        <v>300000000</v>
      </c>
      <c r="W117" s="108">
        <v>0</v>
      </c>
      <c r="X117" s="108">
        <v>265000000</v>
      </c>
      <c r="Y117" s="108">
        <v>101000000</v>
      </c>
      <c r="Z117" s="108">
        <v>255900000</v>
      </c>
      <c r="AA117" s="108">
        <v>145900000</v>
      </c>
      <c r="AB117" s="108"/>
      <c r="AC117" s="108">
        <v>287976000</v>
      </c>
      <c r="AD117" s="98">
        <v>9.59</v>
      </c>
      <c r="AE117" s="98">
        <v>9.6</v>
      </c>
      <c r="AF117" s="98">
        <v>9.59</v>
      </c>
      <c r="AG117" s="98">
        <v>8.7899999999999991</v>
      </c>
      <c r="AH117" s="98">
        <v>8.3800000000000008</v>
      </c>
      <c r="AI117" s="98">
        <v>8.18</v>
      </c>
      <c r="AJ117" s="98"/>
      <c r="AK117" s="98">
        <v>8.4</v>
      </c>
      <c r="AL117" s="108">
        <v>2978961000000</v>
      </c>
      <c r="AM117" s="108">
        <v>0</v>
      </c>
      <c r="AN117" s="108">
        <v>2631415550000</v>
      </c>
      <c r="AO117" s="108">
        <v>1002916870000.0001</v>
      </c>
      <c r="AP117" s="108">
        <v>2541053733000</v>
      </c>
      <c r="AQ117" s="108">
        <v>1448768033000</v>
      </c>
      <c r="AR117" s="108"/>
      <c r="AS117" s="108">
        <v>2859564243120</v>
      </c>
    </row>
    <row r="118" spans="1:45">
      <c r="A118" s="92" t="s">
        <v>679</v>
      </c>
      <c r="B118" s="95" t="s">
        <v>354</v>
      </c>
      <c r="C118" s="92" t="s">
        <v>353</v>
      </c>
      <c r="D118" s="96" t="s">
        <v>338</v>
      </c>
      <c r="E118" s="97">
        <v>9292.81</v>
      </c>
      <c r="F118" s="107" t="s">
        <v>672</v>
      </c>
      <c r="G118" s="107" t="s">
        <v>672</v>
      </c>
      <c r="H118" s="107" t="s">
        <v>672</v>
      </c>
      <c r="I118" s="107"/>
      <c r="J118" s="107" t="s">
        <v>672</v>
      </c>
      <c r="K118" s="107" t="s">
        <v>672</v>
      </c>
      <c r="L118" s="107" t="s">
        <v>672</v>
      </c>
      <c r="M118" s="107" t="s">
        <v>672</v>
      </c>
      <c r="N118" s="98">
        <v>0.28000000000000003</v>
      </c>
      <c r="O118" s="98">
        <v>0.35</v>
      </c>
      <c r="P118" s="98">
        <v>0.33</v>
      </c>
      <c r="Q118" s="98"/>
      <c r="R118" s="98">
        <v>0.43</v>
      </c>
      <c r="S118" s="98">
        <v>0.37</v>
      </c>
      <c r="T118" s="98">
        <v>0.47</v>
      </c>
      <c r="U118" s="98">
        <v>0.38</v>
      </c>
      <c r="V118" s="108">
        <v>44650000</v>
      </c>
      <c r="W118" s="108">
        <v>44650000</v>
      </c>
      <c r="X118" s="108">
        <v>44650000</v>
      </c>
      <c r="Y118" s="108"/>
      <c r="Z118" s="108">
        <v>44650000</v>
      </c>
      <c r="AA118" s="108">
        <v>22325000</v>
      </c>
      <c r="AB118" s="108">
        <v>44650000</v>
      </c>
      <c r="AC118" s="108">
        <v>44650000</v>
      </c>
      <c r="AD118" s="98">
        <v>-2.73</v>
      </c>
      <c r="AE118" s="98">
        <v>-2.73</v>
      </c>
      <c r="AF118" s="98">
        <v>-2.73</v>
      </c>
      <c r="AG118" s="98"/>
      <c r="AH118" s="98">
        <v>-2.73</v>
      </c>
      <c r="AI118" s="98">
        <v>-2.73</v>
      </c>
      <c r="AJ118" s="98">
        <v>-2.73</v>
      </c>
      <c r="AK118" s="98">
        <v>-2.73</v>
      </c>
      <c r="AL118" s="108">
        <v>414923966500</v>
      </c>
      <c r="AM118" s="108">
        <v>414923966500</v>
      </c>
      <c r="AN118" s="108">
        <v>414923966500</v>
      </c>
      <c r="AO118" s="108"/>
      <c r="AP118" s="108">
        <v>414923966500</v>
      </c>
      <c r="AQ118" s="108">
        <v>207461983250</v>
      </c>
      <c r="AR118" s="108">
        <v>414923966500</v>
      </c>
      <c r="AS118" s="108">
        <v>414923966500</v>
      </c>
    </row>
    <row r="119" spans="1:45">
      <c r="A119" s="92" t="s">
        <v>682</v>
      </c>
      <c r="B119" s="95" t="s">
        <v>578</v>
      </c>
      <c r="C119" s="92" t="s">
        <v>577</v>
      </c>
      <c r="D119" s="96" t="s">
        <v>338</v>
      </c>
      <c r="E119" s="97">
        <v>9883.2999999999993</v>
      </c>
      <c r="F119" s="107" t="s">
        <v>672</v>
      </c>
      <c r="G119" s="107"/>
      <c r="H119" s="107" t="s">
        <v>672</v>
      </c>
      <c r="I119" s="107"/>
      <c r="J119" s="107" t="s">
        <v>672</v>
      </c>
      <c r="K119" s="107" t="s">
        <v>672</v>
      </c>
      <c r="L119" s="107"/>
      <c r="M119" s="107"/>
      <c r="N119" s="98">
        <v>0.68</v>
      </c>
      <c r="O119" s="98"/>
      <c r="P119" s="98">
        <v>0.8</v>
      </c>
      <c r="Q119" s="98"/>
      <c r="R119" s="98">
        <v>2.0699999999999998</v>
      </c>
      <c r="S119" s="98">
        <v>1.77</v>
      </c>
      <c r="T119" s="98"/>
      <c r="U119" s="98"/>
      <c r="V119" s="108">
        <v>100000000</v>
      </c>
      <c r="W119" s="108"/>
      <c r="X119" s="108">
        <v>100000000</v>
      </c>
      <c r="Y119" s="108"/>
      <c r="Z119" s="108">
        <v>200000000</v>
      </c>
      <c r="AA119" s="108">
        <v>100000000</v>
      </c>
      <c r="AB119" s="108"/>
      <c r="AC119" s="108"/>
      <c r="AD119" s="98">
        <v>-1.24</v>
      </c>
      <c r="AE119" s="98"/>
      <c r="AF119" s="98">
        <v>-1.24</v>
      </c>
      <c r="AG119" s="98"/>
      <c r="AH119" s="98">
        <v>-1.24</v>
      </c>
      <c r="AI119" s="98">
        <v>-1.24</v>
      </c>
      <c r="AJ119" s="98"/>
      <c r="AK119" s="98"/>
      <c r="AL119" s="108">
        <v>988329999999.99988</v>
      </c>
      <c r="AM119" s="108"/>
      <c r="AN119" s="108">
        <v>988329999999.99988</v>
      </c>
      <c r="AO119" s="108"/>
      <c r="AP119" s="108">
        <v>1976659999999.9998</v>
      </c>
      <c r="AQ119" s="108">
        <v>988329999999.99988</v>
      </c>
      <c r="AR119" s="108"/>
      <c r="AS119" s="108"/>
    </row>
    <row r="120" spans="1:45">
      <c r="A120" s="92" t="s">
        <v>674</v>
      </c>
      <c r="B120" s="95" t="s">
        <v>250</v>
      </c>
      <c r="C120" s="92" t="s">
        <v>351</v>
      </c>
      <c r="D120" s="96" t="s">
        <v>338</v>
      </c>
      <c r="E120" s="97">
        <v>10800.68</v>
      </c>
      <c r="F120" s="107" t="s">
        <v>672</v>
      </c>
      <c r="G120" s="107"/>
      <c r="H120" s="107"/>
      <c r="I120" s="107"/>
      <c r="J120" s="107"/>
      <c r="K120" s="107"/>
      <c r="L120" s="107" t="s">
        <v>672</v>
      </c>
      <c r="M120" s="107"/>
      <c r="N120" s="98">
        <v>3.73</v>
      </c>
      <c r="O120" s="98"/>
      <c r="P120" s="98"/>
      <c r="Q120" s="98"/>
      <c r="R120" s="98"/>
      <c r="S120" s="98"/>
      <c r="T120" s="98">
        <v>6.12</v>
      </c>
      <c r="U120" s="98"/>
      <c r="V120" s="108">
        <v>500000000</v>
      </c>
      <c r="W120" s="108"/>
      <c r="X120" s="108"/>
      <c r="Y120" s="108"/>
      <c r="Z120" s="108"/>
      <c r="AA120" s="108"/>
      <c r="AB120" s="108">
        <v>500000000</v>
      </c>
      <c r="AC120" s="108"/>
      <c r="AD120" s="98">
        <v>6.76</v>
      </c>
      <c r="AE120" s="98"/>
      <c r="AF120" s="98"/>
      <c r="AG120" s="98"/>
      <c r="AH120" s="98"/>
      <c r="AI120" s="98"/>
      <c r="AJ120" s="98">
        <v>6.76</v>
      </c>
      <c r="AK120" s="98"/>
      <c r="AL120" s="108">
        <v>5400340000000</v>
      </c>
      <c r="AM120" s="108"/>
      <c r="AN120" s="108"/>
      <c r="AO120" s="108"/>
      <c r="AP120" s="108"/>
      <c r="AQ120" s="108"/>
      <c r="AR120" s="108">
        <v>5400340000000</v>
      </c>
      <c r="AS120" s="108"/>
    </row>
    <row r="121" spans="1:45">
      <c r="A121" s="92" t="s">
        <v>677</v>
      </c>
      <c r="B121" s="95" t="s">
        <v>348</v>
      </c>
      <c r="C121" s="92" t="s">
        <v>347</v>
      </c>
      <c r="D121" s="96" t="s">
        <v>338</v>
      </c>
      <c r="E121" s="97">
        <v>9538.92</v>
      </c>
      <c r="F121" s="107" t="s">
        <v>672</v>
      </c>
      <c r="G121" s="107" t="s">
        <v>672</v>
      </c>
      <c r="H121" s="107" t="s">
        <v>672</v>
      </c>
      <c r="I121" s="107" t="s">
        <v>672</v>
      </c>
      <c r="J121" s="107" t="s">
        <v>672</v>
      </c>
      <c r="K121" s="107" t="s">
        <v>672</v>
      </c>
      <c r="L121" s="107" t="s">
        <v>672</v>
      </c>
      <c r="M121" s="107"/>
      <c r="N121" s="98">
        <v>1.32</v>
      </c>
      <c r="O121" s="98">
        <v>2.4700000000000002</v>
      </c>
      <c r="P121" s="98">
        <v>3.11</v>
      </c>
      <c r="Q121" s="98">
        <v>3.6</v>
      </c>
      <c r="R121" s="98">
        <v>5.01</v>
      </c>
      <c r="S121" s="98">
        <v>3.43</v>
      </c>
      <c r="T121" s="98">
        <v>2.16</v>
      </c>
      <c r="U121" s="98"/>
      <c r="V121" s="108">
        <v>200000000</v>
      </c>
      <c r="W121" s="108">
        <v>300000000</v>
      </c>
      <c r="X121" s="108">
        <v>400000000</v>
      </c>
      <c r="Y121" s="108">
        <v>200000000</v>
      </c>
      <c r="Z121" s="108">
        <v>500000000</v>
      </c>
      <c r="AA121" s="108">
        <v>200000000</v>
      </c>
      <c r="AB121" s="108">
        <v>200000000</v>
      </c>
      <c r="AC121" s="108"/>
      <c r="AD121" s="98">
        <v>-4.8</v>
      </c>
      <c r="AE121" s="98">
        <v>-4.8</v>
      </c>
      <c r="AF121" s="98">
        <v>-4.8</v>
      </c>
      <c r="AG121" s="98">
        <v>-4.8</v>
      </c>
      <c r="AH121" s="98">
        <v>-4.8</v>
      </c>
      <c r="AI121" s="98">
        <v>-4.8</v>
      </c>
      <c r="AJ121" s="98">
        <v>-4.8</v>
      </c>
      <c r="AK121" s="98"/>
      <c r="AL121" s="108">
        <v>1907784000000</v>
      </c>
      <c r="AM121" s="108">
        <v>2861676000000</v>
      </c>
      <c r="AN121" s="108">
        <v>3815568000000</v>
      </c>
      <c r="AO121" s="108">
        <v>1907784000000</v>
      </c>
      <c r="AP121" s="108">
        <v>4769460000000</v>
      </c>
      <c r="AQ121" s="108">
        <v>1907784000000</v>
      </c>
      <c r="AR121" s="108">
        <v>1907784000000</v>
      </c>
      <c r="AS121" s="108"/>
    </row>
    <row r="122" spans="1:45">
      <c r="A122" s="92" t="s">
        <v>683</v>
      </c>
      <c r="B122" s="95" t="s">
        <v>593</v>
      </c>
      <c r="C122" s="92" t="s">
        <v>592</v>
      </c>
      <c r="D122" s="96" t="s">
        <v>338</v>
      </c>
      <c r="E122" s="97">
        <v>9002.5300000000007</v>
      </c>
      <c r="F122" s="107" t="s">
        <v>672</v>
      </c>
      <c r="G122" s="107" t="s">
        <v>672</v>
      </c>
      <c r="H122" s="107" t="s">
        <v>672</v>
      </c>
      <c r="I122" s="107"/>
      <c r="J122" s="107"/>
      <c r="K122" s="107"/>
      <c r="L122" s="107"/>
      <c r="M122" s="107"/>
      <c r="N122" s="98">
        <v>1.49</v>
      </c>
      <c r="O122" s="98">
        <v>0</v>
      </c>
      <c r="P122" s="98">
        <v>5.94</v>
      </c>
      <c r="Q122" s="98"/>
      <c r="R122" s="98"/>
      <c r="S122" s="98"/>
      <c r="T122" s="98"/>
      <c r="U122" s="98"/>
      <c r="V122" s="108">
        <v>239148000</v>
      </c>
      <c r="W122" s="108">
        <v>0</v>
      </c>
      <c r="X122" s="108">
        <v>808478000</v>
      </c>
      <c r="Y122" s="108"/>
      <c r="Z122" s="108"/>
      <c r="AA122" s="108"/>
      <c r="AB122" s="108"/>
      <c r="AC122" s="108"/>
      <c r="AD122" s="98">
        <v>2.4</v>
      </c>
      <c r="AE122" s="98">
        <v>2.4</v>
      </c>
      <c r="AF122" s="98">
        <v>2.37</v>
      </c>
      <c r="AG122" s="98"/>
      <c r="AH122" s="98"/>
      <c r="AI122" s="98"/>
      <c r="AJ122" s="98"/>
      <c r="AK122" s="98"/>
      <c r="AL122" s="108">
        <v>2152937044440.0002</v>
      </c>
      <c r="AM122" s="108">
        <v>0</v>
      </c>
      <c r="AN122" s="108">
        <v>7278347449340.001</v>
      </c>
      <c r="AO122" s="108"/>
      <c r="AP122" s="108"/>
      <c r="AQ122" s="108"/>
      <c r="AR122" s="108"/>
      <c r="AS122" s="108"/>
    </row>
    <row r="123" spans="1:45">
      <c r="A123" s="92" t="s">
        <v>735</v>
      </c>
      <c r="B123" s="95" t="s">
        <v>581</v>
      </c>
      <c r="C123" s="92" t="s">
        <v>736</v>
      </c>
      <c r="D123" s="96" t="s">
        <v>338</v>
      </c>
      <c r="E123" s="97"/>
      <c r="F123" s="107"/>
      <c r="G123" s="107"/>
      <c r="H123" s="107"/>
      <c r="I123" s="107"/>
      <c r="J123" s="107"/>
      <c r="K123" s="107"/>
      <c r="L123" s="107"/>
      <c r="M123" s="107"/>
      <c r="N123" s="98"/>
      <c r="O123" s="98"/>
      <c r="P123" s="98"/>
      <c r="Q123" s="98"/>
      <c r="R123" s="98"/>
      <c r="S123" s="98"/>
      <c r="T123" s="98"/>
      <c r="U123" s="98"/>
      <c r="V123" s="108"/>
      <c r="W123" s="108"/>
      <c r="X123" s="108"/>
      <c r="Y123" s="108"/>
      <c r="Z123" s="108"/>
      <c r="AA123" s="108"/>
      <c r="AB123" s="108"/>
      <c r="AC123" s="108"/>
      <c r="AD123" s="98"/>
      <c r="AE123" s="98"/>
      <c r="AF123" s="98"/>
      <c r="AG123" s="98"/>
      <c r="AH123" s="98"/>
      <c r="AI123" s="98"/>
      <c r="AJ123" s="98"/>
      <c r="AK123" s="98"/>
      <c r="AL123" s="108"/>
      <c r="AM123" s="108"/>
      <c r="AN123" s="108"/>
      <c r="AO123" s="108"/>
      <c r="AP123" s="108"/>
      <c r="AQ123" s="108"/>
      <c r="AR123" s="108"/>
      <c r="AS123" s="108"/>
    </row>
    <row r="124" spans="1:45">
      <c r="A124" s="99" t="s">
        <v>341</v>
      </c>
      <c r="B124" s="100" t="s">
        <v>604</v>
      </c>
      <c r="C124" s="101" t="s">
        <v>604</v>
      </c>
      <c r="D124" s="101" t="s">
        <v>604</v>
      </c>
      <c r="E124" s="101"/>
      <c r="F124" s="101"/>
      <c r="G124" s="101"/>
      <c r="H124" s="101"/>
      <c r="I124" s="101"/>
      <c r="J124" s="101"/>
      <c r="K124" s="101"/>
      <c r="L124" s="101"/>
      <c r="M124" s="101"/>
      <c r="N124" s="102">
        <v>22.009999999999998</v>
      </c>
      <c r="O124" s="102">
        <v>17.47</v>
      </c>
      <c r="P124" s="102">
        <v>19.66</v>
      </c>
      <c r="Q124" s="102">
        <v>5.49</v>
      </c>
      <c r="R124" s="102">
        <v>10.25</v>
      </c>
      <c r="S124" s="102">
        <v>8.23</v>
      </c>
      <c r="T124" s="102">
        <v>28.46</v>
      </c>
      <c r="U124" s="102">
        <v>3.1</v>
      </c>
      <c r="V124" s="103">
        <v>2983968751</v>
      </c>
      <c r="W124" s="103">
        <v>1844810691</v>
      </c>
      <c r="X124" s="103">
        <v>2218389276</v>
      </c>
      <c r="Y124" s="103">
        <v>301000000</v>
      </c>
      <c r="Z124" s="103">
        <v>1000559813</v>
      </c>
      <c r="AA124" s="103">
        <v>468229907</v>
      </c>
      <c r="AB124" s="103">
        <v>2344775485</v>
      </c>
      <c r="AC124" s="103">
        <v>332635813</v>
      </c>
      <c r="AD124" s="101"/>
      <c r="AE124" s="101"/>
      <c r="AF124" s="101"/>
      <c r="AG124" s="101"/>
      <c r="AH124" s="101"/>
      <c r="AI124" s="101"/>
      <c r="AJ124" s="101"/>
      <c r="AK124" s="101"/>
      <c r="AL124" s="103">
        <v>29577510190366</v>
      </c>
      <c r="AM124" s="103">
        <v>18098905263126</v>
      </c>
      <c r="AN124" s="103">
        <v>20600429069766</v>
      </c>
      <c r="AO124" s="103">
        <v>2910700870000</v>
      </c>
      <c r="AP124" s="103">
        <v>9702104784486</v>
      </c>
      <c r="AQ124" s="103">
        <v>4552347559104</v>
      </c>
      <c r="AR124" s="103">
        <v>23457219678846</v>
      </c>
      <c r="AS124" s="103">
        <v>3274495294606</v>
      </c>
    </row>
    <row r="125" spans="1:45">
      <c r="A125" s="92" t="s">
        <v>622</v>
      </c>
      <c r="B125" s="95" t="s">
        <v>589</v>
      </c>
      <c r="C125" s="92" t="s">
        <v>588</v>
      </c>
      <c r="D125" s="96" t="s">
        <v>338</v>
      </c>
      <c r="E125" s="97">
        <v>25610</v>
      </c>
      <c r="F125" s="107" t="s">
        <v>590</v>
      </c>
      <c r="G125" s="107" t="s">
        <v>590</v>
      </c>
      <c r="H125" s="107" t="s">
        <v>590</v>
      </c>
      <c r="I125" s="107"/>
      <c r="J125" s="107"/>
      <c r="K125" s="107"/>
      <c r="L125" s="107"/>
      <c r="M125" s="107"/>
      <c r="N125" s="98">
        <v>0</v>
      </c>
      <c r="O125" s="98">
        <v>0</v>
      </c>
      <c r="P125" s="98">
        <v>0</v>
      </c>
      <c r="Q125" s="98"/>
      <c r="R125" s="98"/>
      <c r="S125" s="98"/>
      <c r="T125" s="98"/>
      <c r="U125" s="98"/>
      <c r="V125" s="108">
        <v>1</v>
      </c>
      <c r="W125" s="108">
        <v>1</v>
      </c>
      <c r="X125" s="108">
        <v>1</v>
      </c>
      <c r="Y125" s="108"/>
      <c r="Z125" s="108"/>
      <c r="AA125" s="108"/>
      <c r="AB125" s="108"/>
      <c r="AC125" s="108"/>
      <c r="AD125" s="98">
        <v>5.17</v>
      </c>
      <c r="AE125" s="98">
        <v>5.15</v>
      </c>
      <c r="AF125" s="98">
        <v>5.15</v>
      </c>
      <c r="AG125" s="98"/>
      <c r="AH125" s="98"/>
      <c r="AI125" s="98"/>
      <c r="AJ125" s="98"/>
      <c r="AK125" s="98"/>
      <c r="AL125" s="108">
        <v>25610</v>
      </c>
      <c r="AM125" s="108">
        <v>25610</v>
      </c>
      <c r="AN125" s="108">
        <v>25610</v>
      </c>
      <c r="AO125" s="108"/>
      <c r="AP125" s="108"/>
      <c r="AQ125" s="108"/>
      <c r="AR125" s="108"/>
      <c r="AS125" s="108"/>
    </row>
    <row r="126" spans="1:45">
      <c r="A126" s="99" t="s">
        <v>341</v>
      </c>
      <c r="B126" s="100" t="s">
        <v>604</v>
      </c>
      <c r="C126" s="101" t="s">
        <v>604</v>
      </c>
      <c r="D126" s="101" t="s">
        <v>604</v>
      </c>
      <c r="E126" s="101"/>
      <c r="F126" s="101"/>
      <c r="G126" s="101"/>
      <c r="H126" s="101"/>
      <c r="I126" s="101"/>
      <c r="J126" s="101"/>
      <c r="K126" s="101"/>
      <c r="L126" s="101"/>
      <c r="M126" s="101"/>
      <c r="N126" s="102">
        <v>0</v>
      </c>
      <c r="O126" s="102">
        <v>0</v>
      </c>
      <c r="P126" s="102">
        <v>0</v>
      </c>
      <c r="Q126" s="102">
        <v>0</v>
      </c>
      <c r="R126" s="102">
        <v>0</v>
      </c>
      <c r="S126" s="102">
        <v>0</v>
      </c>
      <c r="T126" s="102">
        <v>0</v>
      </c>
      <c r="U126" s="102">
        <v>0</v>
      </c>
      <c r="V126" s="103">
        <v>1</v>
      </c>
      <c r="W126" s="103">
        <v>1</v>
      </c>
      <c r="X126" s="103">
        <v>1</v>
      </c>
      <c r="Y126" s="103">
        <v>0</v>
      </c>
      <c r="Z126" s="103">
        <v>0</v>
      </c>
      <c r="AA126" s="103">
        <v>0</v>
      </c>
      <c r="AB126" s="103">
        <v>0</v>
      </c>
      <c r="AC126" s="103">
        <v>0</v>
      </c>
      <c r="AD126" s="101"/>
      <c r="AE126" s="101"/>
      <c r="AF126" s="101"/>
      <c r="AG126" s="101"/>
      <c r="AH126" s="101"/>
      <c r="AI126" s="101"/>
      <c r="AJ126" s="101"/>
      <c r="AK126" s="101"/>
      <c r="AL126" s="103">
        <v>25610</v>
      </c>
      <c r="AM126" s="103">
        <v>25610</v>
      </c>
      <c r="AN126" s="103">
        <v>25610</v>
      </c>
      <c r="AO126" s="103">
        <v>0</v>
      </c>
      <c r="AP126" s="103">
        <v>0</v>
      </c>
      <c r="AQ126" s="103">
        <v>0</v>
      </c>
      <c r="AR126" s="103">
        <v>0</v>
      </c>
      <c r="AS126" s="103">
        <v>0</v>
      </c>
    </row>
    <row r="127" spans="1:45">
      <c r="A127" s="92" t="s">
        <v>623</v>
      </c>
      <c r="B127" s="95" t="s">
        <v>584</v>
      </c>
      <c r="C127" s="92" t="s">
        <v>583</v>
      </c>
      <c r="D127" s="96" t="s">
        <v>338</v>
      </c>
      <c r="E127" s="97">
        <v>7750</v>
      </c>
      <c r="F127" s="107" t="s">
        <v>585</v>
      </c>
      <c r="G127" s="107" t="s">
        <v>585</v>
      </c>
      <c r="H127" s="107" t="s">
        <v>585</v>
      </c>
      <c r="I127" s="107"/>
      <c r="J127" s="107"/>
      <c r="K127" s="107"/>
      <c r="L127" s="107"/>
      <c r="M127" s="107"/>
      <c r="N127" s="98">
        <v>0</v>
      </c>
      <c r="O127" s="98">
        <v>0</v>
      </c>
      <c r="P127" s="98">
        <v>0</v>
      </c>
      <c r="Q127" s="98"/>
      <c r="R127" s="98"/>
      <c r="S127" s="98"/>
      <c r="T127" s="98"/>
      <c r="U127" s="98"/>
      <c r="V127" s="108">
        <v>1</v>
      </c>
      <c r="W127" s="108">
        <v>1</v>
      </c>
      <c r="X127" s="108">
        <v>1</v>
      </c>
      <c r="Y127" s="108"/>
      <c r="Z127" s="108"/>
      <c r="AA127" s="108"/>
      <c r="AB127" s="108"/>
      <c r="AC127" s="108"/>
      <c r="AD127" s="98">
        <v>-5.0199999999999996</v>
      </c>
      <c r="AE127" s="98">
        <v>-5.0199999999999996</v>
      </c>
      <c r="AF127" s="98">
        <v>-5.0199999999999996</v>
      </c>
      <c r="AG127" s="98"/>
      <c r="AH127" s="98"/>
      <c r="AI127" s="98"/>
      <c r="AJ127" s="98"/>
      <c r="AK127" s="98"/>
      <c r="AL127" s="108">
        <v>7750</v>
      </c>
      <c r="AM127" s="108">
        <v>7750</v>
      </c>
      <c r="AN127" s="108">
        <v>7750</v>
      </c>
      <c r="AO127" s="108"/>
      <c r="AP127" s="108"/>
      <c r="AQ127" s="108"/>
      <c r="AR127" s="108"/>
      <c r="AS127" s="108"/>
    </row>
    <row r="128" spans="1:45">
      <c r="A128" s="99" t="s">
        <v>341</v>
      </c>
      <c r="B128" s="100" t="s">
        <v>604</v>
      </c>
      <c r="C128" s="101" t="s">
        <v>604</v>
      </c>
      <c r="D128" s="101" t="s">
        <v>604</v>
      </c>
      <c r="E128" s="101"/>
      <c r="F128" s="101"/>
      <c r="G128" s="101"/>
      <c r="H128" s="101"/>
      <c r="I128" s="101"/>
      <c r="J128" s="101"/>
      <c r="K128" s="101"/>
      <c r="L128" s="101"/>
      <c r="M128" s="101"/>
      <c r="N128" s="102">
        <v>0</v>
      </c>
      <c r="O128" s="102">
        <v>0</v>
      </c>
      <c r="P128" s="102">
        <v>0</v>
      </c>
      <c r="Q128" s="102">
        <v>0</v>
      </c>
      <c r="R128" s="102">
        <v>0</v>
      </c>
      <c r="S128" s="102">
        <v>0</v>
      </c>
      <c r="T128" s="102">
        <v>0</v>
      </c>
      <c r="U128" s="102">
        <v>0</v>
      </c>
      <c r="V128" s="103">
        <v>1</v>
      </c>
      <c r="W128" s="103">
        <v>1</v>
      </c>
      <c r="X128" s="103">
        <v>1</v>
      </c>
      <c r="Y128" s="103">
        <v>0</v>
      </c>
      <c r="Z128" s="103">
        <v>0</v>
      </c>
      <c r="AA128" s="103">
        <v>0</v>
      </c>
      <c r="AB128" s="103">
        <v>0</v>
      </c>
      <c r="AC128" s="103">
        <v>0</v>
      </c>
      <c r="AD128" s="101"/>
      <c r="AE128" s="101"/>
      <c r="AF128" s="101"/>
      <c r="AG128" s="101"/>
      <c r="AH128" s="101"/>
      <c r="AI128" s="101"/>
      <c r="AJ128" s="101"/>
      <c r="AK128" s="101"/>
      <c r="AL128" s="103">
        <v>7750</v>
      </c>
      <c r="AM128" s="103">
        <v>7750</v>
      </c>
      <c r="AN128" s="103">
        <v>7750</v>
      </c>
      <c r="AO128" s="103">
        <v>0</v>
      </c>
      <c r="AP128" s="103">
        <v>0</v>
      </c>
      <c r="AQ128" s="103">
        <v>0</v>
      </c>
      <c r="AR128" s="103">
        <v>0</v>
      </c>
      <c r="AS128" s="103">
        <v>0</v>
      </c>
    </row>
    <row r="129" spans="1:45">
      <c r="A129" s="92" t="s">
        <v>615</v>
      </c>
      <c r="B129" s="95" t="s">
        <v>319</v>
      </c>
      <c r="C129" s="92" t="s">
        <v>344</v>
      </c>
      <c r="D129" s="96" t="s">
        <v>338</v>
      </c>
      <c r="E129" s="97">
        <v>9471.67</v>
      </c>
      <c r="F129" s="107" t="s">
        <v>318</v>
      </c>
      <c r="G129" s="107" t="s">
        <v>318</v>
      </c>
      <c r="H129" s="107" t="s">
        <v>318</v>
      </c>
      <c r="I129" s="107" t="s">
        <v>318</v>
      </c>
      <c r="J129" s="107" t="s">
        <v>318</v>
      </c>
      <c r="K129" s="107" t="s">
        <v>318</v>
      </c>
      <c r="L129" s="107" t="s">
        <v>318</v>
      </c>
      <c r="M129" s="107" t="s">
        <v>318</v>
      </c>
      <c r="N129" s="98">
        <v>16.39</v>
      </c>
      <c r="O129" s="98">
        <v>18</v>
      </c>
      <c r="P129" s="98">
        <v>17</v>
      </c>
      <c r="Q129" s="98">
        <v>14.3</v>
      </c>
      <c r="R129" s="98">
        <v>17.93</v>
      </c>
      <c r="S129" s="98">
        <v>17.05</v>
      </c>
      <c r="T129" s="98">
        <v>16.100000000000001</v>
      </c>
      <c r="U129" s="98">
        <v>26.5</v>
      </c>
      <c r="V129" s="108">
        <v>2500000000</v>
      </c>
      <c r="W129" s="108">
        <v>2200000000</v>
      </c>
      <c r="X129" s="108">
        <v>2200000000</v>
      </c>
      <c r="Y129" s="108">
        <v>800000000</v>
      </c>
      <c r="Z129" s="108">
        <v>1800000000</v>
      </c>
      <c r="AA129" s="108">
        <v>1000000000</v>
      </c>
      <c r="AB129" s="108">
        <v>1500000000</v>
      </c>
      <c r="AC129" s="108">
        <v>3000000000</v>
      </c>
      <c r="AD129" s="98">
        <v>-5.28</v>
      </c>
      <c r="AE129" s="98">
        <v>-5.28</v>
      </c>
      <c r="AF129" s="98">
        <v>-5.28</v>
      </c>
      <c r="AG129" s="98">
        <v>-5.28</v>
      </c>
      <c r="AH129" s="98">
        <v>-5.28</v>
      </c>
      <c r="AI129" s="98">
        <v>-5.28</v>
      </c>
      <c r="AJ129" s="98">
        <v>-5.28</v>
      </c>
      <c r="AK129" s="98">
        <v>-5.28</v>
      </c>
      <c r="AL129" s="108">
        <v>23679175000000</v>
      </c>
      <c r="AM129" s="108">
        <v>20837674000000</v>
      </c>
      <c r="AN129" s="108">
        <v>20837674000000</v>
      </c>
      <c r="AO129" s="108">
        <v>7577336000000</v>
      </c>
      <c r="AP129" s="108">
        <v>17049006000000</v>
      </c>
      <c r="AQ129" s="108">
        <v>9471670000000</v>
      </c>
      <c r="AR129" s="108">
        <v>14207505000000</v>
      </c>
      <c r="AS129" s="108">
        <v>28415010000000</v>
      </c>
    </row>
    <row r="130" spans="1:45">
      <c r="A130" s="99" t="s">
        <v>341</v>
      </c>
      <c r="B130" s="100" t="s">
        <v>604</v>
      </c>
      <c r="C130" s="101" t="s">
        <v>604</v>
      </c>
      <c r="D130" s="101" t="s">
        <v>604</v>
      </c>
      <c r="E130" s="101"/>
      <c r="F130" s="101"/>
      <c r="G130" s="101"/>
      <c r="H130" s="101"/>
      <c r="I130" s="101"/>
      <c r="J130" s="101"/>
      <c r="K130" s="101"/>
      <c r="L130" s="101"/>
      <c r="M130" s="101"/>
      <c r="N130" s="102">
        <v>16.39</v>
      </c>
      <c r="O130" s="102">
        <v>18</v>
      </c>
      <c r="P130" s="102">
        <v>17</v>
      </c>
      <c r="Q130" s="102">
        <v>14.3</v>
      </c>
      <c r="R130" s="102">
        <v>17.93</v>
      </c>
      <c r="S130" s="102">
        <v>17.05</v>
      </c>
      <c r="T130" s="102">
        <v>16.100000000000001</v>
      </c>
      <c r="U130" s="102">
        <v>26.5</v>
      </c>
      <c r="V130" s="103">
        <v>2500000000</v>
      </c>
      <c r="W130" s="103">
        <v>2200000000</v>
      </c>
      <c r="X130" s="103">
        <v>2200000000</v>
      </c>
      <c r="Y130" s="103">
        <v>800000000</v>
      </c>
      <c r="Z130" s="103">
        <v>1800000000</v>
      </c>
      <c r="AA130" s="103">
        <v>1000000000</v>
      </c>
      <c r="AB130" s="103">
        <v>1500000000</v>
      </c>
      <c r="AC130" s="103">
        <v>3000000000</v>
      </c>
      <c r="AD130" s="101"/>
      <c r="AE130" s="101"/>
      <c r="AF130" s="101"/>
      <c r="AG130" s="101"/>
      <c r="AH130" s="101"/>
      <c r="AI130" s="101"/>
      <c r="AJ130" s="101"/>
      <c r="AK130" s="101"/>
      <c r="AL130" s="103">
        <v>23679175000000</v>
      </c>
      <c r="AM130" s="103">
        <v>20837674000000</v>
      </c>
      <c r="AN130" s="103">
        <v>20837674000000</v>
      </c>
      <c r="AO130" s="103">
        <v>7577336000000</v>
      </c>
      <c r="AP130" s="103">
        <v>17049006000000</v>
      </c>
      <c r="AQ130" s="103">
        <v>9471670000000</v>
      </c>
      <c r="AR130" s="103">
        <v>14207505000000</v>
      </c>
      <c r="AS130" s="103">
        <v>28415010000000</v>
      </c>
    </row>
  </sheetData>
  <sortState ref="A112:AS123">
    <sortCondition descending="1" ref="T112"/>
  </sortState>
  <phoneticPr fontId="1" type="noConversion"/>
  <conditionalFormatting sqref="F7">
    <cfRule type="expression" dxfId="223" priority="224">
      <formula>LEN(F7)=0</formula>
    </cfRule>
  </conditionalFormatting>
  <conditionalFormatting sqref="G7:M7">
    <cfRule type="expression" dxfId="222" priority="223">
      <formula>LEN(G7)=0</formula>
    </cfRule>
  </conditionalFormatting>
  <conditionalFormatting sqref="F8">
    <cfRule type="expression" dxfId="221" priority="222">
      <formula>LEN(F8)=0</formula>
    </cfRule>
  </conditionalFormatting>
  <conditionalFormatting sqref="G8:M8">
    <cfRule type="expression" dxfId="220" priority="221">
      <formula>LEN(G8)=0</formula>
    </cfRule>
  </conditionalFormatting>
  <conditionalFormatting sqref="F9">
    <cfRule type="expression" dxfId="219" priority="220">
      <formula>LEN(F9)=0</formula>
    </cfRule>
  </conditionalFormatting>
  <conditionalFormatting sqref="G9:M9">
    <cfRule type="expression" dxfId="218" priority="219">
      <formula>LEN(G9)=0</formula>
    </cfRule>
  </conditionalFormatting>
  <conditionalFormatting sqref="F10">
    <cfRule type="expression" dxfId="217" priority="218">
      <formula>LEN(F10)=0</formula>
    </cfRule>
  </conditionalFormatting>
  <conditionalFormatting sqref="G10:M10">
    <cfRule type="expression" dxfId="216" priority="217">
      <formula>LEN(G10)=0</formula>
    </cfRule>
  </conditionalFormatting>
  <conditionalFormatting sqref="F11">
    <cfRule type="expression" dxfId="215" priority="216">
      <formula>LEN(F11)=0</formula>
    </cfRule>
  </conditionalFormatting>
  <conditionalFormatting sqref="G11:M11">
    <cfRule type="expression" dxfId="214" priority="215">
      <formula>LEN(G11)=0</formula>
    </cfRule>
  </conditionalFormatting>
  <conditionalFormatting sqref="F12">
    <cfRule type="expression" dxfId="213" priority="214">
      <formula>LEN(F12)=0</formula>
    </cfRule>
  </conditionalFormatting>
  <conditionalFormatting sqref="G12:M12">
    <cfRule type="expression" dxfId="212" priority="213">
      <formula>LEN(G12)=0</formula>
    </cfRule>
  </conditionalFormatting>
  <conditionalFormatting sqref="F13">
    <cfRule type="expression" dxfId="211" priority="212">
      <formula>LEN(F13)=0</formula>
    </cfRule>
  </conditionalFormatting>
  <conditionalFormatting sqref="G13:M13">
    <cfRule type="expression" dxfId="210" priority="211">
      <formula>LEN(G13)=0</formula>
    </cfRule>
  </conditionalFormatting>
  <conditionalFormatting sqref="F14">
    <cfRule type="expression" dxfId="209" priority="210">
      <formula>LEN(F14)=0</formula>
    </cfRule>
  </conditionalFormatting>
  <conditionalFormatting sqref="G14:M14">
    <cfRule type="expression" dxfId="208" priority="209">
      <formula>LEN(G14)=0</formula>
    </cfRule>
  </conditionalFormatting>
  <conditionalFormatting sqref="F15">
    <cfRule type="expression" dxfId="207" priority="208">
      <formula>LEN(F15)=0</formula>
    </cfRule>
  </conditionalFormatting>
  <conditionalFormatting sqref="G15:M15">
    <cfRule type="expression" dxfId="206" priority="207">
      <formula>LEN(G15)=0</formula>
    </cfRule>
  </conditionalFormatting>
  <conditionalFormatting sqref="F16">
    <cfRule type="expression" dxfId="205" priority="206">
      <formula>LEN(F16)=0</formula>
    </cfRule>
  </conditionalFormatting>
  <conditionalFormatting sqref="G16:M16">
    <cfRule type="expression" dxfId="204" priority="205">
      <formula>LEN(G16)=0</formula>
    </cfRule>
  </conditionalFormatting>
  <conditionalFormatting sqref="F17">
    <cfRule type="expression" dxfId="203" priority="204">
      <formula>LEN(F17)=0</formula>
    </cfRule>
  </conditionalFormatting>
  <conditionalFormatting sqref="G17:M17">
    <cfRule type="expression" dxfId="202" priority="203">
      <formula>LEN(G17)=0</formula>
    </cfRule>
  </conditionalFormatting>
  <conditionalFormatting sqref="F18">
    <cfRule type="expression" dxfId="201" priority="202">
      <formula>LEN(F18)=0</formula>
    </cfRule>
  </conditionalFormatting>
  <conditionalFormatting sqref="G18:M18">
    <cfRule type="expression" dxfId="200" priority="201">
      <formula>LEN(G18)=0</formula>
    </cfRule>
  </conditionalFormatting>
  <conditionalFormatting sqref="F19">
    <cfRule type="expression" dxfId="199" priority="200">
      <formula>LEN(F19)=0</formula>
    </cfRule>
  </conditionalFormatting>
  <conditionalFormatting sqref="G19:M19">
    <cfRule type="expression" dxfId="198" priority="199">
      <formula>LEN(G19)=0</formula>
    </cfRule>
  </conditionalFormatting>
  <conditionalFormatting sqref="F20">
    <cfRule type="expression" dxfId="197" priority="198">
      <formula>LEN(F20)=0</formula>
    </cfRule>
  </conditionalFormatting>
  <conditionalFormatting sqref="G20:M20">
    <cfRule type="expression" dxfId="196" priority="197">
      <formula>LEN(G20)=0</formula>
    </cfRule>
  </conditionalFormatting>
  <conditionalFormatting sqref="F21">
    <cfRule type="expression" dxfId="195" priority="196">
      <formula>LEN(F21)=0</formula>
    </cfRule>
  </conditionalFormatting>
  <conditionalFormatting sqref="G21:M21">
    <cfRule type="expression" dxfId="194" priority="195">
      <formula>LEN(G21)=0</formula>
    </cfRule>
  </conditionalFormatting>
  <conditionalFormatting sqref="F22">
    <cfRule type="expression" dxfId="193" priority="194">
      <formula>LEN(F22)=0</formula>
    </cfRule>
  </conditionalFormatting>
  <conditionalFormatting sqref="G22:M22">
    <cfRule type="expression" dxfId="192" priority="193">
      <formula>LEN(G22)=0</formula>
    </cfRule>
  </conditionalFormatting>
  <conditionalFormatting sqref="F23">
    <cfRule type="expression" dxfId="191" priority="192">
      <formula>LEN(F23)=0</formula>
    </cfRule>
  </conditionalFormatting>
  <conditionalFormatting sqref="G23:M23">
    <cfRule type="expression" dxfId="190" priority="191">
      <formula>LEN(G23)=0</formula>
    </cfRule>
  </conditionalFormatting>
  <conditionalFormatting sqref="F24">
    <cfRule type="expression" dxfId="189" priority="190">
      <formula>LEN(F24)=0</formula>
    </cfRule>
  </conditionalFormatting>
  <conditionalFormatting sqref="G24:M24">
    <cfRule type="expression" dxfId="188" priority="189">
      <formula>LEN(G24)=0</formula>
    </cfRule>
  </conditionalFormatting>
  <conditionalFormatting sqref="F25">
    <cfRule type="expression" dxfId="187" priority="188">
      <formula>LEN(F25)=0</formula>
    </cfRule>
  </conditionalFormatting>
  <conditionalFormatting sqref="G25:M25">
    <cfRule type="expression" dxfId="186" priority="187">
      <formula>LEN(G25)=0</formula>
    </cfRule>
  </conditionalFormatting>
  <conditionalFormatting sqref="F26">
    <cfRule type="expression" dxfId="185" priority="186">
      <formula>LEN(F26)=0</formula>
    </cfRule>
  </conditionalFormatting>
  <conditionalFormatting sqref="G26:M26">
    <cfRule type="expression" dxfId="184" priority="185">
      <formula>LEN(G26)=0</formula>
    </cfRule>
  </conditionalFormatting>
  <conditionalFormatting sqref="F27">
    <cfRule type="expression" dxfId="183" priority="184">
      <formula>LEN(F27)=0</formula>
    </cfRule>
  </conditionalFormatting>
  <conditionalFormatting sqref="G27:M27">
    <cfRule type="expression" dxfId="182" priority="183">
      <formula>LEN(G27)=0</formula>
    </cfRule>
  </conditionalFormatting>
  <conditionalFormatting sqref="F28">
    <cfRule type="expression" dxfId="181" priority="182">
      <formula>LEN(F28)=0</formula>
    </cfRule>
  </conditionalFormatting>
  <conditionalFormatting sqref="G28:M28">
    <cfRule type="expression" dxfId="180" priority="181">
      <formula>LEN(G28)=0</formula>
    </cfRule>
  </conditionalFormatting>
  <conditionalFormatting sqref="F29">
    <cfRule type="expression" dxfId="179" priority="180">
      <formula>LEN(F29)=0</formula>
    </cfRule>
  </conditionalFormatting>
  <conditionalFormatting sqref="G29:M29">
    <cfRule type="expression" dxfId="178" priority="179">
      <formula>LEN(G29)=0</formula>
    </cfRule>
  </conditionalFormatting>
  <conditionalFormatting sqref="F30">
    <cfRule type="expression" dxfId="177" priority="178">
      <formula>LEN(F30)=0</formula>
    </cfRule>
  </conditionalFormatting>
  <conditionalFormatting sqref="G30:M30">
    <cfRule type="expression" dxfId="176" priority="177">
      <formula>LEN(G30)=0</formula>
    </cfRule>
  </conditionalFormatting>
  <conditionalFormatting sqref="F31">
    <cfRule type="expression" dxfId="175" priority="176">
      <formula>LEN(F31)=0</formula>
    </cfRule>
  </conditionalFormatting>
  <conditionalFormatting sqref="G31:M31">
    <cfRule type="expression" dxfId="174" priority="175">
      <formula>LEN(G31)=0</formula>
    </cfRule>
  </conditionalFormatting>
  <conditionalFormatting sqref="F32">
    <cfRule type="expression" dxfId="173" priority="174">
      <formula>LEN(F32)=0</formula>
    </cfRule>
  </conditionalFormatting>
  <conditionalFormatting sqref="G32:M32">
    <cfRule type="expression" dxfId="172" priority="173">
      <formula>LEN(G32)=0</formula>
    </cfRule>
  </conditionalFormatting>
  <conditionalFormatting sqref="F33">
    <cfRule type="expression" dxfId="171" priority="172">
      <formula>LEN(F33)=0</formula>
    </cfRule>
  </conditionalFormatting>
  <conditionalFormatting sqref="G33:M33">
    <cfRule type="expression" dxfId="170" priority="171">
      <formula>LEN(G33)=0</formula>
    </cfRule>
  </conditionalFormatting>
  <conditionalFormatting sqref="F34">
    <cfRule type="expression" dxfId="169" priority="170">
      <formula>LEN(F34)=0</formula>
    </cfRule>
  </conditionalFormatting>
  <conditionalFormatting sqref="G34:M34">
    <cfRule type="expression" dxfId="168" priority="169">
      <formula>LEN(G34)=0</formula>
    </cfRule>
  </conditionalFormatting>
  <conditionalFormatting sqref="F35">
    <cfRule type="expression" dxfId="167" priority="168">
      <formula>LEN(F35)=0</formula>
    </cfRule>
  </conditionalFormatting>
  <conditionalFormatting sqref="G35:M35">
    <cfRule type="expression" dxfId="166" priority="167">
      <formula>LEN(G35)=0</formula>
    </cfRule>
  </conditionalFormatting>
  <conditionalFormatting sqref="F36">
    <cfRule type="expression" dxfId="165" priority="166">
      <formula>LEN(F36)=0</formula>
    </cfRule>
  </conditionalFormatting>
  <conditionalFormatting sqref="G36:M36">
    <cfRule type="expression" dxfId="164" priority="165">
      <formula>LEN(G36)=0</formula>
    </cfRule>
  </conditionalFormatting>
  <conditionalFormatting sqref="F37">
    <cfRule type="expression" dxfId="163" priority="164">
      <formula>LEN(F37)=0</formula>
    </cfRule>
  </conditionalFormatting>
  <conditionalFormatting sqref="G37:M37">
    <cfRule type="expression" dxfId="162" priority="163">
      <formula>LEN(G37)=0</formula>
    </cfRule>
  </conditionalFormatting>
  <conditionalFormatting sqref="F38">
    <cfRule type="expression" dxfId="161" priority="162">
      <formula>LEN(F38)=0</formula>
    </cfRule>
  </conditionalFormatting>
  <conditionalFormatting sqref="G38:M38">
    <cfRule type="expression" dxfId="160" priority="161">
      <formula>LEN(G38)=0</formula>
    </cfRule>
  </conditionalFormatting>
  <conditionalFormatting sqref="F39">
    <cfRule type="expression" dxfId="159" priority="160">
      <formula>LEN(F39)=0</formula>
    </cfRule>
  </conditionalFormatting>
  <conditionalFormatting sqref="G39:M39">
    <cfRule type="expression" dxfId="158" priority="159">
      <formula>LEN(G39)=0</formula>
    </cfRule>
  </conditionalFormatting>
  <conditionalFormatting sqref="F40">
    <cfRule type="expression" dxfId="157" priority="158">
      <formula>LEN(F40)=0</formula>
    </cfRule>
  </conditionalFormatting>
  <conditionalFormatting sqref="G40:M40">
    <cfRule type="expression" dxfId="156" priority="157">
      <formula>LEN(G40)=0</formula>
    </cfRule>
  </conditionalFormatting>
  <conditionalFormatting sqref="F41">
    <cfRule type="expression" dxfId="155" priority="156">
      <formula>LEN(F41)=0</formula>
    </cfRule>
  </conditionalFormatting>
  <conditionalFormatting sqref="G41:M41">
    <cfRule type="expression" dxfId="154" priority="155">
      <formula>LEN(G41)=0</formula>
    </cfRule>
  </conditionalFormatting>
  <conditionalFormatting sqref="F42">
    <cfRule type="expression" dxfId="153" priority="154">
      <formula>LEN(F42)=0</formula>
    </cfRule>
  </conditionalFormatting>
  <conditionalFormatting sqref="G42:M42">
    <cfRule type="expression" dxfId="152" priority="153">
      <formula>LEN(G42)=0</formula>
    </cfRule>
  </conditionalFormatting>
  <conditionalFormatting sqref="F43">
    <cfRule type="expression" dxfId="151" priority="152">
      <formula>LEN(F43)=0</formula>
    </cfRule>
  </conditionalFormatting>
  <conditionalFormatting sqref="G43:M43">
    <cfRule type="expression" dxfId="150" priority="151">
      <formula>LEN(G43)=0</formula>
    </cfRule>
  </conditionalFormatting>
  <conditionalFormatting sqref="F44">
    <cfRule type="expression" dxfId="149" priority="150">
      <formula>LEN(F44)=0</formula>
    </cfRule>
  </conditionalFormatting>
  <conditionalFormatting sqref="G44:M44">
    <cfRule type="expression" dxfId="148" priority="149">
      <formula>LEN(G44)=0</formula>
    </cfRule>
  </conditionalFormatting>
  <conditionalFormatting sqref="F45">
    <cfRule type="expression" dxfId="147" priority="148">
      <formula>LEN(F45)=0</formula>
    </cfRule>
  </conditionalFormatting>
  <conditionalFormatting sqref="G45:M45">
    <cfRule type="expression" dxfId="146" priority="147">
      <formula>LEN(G45)=0</formula>
    </cfRule>
  </conditionalFormatting>
  <conditionalFormatting sqref="F46">
    <cfRule type="expression" dxfId="145" priority="146">
      <formula>LEN(F46)=0</formula>
    </cfRule>
  </conditionalFormatting>
  <conditionalFormatting sqref="G46:M46">
    <cfRule type="expression" dxfId="144" priority="145">
      <formula>LEN(G46)=0</formula>
    </cfRule>
  </conditionalFormatting>
  <conditionalFormatting sqref="F47">
    <cfRule type="expression" dxfId="143" priority="144">
      <formula>LEN(F47)=0</formula>
    </cfRule>
  </conditionalFormatting>
  <conditionalFormatting sqref="G47:M47">
    <cfRule type="expression" dxfId="142" priority="143">
      <formula>LEN(G47)=0</formula>
    </cfRule>
  </conditionalFormatting>
  <conditionalFormatting sqref="F48">
    <cfRule type="expression" dxfId="141" priority="142">
      <formula>LEN(F48)=0</formula>
    </cfRule>
  </conditionalFormatting>
  <conditionalFormatting sqref="G48:M48">
    <cfRule type="expression" dxfId="140" priority="141">
      <formula>LEN(G48)=0</formula>
    </cfRule>
  </conditionalFormatting>
  <conditionalFormatting sqref="F49">
    <cfRule type="expression" dxfId="139" priority="140">
      <formula>LEN(F49)=0</formula>
    </cfRule>
  </conditionalFormatting>
  <conditionalFormatting sqref="G49:M49">
    <cfRule type="expression" dxfId="138" priority="139">
      <formula>LEN(G49)=0</formula>
    </cfRule>
  </conditionalFormatting>
  <conditionalFormatting sqref="F50">
    <cfRule type="expression" dxfId="137" priority="138">
      <formula>LEN(F50)=0</formula>
    </cfRule>
  </conditionalFormatting>
  <conditionalFormatting sqref="G50:M50">
    <cfRule type="expression" dxfId="136" priority="137">
      <formula>LEN(G50)=0</formula>
    </cfRule>
  </conditionalFormatting>
  <conditionalFormatting sqref="F52">
    <cfRule type="expression" dxfId="135" priority="136">
      <formula>LEN(F52)=0</formula>
    </cfRule>
  </conditionalFormatting>
  <conditionalFormatting sqref="G52:M52">
    <cfRule type="expression" dxfId="134" priority="135">
      <formula>LEN(G52)=0</formula>
    </cfRule>
  </conditionalFormatting>
  <conditionalFormatting sqref="F53">
    <cfRule type="expression" dxfId="133" priority="134">
      <formula>LEN(F53)=0</formula>
    </cfRule>
  </conditionalFormatting>
  <conditionalFormatting sqref="G53:M53">
    <cfRule type="expression" dxfId="132" priority="133">
      <formula>LEN(G53)=0</formula>
    </cfRule>
  </conditionalFormatting>
  <conditionalFormatting sqref="F54">
    <cfRule type="expression" dxfId="131" priority="132">
      <formula>LEN(F54)=0</formula>
    </cfRule>
  </conditionalFormatting>
  <conditionalFormatting sqref="G54:M54">
    <cfRule type="expression" dxfId="130" priority="131">
      <formula>LEN(G54)=0</formula>
    </cfRule>
  </conditionalFormatting>
  <conditionalFormatting sqref="F55">
    <cfRule type="expression" dxfId="129" priority="130">
      <formula>LEN(F55)=0</formula>
    </cfRule>
  </conditionalFormatting>
  <conditionalFormatting sqref="G55:M55">
    <cfRule type="expression" dxfId="128" priority="129">
      <formula>LEN(G55)=0</formula>
    </cfRule>
  </conditionalFormatting>
  <conditionalFormatting sqref="F56">
    <cfRule type="expression" dxfId="127" priority="128">
      <formula>LEN(F56)=0</formula>
    </cfRule>
  </conditionalFormatting>
  <conditionalFormatting sqref="G56:M56">
    <cfRule type="expression" dxfId="126" priority="127">
      <formula>LEN(G56)=0</formula>
    </cfRule>
  </conditionalFormatting>
  <conditionalFormatting sqref="F57">
    <cfRule type="expression" dxfId="125" priority="126">
      <formula>LEN(F57)=0</formula>
    </cfRule>
  </conditionalFormatting>
  <conditionalFormatting sqref="G57:M57">
    <cfRule type="expression" dxfId="124" priority="125">
      <formula>LEN(G57)=0</formula>
    </cfRule>
  </conditionalFormatting>
  <conditionalFormatting sqref="F58">
    <cfRule type="expression" dxfId="123" priority="124">
      <formula>LEN(F58)=0</formula>
    </cfRule>
  </conditionalFormatting>
  <conditionalFormatting sqref="G58:M58">
    <cfRule type="expression" dxfId="122" priority="123">
      <formula>LEN(G58)=0</formula>
    </cfRule>
  </conditionalFormatting>
  <conditionalFormatting sqref="F59">
    <cfRule type="expression" dxfId="121" priority="122">
      <formula>LEN(F59)=0</formula>
    </cfRule>
  </conditionalFormatting>
  <conditionalFormatting sqref="G59:M59">
    <cfRule type="expression" dxfId="120" priority="121">
      <formula>LEN(G59)=0</formula>
    </cfRule>
  </conditionalFormatting>
  <conditionalFormatting sqref="F60">
    <cfRule type="expression" dxfId="119" priority="120">
      <formula>LEN(F60)=0</formula>
    </cfRule>
  </conditionalFormatting>
  <conditionalFormatting sqref="G60:M60">
    <cfRule type="expression" dxfId="118" priority="119">
      <formula>LEN(G60)=0</formula>
    </cfRule>
  </conditionalFormatting>
  <conditionalFormatting sqref="F61">
    <cfRule type="expression" dxfId="117" priority="118">
      <formula>LEN(F61)=0</formula>
    </cfRule>
  </conditionalFormatting>
  <conditionalFormatting sqref="G61:M61">
    <cfRule type="expression" dxfId="116" priority="117">
      <formula>LEN(G61)=0</formula>
    </cfRule>
  </conditionalFormatting>
  <conditionalFormatting sqref="F62">
    <cfRule type="expression" dxfId="115" priority="116">
      <formula>LEN(F62)=0</formula>
    </cfRule>
  </conditionalFormatting>
  <conditionalFormatting sqref="G62:M62">
    <cfRule type="expression" dxfId="114" priority="115">
      <formula>LEN(G62)=0</formula>
    </cfRule>
  </conditionalFormatting>
  <conditionalFormatting sqref="F63">
    <cfRule type="expression" dxfId="113" priority="114">
      <formula>LEN(F63)=0</formula>
    </cfRule>
  </conditionalFormatting>
  <conditionalFormatting sqref="G63:M63">
    <cfRule type="expression" dxfId="112" priority="113">
      <formula>LEN(G63)=0</formula>
    </cfRule>
  </conditionalFormatting>
  <conditionalFormatting sqref="F64">
    <cfRule type="expression" dxfId="111" priority="112">
      <formula>LEN(F64)=0</formula>
    </cfRule>
  </conditionalFormatting>
  <conditionalFormatting sqref="G64:M64">
    <cfRule type="expression" dxfId="110" priority="111">
      <formula>LEN(G64)=0</formula>
    </cfRule>
  </conditionalFormatting>
  <conditionalFormatting sqref="F65">
    <cfRule type="expression" dxfId="109" priority="110">
      <formula>LEN(F65)=0</formula>
    </cfRule>
  </conditionalFormatting>
  <conditionalFormatting sqref="G65:M65">
    <cfRule type="expression" dxfId="108" priority="109">
      <formula>LEN(G65)=0</formula>
    </cfRule>
  </conditionalFormatting>
  <conditionalFormatting sqref="F66">
    <cfRule type="expression" dxfId="107" priority="108">
      <formula>LEN(F66)=0</formula>
    </cfRule>
  </conditionalFormatting>
  <conditionalFormatting sqref="G66:M66">
    <cfRule type="expression" dxfId="106" priority="107">
      <formula>LEN(G66)=0</formula>
    </cfRule>
  </conditionalFormatting>
  <conditionalFormatting sqref="F67">
    <cfRule type="expression" dxfId="105" priority="106">
      <formula>LEN(F67)=0</formula>
    </cfRule>
  </conditionalFormatting>
  <conditionalFormatting sqref="G67:M67">
    <cfRule type="expression" dxfId="104" priority="105">
      <formula>LEN(G67)=0</formula>
    </cfRule>
  </conditionalFormatting>
  <conditionalFormatting sqref="F68">
    <cfRule type="expression" dxfId="103" priority="104">
      <formula>LEN(F68)=0</formula>
    </cfRule>
  </conditionalFormatting>
  <conditionalFormatting sqref="G68:M68">
    <cfRule type="expression" dxfId="102" priority="103">
      <formula>LEN(G68)=0</formula>
    </cfRule>
  </conditionalFormatting>
  <conditionalFormatting sqref="F69">
    <cfRule type="expression" dxfId="101" priority="102">
      <formula>LEN(F69)=0</formula>
    </cfRule>
  </conditionalFormatting>
  <conditionalFormatting sqref="G69:M69">
    <cfRule type="expression" dxfId="100" priority="101">
      <formula>LEN(G69)=0</formula>
    </cfRule>
  </conditionalFormatting>
  <conditionalFormatting sqref="F70">
    <cfRule type="expression" dxfId="99" priority="100">
      <formula>LEN(F70)=0</formula>
    </cfRule>
  </conditionalFormatting>
  <conditionalFormatting sqref="G70:M70">
    <cfRule type="expression" dxfId="98" priority="99">
      <formula>LEN(G70)=0</formula>
    </cfRule>
  </conditionalFormatting>
  <conditionalFormatting sqref="F71">
    <cfRule type="expression" dxfId="97" priority="98">
      <formula>LEN(F71)=0</formula>
    </cfRule>
  </conditionalFormatting>
  <conditionalFormatting sqref="G71:M71">
    <cfRule type="expression" dxfId="96" priority="97">
      <formula>LEN(G71)=0</formula>
    </cfRule>
  </conditionalFormatting>
  <conditionalFormatting sqref="F72">
    <cfRule type="expression" dxfId="95" priority="96">
      <formula>LEN(F72)=0</formula>
    </cfRule>
  </conditionalFormatting>
  <conditionalFormatting sqref="G72:M72">
    <cfRule type="expression" dxfId="94" priority="95">
      <formula>LEN(G72)=0</formula>
    </cfRule>
  </conditionalFormatting>
  <conditionalFormatting sqref="F73">
    <cfRule type="expression" dxfId="93" priority="94">
      <formula>LEN(F73)=0</formula>
    </cfRule>
  </conditionalFormatting>
  <conditionalFormatting sqref="G73:M73">
    <cfRule type="expression" dxfId="92" priority="93">
      <formula>LEN(G73)=0</formula>
    </cfRule>
  </conditionalFormatting>
  <conditionalFormatting sqref="F74">
    <cfRule type="expression" dxfId="91" priority="92">
      <formula>LEN(F74)=0</formula>
    </cfRule>
  </conditionalFormatting>
  <conditionalFormatting sqref="G74:M74">
    <cfRule type="expression" dxfId="90" priority="91">
      <formula>LEN(G74)=0</formula>
    </cfRule>
  </conditionalFormatting>
  <conditionalFormatting sqref="F75">
    <cfRule type="expression" dxfId="89" priority="90">
      <formula>LEN(F75)=0</formula>
    </cfRule>
  </conditionalFormatting>
  <conditionalFormatting sqref="G75:M75">
    <cfRule type="expression" dxfId="88" priority="89">
      <formula>LEN(G75)=0</formula>
    </cfRule>
  </conditionalFormatting>
  <conditionalFormatting sqref="F76">
    <cfRule type="expression" dxfId="87" priority="88">
      <formula>LEN(F76)=0</formula>
    </cfRule>
  </conditionalFormatting>
  <conditionalFormatting sqref="G76:M76">
    <cfRule type="expression" dxfId="86" priority="87">
      <formula>LEN(G76)=0</formula>
    </cfRule>
  </conditionalFormatting>
  <conditionalFormatting sqref="F77">
    <cfRule type="expression" dxfId="85" priority="86">
      <formula>LEN(F77)=0</formula>
    </cfRule>
  </conditionalFormatting>
  <conditionalFormatting sqref="G77:M77">
    <cfRule type="expression" dxfId="84" priority="85">
      <formula>LEN(G77)=0</formula>
    </cfRule>
  </conditionalFormatting>
  <conditionalFormatting sqref="F78">
    <cfRule type="expression" dxfId="83" priority="84">
      <formula>LEN(F78)=0</formula>
    </cfRule>
  </conditionalFormatting>
  <conditionalFormatting sqref="G78:M78">
    <cfRule type="expression" dxfId="82" priority="83">
      <formula>LEN(G78)=0</formula>
    </cfRule>
  </conditionalFormatting>
  <conditionalFormatting sqref="F79">
    <cfRule type="expression" dxfId="81" priority="82">
      <formula>LEN(F79)=0</formula>
    </cfRule>
  </conditionalFormatting>
  <conditionalFormatting sqref="G79:M79">
    <cfRule type="expression" dxfId="80" priority="81">
      <formula>LEN(G79)=0</formula>
    </cfRule>
  </conditionalFormatting>
  <conditionalFormatting sqref="F80">
    <cfRule type="expression" dxfId="79" priority="80">
      <formula>LEN(F80)=0</formula>
    </cfRule>
  </conditionalFormatting>
  <conditionalFormatting sqref="G80:M80">
    <cfRule type="expression" dxfId="78" priority="79">
      <formula>LEN(G80)=0</formula>
    </cfRule>
  </conditionalFormatting>
  <conditionalFormatting sqref="F81">
    <cfRule type="expression" dxfId="77" priority="78">
      <formula>LEN(F81)=0</formula>
    </cfRule>
  </conditionalFormatting>
  <conditionalFormatting sqref="G81:M81">
    <cfRule type="expression" dxfId="76" priority="77">
      <formula>LEN(G81)=0</formula>
    </cfRule>
  </conditionalFormatting>
  <conditionalFormatting sqref="F82">
    <cfRule type="expression" dxfId="75" priority="76">
      <formula>LEN(F82)=0</formula>
    </cfRule>
  </conditionalFormatting>
  <conditionalFormatting sqref="G82:M82">
    <cfRule type="expression" dxfId="74" priority="75">
      <formula>LEN(G82)=0</formula>
    </cfRule>
  </conditionalFormatting>
  <conditionalFormatting sqref="F83">
    <cfRule type="expression" dxfId="73" priority="74">
      <formula>LEN(F83)=0</formula>
    </cfRule>
  </conditionalFormatting>
  <conditionalFormatting sqref="G83:M83">
    <cfRule type="expression" dxfId="72" priority="73">
      <formula>LEN(G83)=0</formula>
    </cfRule>
  </conditionalFormatting>
  <conditionalFormatting sqref="F84">
    <cfRule type="expression" dxfId="71" priority="72">
      <formula>LEN(F84)=0</formula>
    </cfRule>
  </conditionalFormatting>
  <conditionalFormatting sqref="G84:M84">
    <cfRule type="expression" dxfId="70" priority="71">
      <formula>LEN(G84)=0</formula>
    </cfRule>
  </conditionalFormatting>
  <conditionalFormatting sqref="F85">
    <cfRule type="expression" dxfId="69" priority="70">
      <formula>LEN(F85)=0</formula>
    </cfRule>
  </conditionalFormatting>
  <conditionalFormatting sqref="G85:M85">
    <cfRule type="expression" dxfId="68" priority="69">
      <formula>LEN(G85)=0</formula>
    </cfRule>
  </conditionalFormatting>
  <conditionalFormatting sqref="F86">
    <cfRule type="expression" dxfId="67" priority="68">
      <formula>LEN(F86)=0</formula>
    </cfRule>
  </conditionalFormatting>
  <conditionalFormatting sqref="G86:M86">
    <cfRule type="expression" dxfId="66" priority="67">
      <formula>LEN(G86)=0</formula>
    </cfRule>
  </conditionalFormatting>
  <conditionalFormatting sqref="F87">
    <cfRule type="expression" dxfId="65" priority="66">
      <formula>LEN(F87)=0</formula>
    </cfRule>
  </conditionalFormatting>
  <conditionalFormatting sqref="G87:M87">
    <cfRule type="expression" dxfId="64" priority="65">
      <formula>LEN(G87)=0</formula>
    </cfRule>
  </conditionalFormatting>
  <conditionalFormatting sqref="F88">
    <cfRule type="expression" dxfId="63" priority="64">
      <formula>LEN(F88)=0</formula>
    </cfRule>
  </conditionalFormatting>
  <conditionalFormatting sqref="G88:M88">
    <cfRule type="expression" dxfId="62" priority="63">
      <formula>LEN(G88)=0</formula>
    </cfRule>
  </conditionalFormatting>
  <conditionalFormatting sqref="F89">
    <cfRule type="expression" dxfId="61" priority="62">
      <formula>LEN(F89)=0</formula>
    </cfRule>
  </conditionalFormatting>
  <conditionalFormatting sqref="G89:M89">
    <cfRule type="expression" dxfId="60" priority="61">
      <formula>LEN(G89)=0</formula>
    </cfRule>
  </conditionalFormatting>
  <conditionalFormatting sqref="F91">
    <cfRule type="expression" dxfId="59" priority="60">
      <formula>LEN(F91)=0</formula>
    </cfRule>
  </conditionalFormatting>
  <conditionalFormatting sqref="G91:M91">
    <cfRule type="expression" dxfId="58" priority="59">
      <formula>LEN(G91)=0</formula>
    </cfRule>
  </conditionalFormatting>
  <conditionalFormatting sqref="F92">
    <cfRule type="expression" dxfId="57" priority="58">
      <formula>LEN(F92)=0</formula>
    </cfRule>
  </conditionalFormatting>
  <conditionalFormatting sqref="G92:M92">
    <cfRule type="expression" dxfId="56" priority="57">
      <formula>LEN(G92)=0</formula>
    </cfRule>
  </conditionalFormatting>
  <conditionalFormatting sqref="F93">
    <cfRule type="expression" dxfId="55" priority="56">
      <formula>LEN(F93)=0</formula>
    </cfRule>
  </conditionalFormatting>
  <conditionalFormatting sqref="G93:M93">
    <cfRule type="expression" dxfId="54" priority="55">
      <formula>LEN(G93)=0</formula>
    </cfRule>
  </conditionalFormatting>
  <conditionalFormatting sqref="F94">
    <cfRule type="expression" dxfId="53" priority="54">
      <formula>LEN(F94)=0</formula>
    </cfRule>
  </conditionalFormatting>
  <conditionalFormatting sqref="G94:M94">
    <cfRule type="expression" dxfId="52" priority="53">
      <formula>LEN(G94)=0</formula>
    </cfRule>
  </conditionalFormatting>
  <conditionalFormatting sqref="F96">
    <cfRule type="expression" dxfId="51" priority="52">
      <formula>LEN(F96)=0</formula>
    </cfRule>
  </conditionalFormatting>
  <conditionalFormatting sqref="G96:M96">
    <cfRule type="expression" dxfId="50" priority="51">
      <formula>LEN(G96)=0</formula>
    </cfRule>
  </conditionalFormatting>
  <conditionalFormatting sqref="F97">
    <cfRule type="expression" dxfId="49" priority="50">
      <formula>LEN(F97)=0</formula>
    </cfRule>
  </conditionalFormatting>
  <conditionalFormatting sqref="G97:M97">
    <cfRule type="expression" dxfId="48" priority="49">
      <formula>LEN(G97)=0</formula>
    </cfRule>
  </conditionalFormatting>
  <conditionalFormatting sqref="F98">
    <cfRule type="expression" dxfId="47" priority="48">
      <formula>LEN(F98)=0</formula>
    </cfRule>
  </conditionalFormatting>
  <conditionalFormatting sqref="G98:M98">
    <cfRule type="expression" dxfId="46" priority="47">
      <formula>LEN(G98)=0</formula>
    </cfRule>
  </conditionalFormatting>
  <conditionalFormatting sqref="F99">
    <cfRule type="expression" dxfId="45" priority="46">
      <formula>LEN(F99)=0</formula>
    </cfRule>
  </conditionalFormatting>
  <conditionalFormatting sqref="G99:M99">
    <cfRule type="expression" dxfId="44" priority="45">
      <formula>LEN(G99)=0</formula>
    </cfRule>
  </conditionalFormatting>
  <conditionalFormatting sqref="F101">
    <cfRule type="expression" dxfId="43" priority="44">
      <formula>LEN(F101)=0</formula>
    </cfRule>
  </conditionalFormatting>
  <conditionalFormatting sqref="G101:M101">
    <cfRule type="expression" dxfId="42" priority="43">
      <formula>LEN(G101)=0</formula>
    </cfRule>
  </conditionalFormatting>
  <conditionalFormatting sqref="F102">
    <cfRule type="expression" dxfId="41" priority="42">
      <formula>LEN(F102)=0</formula>
    </cfRule>
  </conditionalFormatting>
  <conditionalFormatting sqref="G102:M102">
    <cfRule type="expression" dxfId="40" priority="41">
      <formula>LEN(G102)=0</formula>
    </cfRule>
  </conditionalFormatting>
  <conditionalFormatting sqref="F103">
    <cfRule type="expression" dxfId="39" priority="40">
      <formula>LEN(F103)=0</formula>
    </cfRule>
  </conditionalFormatting>
  <conditionalFormatting sqref="G103:M103">
    <cfRule type="expression" dxfId="38" priority="39">
      <formula>LEN(G103)=0</formula>
    </cfRule>
  </conditionalFormatting>
  <conditionalFormatting sqref="F105">
    <cfRule type="expression" dxfId="37" priority="38">
      <formula>LEN(F105)=0</formula>
    </cfRule>
  </conditionalFormatting>
  <conditionalFormatting sqref="G105:M105">
    <cfRule type="expression" dxfId="36" priority="37">
      <formula>LEN(G105)=0</formula>
    </cfRule>
  </conditionalFormatting>
  <conditionalFormatting sqref="F107">
    <cfRule type="expression" dxfId="35" priority="36">
      <formula>LEN(F107)=0</formula>
    </cfRule>
  </conditionalFormatting>
  <conditionalFormatting sqref="G107:M107">
    <cfRule type="expression" dxfId="34" priority="35">
      <formula>LEN(G107)=0</formula>
    </cfRule>
  </conditionalFormatting>
  <conditionalFormatting sqref="F109">
    <cfRule type="expression" dxfId="33" priority="34">
      <formula>LEN(F109)=0</formula>
    </cfRule>
  </conditionalFormatting>
  <conditionalFormatting sqref="G109:M109">
    <cfRule type="expression" dxfId="32" priority="33">
      <formula>LEN(G109)=0</formula>
    </cfRule>
  </conditionalFormatting>
  <conditionalFormatting sqref="F110">
    <cfRule type="expression" dxfId="31" priority="32">
      <formula>LEN(F110)=0</formula>
    </cfRule>
  </conditionalFormatting>
  <conditionalFormatting sqref="G110:M110">
    <cfRule type="expression" dxfId="30" priority="31">
      <formula>LEN(G110)=0</formula>
    </cfRule>
  </conditionalFormatting>
  <conditionalFormatting sqref="F112">
    <cfRule type="expression" dxfId="29" priority="30">
      <formula>LEN(F112)=0</formula>
    </cfRule>
  </conditionalFormatting>
  <conditionalFormatting sqref="G112:M112">
    <cfRule type="expression" dxfId="28" priority="29">
      <formula>LEN(G112)=0</formula>
    </cfRule>
  </conditionalFormatting>
  <conditionalFormatting sqref="F113">
    <cfRule type="expression" dxfId="27" priority="28">
      <formula>LEN(F113)=0</formula>
    </cfRule>
  </conditionalFormatting>
  <conditionalFormatting sqref="G113:M113">
    <cfRule type="expression" dxfId="26" priority="27">
      <formula>LEN(G113)=0</formula>
    </cfRule>
  </conditionalFormatting>
  <conditionalFormatting sqref="F114">
    <cfRule type="expression" dxfId="25" priority="26">
      <formula>LEN(F114)=0</formula>
    </cfRule>
  </conditionalFormatting>
  <conditionalFormatting sqref="G114:M114">
    <cfRule type="expression" dxfId="24" priority="25">
      <formula>LEN(G114)=0</formula>
    </cfRule>
  </conditionalFormatting>
  <conditionalFormatting sqref="F115">
    <cfRule type="expression" dxfId="23" priority="24">
      <formula>LEN(F115)=0</formula>
    </cfRule>
  </conditionalFormatting>
  <conditionalFormatting sqref="G115:M115">
    <cfRule type="expression" dxfId="22" priority="23">
      <formula>LEN(G115)=0</formula>
    </cfRule>
  </conditionalFormatting>
  <conditionalFormatting sqref="F116">
    <cfRule type="expression" dxfId="21" priority="22">
      <formula>LEN(F116)=0</formula>
    </cfRule>
  </conditionalFormatting>
  <conditionalFormatting sqref="G116:M116">
    <cfRule type="expression" dxfId="20" priority="21">
      <formula>LEN(G116)=0</formula>
    </cfRule>
  </conditionalFormatting>
  <conditionalFormatting sqref="F117">
    <cfRule type="expression" dxfId="19" priority="20">
      <formula>LEN(F117)=0</formula>
    </cfRule>
  </conditionalFormatting>
  <conditionalFormatting sqref="G117:M117">
    <cfRule type="expression" dxfId="18" priority="19">
      <formula>LEN(G117)=0</formula>
    </cfRule>
  </conditionalFormatting>
  <conditionalFormatting sqref="F118">
    <cfRule type="expression" dxfId="17" priority="18">
      <formula>LEN(F118)=0</formula>
    </cfRule>
  </conditionalFormatting>
  <conditionalFormatting sqref="G118:M118">
    <cfRule type="expression" dxfId="16" priority="17">
      <formula>LEN(G118)=0</formula>
    </cfRule>
  </conditionalFormatting>
  <conditionalFormatting sqref="F119">
    <cfRule type="expression" dxfId="15" priority="16">
      <formula>LEN(F119)=0</formula>
    </cfRule>
  </conditionalFormatting>
  <conditionalFormatting sqref="G119:M119">
    <cfRule type="expression" dxfId="14" priority="15">
      <formula>LEN(G119)=0</formula>
    </cfRule>
  </conditionalFormatting>
  <conditionalFormatting sqref="F120">
    <cfRule type="expression" dxfId="13" priority="14">
      <formula>LEN(F120)=0</formula>
    </cfRule>
  </conditionalFormatting>
  <conditionalFormatting sqref="G120:M120">
    <cfRule type="expression" dxfId="12" priority="13">
      <formula>LEN(G120)=0</formula>
    </cfRule>
  </conditionalFormatting>
  <conditionalFormatting sqref="F121">
    <cfRule type="expression" dxfId="11" priority="12">
      <formula>LEN(F121)=0</formula>
    </cfRule>
  </conditionalFormatting>
  <conditionalFormatting sqref="G121:M121">
    <cfRule type="expression" dxfId="10" priority="11">
      <formula>LEN(G121)=0</formula>
    </cfRule>
  </conditionalFormatting>
  <conditionalFormatting sqref="F122">
    <cfRule type="expression" dxfId="9" priority="10">
      <formula>LEN(F122)=0</formula>
    </cfRule>
  </conditionalFormatting>
  <conditionalFormatting sqref="G122:M122">
    <cfRule type="expression" dxfId="8" priority="9">
      <formula>LEN(G122)=0</formula>
    </cfRule>
  </conditionalFormatting>
  <conditionalFormatting sqref="F123">
    <cfRule type="expression" dxfId="7" priority="8">
      <formula>LEN(F123)=0</formula>
    </cfRule>
  </conditionalFormatting>
  <conditionalFormatting sqref="G123:M123">
    <cfRule type="expression" dxfId="6" priority="7">
      <formula>LEN(G123)=0</formula>
    </cfRule>
  </conditionalFormatting>
  <conditionalFormatting sqref="F125">
    <cfRule type="expression" dxfId="5" priority="6">
      <formula>LEN(F125)=0</formula>
    </cfRule>
  </conditionalFormatting>
  <conditionalFormatting sqref="G125:M125">
    <cfRule type="expression" dxfId="4" priority="5">
      <formula>LEN(G125)=0</formula>
    </cfRule>
  </conditionalFormatting>
  <conditionalFormatting sqref="F127">
    <cfRule type="expression" dxfId="3" priority="4">
      <formula>LEN(F127)=0</formula>
    </cfRule>
  </conditionalFormatting>
  <conditionalFormatting sqref="G127:M127">
    <cfRule type="expression" dxfId="2" priority="3">
      <formula>LEN(G127)=0</formula>
    </cfRule>
  </conditionalFormatting>
  <conditionalFormatting sqref="F129">
    <cfRule type="expression" dxfId="1" priority="2">
      <formula>LEN(F129)=0</formula>
    </cfRule>
  </conditionalFormatting>
  <conditionalFormatting sqref="G129:M129">
    <cfRule type="expression" dxfId="0" priority="1">
      <formula>LEN(G129)=0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114"/>
  <sheetViews>
    <sheetView tabSelected="1" workbookViewId="0">
      <selection activeCell="F9" sqref="F9"/>
    </sheetView>
  </sheetViews>
  <sheetFormatPr defaultRowHeight="16.5"/>
  <cols>
    <col min="1" max="1" width="3.75" bestFit="1" customWidth="1"/>
    <col min="2" max="2" width="7.5" bestFit="1" customWidth="1"/>
    <col min="3" max="3" width="10.625" bestFit="1" customWidth="1"/>
    <col min="4" max="4" width="4.125" bestFit="1" customWidth="1"/>
    <col min="5" max="5" width="11.625" bestFit="1" customWidth="1"/>
    <col min="6" max="6" width="18.75" bestFit="1" customWidth="1"/>
    <col min="7" max="7" width="10.5" bestFit="1" customWidth="1"/>
    <col min="8" max="8" width="13.875" bestFit="1" customWidth="1"/>
    <col min="9" max="10" width="13" bestFit="1" customWidth="1"/>
    <col min="11" max="11" width="10.25" bestFit="1" customWidth="1"/>
    <col min="12" max="12" width="8.25" bestFit="1" customWidth="1"/>
    <col min="13" max="13" width="2.75" bestFit="1" customWidth="1"/>
    <col min="14" max="14" width="5.75" bestFit="1" customWidth="1"/>
    <col min="15" max="15" width="6" bestFit="1" customWidth="1"/>
    <col min="16" max="16" width="11.375" bestFit="1" customWidth="1"/>
    <col min="17" max="17" width="9.75" bestFit="1" customWidth="1"/>
    <col min="18" max="19" width="11.375" bestFit="1" customWidth="1"/>
    <col min="20" max="20" width="4.75" bestFit="1" customWidth="1"/>
    <col min="21" max="22" width="7.5" bestFit="1" customWidth="1"/>
    <col min="23" max="23" width="4.5" bestFit="1" customWidth="1"/>
  </cols>
  <sheetData>
    <row r="1" spans="1:23">
      <c r="A1" s="111" t="s">
        <v>621</v>
      </c>
      <c r="B1" s="111" t="s">
        <v>575</v>
      </c>
      <c r="C1" s="111" t="s">
        <v>574</v>
      </c>
      <c r="D1" s="111" t="s">
        <v>573</v>
      </c>
      <c r="E1" s="111" t="s">
        <v>572</v>
      </c>
      <c r="F1" s="111" t="s">
        <v>571</v>
      </c>
      <c r="G1" s="111" t="s">
        <v>570</v>
      </c>
      <c r="H1" s="111" t="s">
        <v>569</v>
      </c>
      <c r="I1" s="111" t="s">
        <v>568</v>
      </c>
      <c r="J1" s="111" t="s">
        <v>567</v>
      </c>
      <c r="K1" s="111" t="s">
        <v>566</v>
      </c>
      <c r="L1" s="111" t="s">
        <v>565</v>
      </c>
      <c r="M1" s="118" t="s">
        <v>564</v>
      </c>
      <c r="N1" s="119"/>
      <c r="O1" s="111" t="s">
        <v>563</v>
      </c>
      <c r="P1" s="111" t="s">
        <v>562</v>
      </c>
      <c r="Q1" s="111" t="s">
        <v>561</v>
      </c>
      <c r="R1" s="111" t="s">
        <v>560</v>
      </c>
      <c r="S1" s="111" t="s">
        <v>559</v>
      </c>
      <c r="T1" s="111" t="s">
        <v>558</v>
      </c>
      <c r="U1" s="111" t="s">
        <v>557</v>
      </c>
      <c r="V1" s="111" t="s">
        <v>556</v>
      </c>
      <c r="W1" s="111" t="s">
        <v>555</v>
      </c>
    </row>
    <row r="2" spans="1:23">
      <c r="A2" s="112"/>
      <c r="B2" s="112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20"/>
      <c r="N2" s="121"/>
      <c r="O2" s="112"/>
      <c r="P2" s="112"/>
      <c r="Q2" s="112"/>
      <c r="R2" s="112"/>
      <c r="S2" s="112"/>
      <c r="T2" s="112"/>
      <c r="U2" s="112"/>
      <c r="V2" s="112"/>
      <c r="W2" s="112"/>
    </row>
    <row r="3" spans="1:23">
      <c r="A3" s="81" t="s">
        <v>554</v>
      </c>
      <c r="B3" s="81" t="s">
        <v>399</v>
      </c>
      <c r="C3" s="80" t="s">
        <v>625</v>
      </c>
      <c r="D3" s="89" t="s">
        <v>338</v>
      </c>
      <c r="E3" s="81" t="s">
        <v>0</v>
      </c>
      <c r="F3" s="80" t="s">
        <v>1</v>
      </c>
      <c r="G3" s="83">
        <v>2.66</v>
      </c>
      <c r="H3" s="83">
        <v>3.79</v>
      </c>
      <c r="I3" s="82">
        <v>370946810</v>
      </c>
      <c r="J3" s="82">
        <v>4616</v>
      </c>
      <c r="K3" s="88">
        <v>80361.09</v>
      </c>
      <c r="L3" s="87">
        <v>83400</v>
      </c>
      <c r="M3" s="86" t="s">
        <v>362</v>
      </c>
      <c r="N3" s="85" t="s">
        <v>414</v>
      </c>
      <c r="O3" s="84">
        <v>-0.24</v>
      </c>
      <c r="P3" s="82">
        <v>14027590</v>
      </c>
      <c r="Q3" s="83">
        <v>3.78</v>
      </c>
      <c r="R3" s="82">
        <v>-923200</v>
      </c>
      <c r="S3" s="82">
        <v>2990046</v>
      </c>
      <c r="T3" s="81" t="s">
        <v>269</v>
      </c>
      <c r="U3" s="80" t="s">
        <v>343</v>
      </c>
      <c r="V3" s="79" t="s">
        <v>342</v>
      </c>
      <c r="W3" s="79" t="s">
        <v>342</v>
      </c>
    </row>
    <row r="4" spans="1:23">
      <c r="A4" s="50" t="s">
        <v>553</v>
      </c>
      <c r="B4" s="50" t="s">
        <v>399</v>
      </c>
      <c r="C4" s="49" t="s">
        <v>625</v>
      </c>
      <c r="D4" s="57" t="s">
        <v>338</v>
      </c>
      <c r="E4" s="50" t="s">
        <v>4</v>
      </c>
      <c r="F4" s="49" t="s">
        <v>5</v>
      </c>
      <c r="G4" s="52">
        <v>1.98</v>
      </c>
      <c r="H4" s="52">
        <v>2.81</v>
      </c>
      <c r="I4" s="51">
        <v>271249530</v>
      </c>
      <c r="J4" s="51">
        <v>7366</v>
      </c>
      <c r="K4" s="56">
        <v>36824.54</v>
      </c>
      <c r="L4" s="62">
        <v>38850</v>
      </c>
      <c r="M4" s="61" t="s">
        <v>362</v>
      </c>
      <c r="N4" s="60" t="s">
        <v>453</v>
      </c>
      <c r="O4" s="59">
        <v>-0.13</v>
      </c>
      <c r="P4" s="51">
        <v>14919570</v>
      </c>
      <c r="Q4" s="52">
        <v>5.5</v>
      </c>
      <c r="R4" s="51">
        <v>-368300</v>
      </c>
      <c r="S4" s="51">
        <v>1589642</v>
      </c>
      <c r="T4" s="50" t="s">
        <v>269</v>
      </c>
      <c r="U4" s="49" t="s">
        <v>343</v>
      </c>
      <c r="V4" s="48" t="s">
        <v>342</v>
      </c>
      <c r="W4" s="48" t="s">
        <v>342</v>
      </c>
    </row>
    <row r="5" spans="1:23">
      <c r="A5" s="40" t="s">
        <v>552</v>
      </c>
      <c r="B5" s="40" t="s">
        <v>399</v>
      </c>
      <c r="C5" s="39" t="s">
        <v>625</v>
      </c>
      <c r="D5" s="47" t="s">
        <v>338</v>
      </c>
      <c r="E5" s="40" t="s">
        <v>324</v>
      </c>
      <c r="F5" s="39" t="s">
        <v>325</v>
      </c>
      <c r="G5" s="42">
        <v>0.96</v>
      </c>
      <c r="H5" s="42">
        <v>1.37</v>
      </c>
      <c r="I5" s="41">
        <v>146062300</v>
      </c>
      <c r="J5" s="41">
        <v>528</v>
      </c>
      <c r="K5" s="46">
        <v>276633.14</v>
      </c>
      <c r="L5" s="70">
        <v>264000</v>
      </c>
      <c r="M5" s="69" t="s">
        <v>362</v>
      </c>
      <c r="N5" s="68" t="s">
        <v>398</v>
      </c>
      <c r="O5" s="67">
        <v>-0.75</v>
      </c>
      <c r="P5" s="41">
        <v>-6670300</v>
      </c>
      <c r="Q5" s="42">
        <v>-4.57</v>
      </c>
      <c r="R5" s="41">
        <v>-1056000</v>
      </c>
      <c r="S5" s="41">
        <v>43800</v>
      </c>
      <c r="T5" s="40" t="s">
        <v>269</v>
      </c>
      <c r="U5" s="39" t="s">
        <v>343</v>
      </c>
      <c r="V5" s="38" t="s">
        <v>342</v>
      </c>
      <c r="W5" s="38" t="s">
        <v>342</v>
      </c>
    </row>
    <row r="6" spans="1:23">
      <c r="A6" s="50" t="s">
        <v>551</v>
      </c>
      <c r="B6" s="50" t="s">
        <v>399</v>
      </c>
      <c r="C6" s="49" t="s">
        <v>625</v>
      </c>
      <c r="D6" s="57" t="s">
        <v>338</v>
      </c>
      <c r="E6" s="50" t="s">
        <v>6</v>
      </c>
      <c r="F6" s="49" t="s">
        <v>7</v>
      </c>
      <c r="G6" s="52">
        <v>3.12</v>
      </c>
      <c r="H6" s="52">
        <v>4.4400000000000004</v>
      </c>
      <c r="I6" s="51">
        <v>475011194</v>
      </c>
      <c r="J6" s="51">
        <v>13111</v>
      </c>
      <c r="K6" s="56">
        <v>36229.97</v>
      </c>
      <c r="L6" s="62">
        <v>34400</v>
      </c>
      <c r="M6" s="61" t="s">
        <v>362</v>
      </c>
      <c r="N6" s="60" t="s">
        <v>401</v>
      </c>
      <c r="O6" s="59">
        <v>-0.43</v>
      </c>
      <c r="P6" s="51">
        <v>-23992794</v>
      </c>
      <c r="Q6" s="52">
        <v>-5.05</v>
      </c>
      <c r="R6" s="51">
        <v>-1966650</v>
      </c>
      <c r="S6" s="51">
        <v>1501782</v>
      </c>
      <c r="T6" s="50" t="s">
        <v>269</v>
      </c>
      <c r="U6" s="49" t="s">
        <v>343</v>
      </c>
      <c r="V6" s="48" t="s">
        <v>342</v>
      </c>
      <c r="W6" s="48" t="s">
        <v>342</v>
      </c>
    </row>
    <row r="7" spans="1:23">
      <c r="A7" s="40" t="s">
        <v>550</v>
      </c>
      <c r="B7" s="40" t="s">
        <v>399</v>
      </c>
      <c r="C7" s="39" t="s">
        <v>625</v>
      </c>
      <c r="D7" s="47" t="s">
        <v>338</v>
      </c>
      <c r="E7" s="40" t="s">
        <v>314</v>
      </c>
      <c r="F7" s="39" t="s">
        <v>315</v>
      </c>
      <c r="G7" s="42">
        <v>2.1800000000000002</v>
      </c>
      <c r="H7" s="42">
        <v>3.1</v>
      </c>
      <c r="I7" s="41">
        <v>300568650</v>
      </c>
      <c r="J7" s="41">
        <v>26496</v>
      </c>
      <c r="K7" s="46">
        <v>11343.93</v>
      </c>
      <c r="L7" s="70">
        <v>11900</v>
      </c>
      <c r="M7" s="69" t="s">
        <v>362</v>
      </c>
      <c r="N7" s="68" t="s">
        <v>443</v>
      </c>
      <c r="O7" s="67">
        <v>-2.06</v>
      </c>
      <c r="P7" s="41">
        <v>14733750</v>
      </c>
      <c r="Q7" s="42">
        <v>4.9000000000000004</v>
      </c>
      <c r="R7" s="41">
        <v>-5766850</v>
      </c>
      <c r="S7" s="41">
        <v>213100</v>
      </c>
      <c r="T7" s="40" t="s">
        <v>269</v>
      </c>
      <c r="U7" s="39" t="s">
        <v>343</v>
      </c>
      <c r="V7" s="38" t="s">
        <v>342</v>
      </c>
      <c r="W7" s="38" t="s">
        <v>342</v>
      </c>
    </row>
    <row r="8" spans="1:23">
      <c r="A8" s="50" t="s">
        <v>549</v>
      </c>
      <c r="B8" s="50" t="s">
        <v>399</v>
      </c>
      <c r="C8" s="49" t="s">
        <v>625</v>
      </c>
      <c r="D8" s="57" t="s">
        <v>338</v>
      </c>
      <c r="E8" s="50" t="s">
        <v>284</v>
      </c>
      <c r="F8" s="49" t="s">
        <v>285</v>
      </c>
      <c r="G8" s="52">
        <v>1.92</v>
      </c>
      <c r="H8" s="52">
        <v>2.74</v>
      </c>
      <c r="I8" s="51">
        <v>303654930</v>
      </c>
      <c r="J8" s="51">
        <v>4322</v>
      </c>
      <c r="K8" s="56">
        <v>70257.97</v>
      </c>
      <c r="L8" s="51">
        <v>64400</v>
      </c>
      <c r="M8" s="55" t="s">
        <v>269</v>
      </c>
      <c r="N8" s="54" t="s">
        <v>342</v>
      </c>
      <c r="O8" s="53">
        <v>0</v>
      </c>
      <c r="P8" s="51">
        <v>-25318130</v>
      </c>
      <c r="Q8" s="52">
        <v>-8.34</v>
      </c>
      <c r="R8" s="51">
        <v>0</v>
      </c>
      <c r="S8" s="51">
        <v>1021300</v>
      </c>
      <c r="T8" s="50" t="s">
        <v>269</v>
      </c>
      <c r="U8" s="49" t="s">
        <v>343</v>
      </c>
      <c r="V8" s="48" t="s">
        <v>342</v>
      </c>
      <c r="W8" s="48" t="s">
        <v>342</v>
      </c>
    </row>
    <row r="9" spans="1:23">
      <c r="A9" s="40" t="s">
        <v>548</v>
      </c>
      <c r="B9" s="40" t="s">
        <v>399</v>
      </c>
      <c r="C9" s="39" t="s">
        <v>625</v>
      </c>
      <c r="D9" s="47" t="s">
        <v>338</v>
      </c>
      <c r="E9" s="40" t="s">
        <v>14</v>
      </c>
      <c r="F9" s="39" t="s">
        <v>15</v>
      </c>
      <c r="G9" s="42">
        <v>1.06</v>
      </c>
      <c r="H9" s="42">
        <v>1.51</v>
      </c>
      <c r="I9" s="41">
        <v>146459898</v>
      </c>
      <c r="J9" s="41">
        <v>1154</v>
      </c>
      <c r="K9" s="46">
        <v>126914.99</v>
      </c>
      <c r="L9" s="66">
        <v>133500</v>
      </c>
      <c r="M9" s="65" t="s">
        <v>367</v>
      </c>
      <c r="N9" s="64" t="s">
        <v>382</v>
      </c>
      <c r="O9" s="63">
        <v>1.1399999999999999</v>
      </c>
      <c r="P9" s="41">
        <v>7599102</v>
      </c>
      <c r="Q9" s="42">
        <v>5.19</v>
      </c>
      <c r="R9" s="41">
        <v>1731000</v>
      </c>
      <c r="S9" s="41">
        <v>3730666</v>
      </c>
      <c r="T9" s="40" t="s">
        <v>269</v>
      </c>
      <c r="U9" s="39" t="s">
        <v>343</v>
      </c>
      <c r="V9" s="38" t="s">
        <v>342</v>
      </c>
      <c r="W9" s="38" t="s">
        <v>342</v>
      </c>
    </row>
    <row r="10" spans="1:23">
      <c r="A10" s="50" t="s">
        <v>547</v>
      </c>
      <c r="B10" s="50" t="s">
        <v>399</v>
      </c>
      <c r="C10" s="49" t="s">
        <v>625</v>
      </c>
      <c r="D10" s="57" t="s">
        <v>338</v>
      </c>
      <c r="E10" s="50" t="s">
        <v>16</v>
      </c>
      <c r="F10" s="49" t="s">
        <v>17</v>
      </c>
      <c r="G10" s="52">
        <v>2.0099999999999998</v>
      </c>
      <c r="H10" s="52">
        <v>2.87</v>
      </c>
      <c r="I10" s="51">
        <v>268745421</v>
      </c>
      <c r="J10" s="51">
        <v>1311</v>
      </c>
      <c r="K10" s="56">
        <v>204992.69</v>
      </c>
      <c r="L10" s="62">
        <v>222500</v>
      </c>
      <c r="M10" s="61" t="s">
        <v>362</v>
      </c>
      <c r="N10" s="60" t="s">
        <v>398</v>
      </c>
      <c r="O10" s="59">
        <v>-0.89</v>
      </c>
      <c r="P10" s="51">
        <v>22952079</v>
      </c>
      <c r="Q10" s="52">
        <v>8.5399999999999991</v>
      </c>
      <c r="R10" s="51">
        <v>-2622000</v>
      </c>
      <c r="S10" s="51">
        <v>3437226</v>
      </c>
      <c r="T10" s="50" t="s">
        <v>269</v>
      </c>
      <c r="U10" s="49" t="s">
        <v>343</v>
      </c>
      <c r="V10" s="48" t="s">
        <v>342</v>
      </c>
      <c r="W10" s="48" t="s">
        <v>342</v>
      </c>
    </row>
    <row r="11" spans="1:23">
      <c r="A11" s="40" t="s">
        <v>546</v>
      </c>
      <c r="B11" s="40" t="s">
        <v>399</v>
      </c>
      <c r="C11" s="39" t="s">
        <v>625</v>
      </c>
      <c r="D11" s="47" t="s">
        <v>338</v>
      </c>
      <c r="E11" s="40" t="s">
        <v>20</v>
      </c>
      <c r="F11" s="39" t="s">
        <v>21</v>
      </c>
      <c r="G11" s="42">
        <v>4.8499999999999996</v>
      </c>
      <c r="H11" s="42">
        <v>6.9</v>
      </c>
      <c r="I11" s="41">
        <v>599412108</v>
      </c>
      <c r="J11" s="41">
        <v>435</v>
      </c>
      <c r="K11" s="46">
        <v>1377958.87</v>
      </c>
      <c r="L11" s="70">
        <v>1612000</v>
      </c>
      <c r="M11" s="69" t="s">
        <v>362</v>
      </c>
      <c r="N11" s="68" t="s">
        <v>545</v>
      </c>
      <c r="O11" s="67">
        <v>-1.65</v>
      </c>
      <c r="P11" s="41">
        <v>101807892</v>
      </c>
      <c r="Q11" s="42">
        <v>16.98</v>
      </c>
      <c r="R11" s="41">
        <v>-11745000</v>
      </c>
      <c r="S11" s="41">
        <v>5312416</v>
      </c>
      <c r="T11" s="40" t="s">
        <v>269</v>
      </c>
      <c r="U11" s="39" t="s">
        <v>343</v>
      </c>
      <c r="V11" s="38" t="s">
        <v>342</v>
      </c>
      <c r="W11" s="38" t="s">
        <v>342</v>
      </c>
    </row>
    <row r="12" spans="1:23">
      <c r="A12" s="50" t="s">
        <v>366</v>
      </c>
      <c r="B12" s="50" t="s">
        <v>399</v>
      </c>
      <c r="C12" s="49" t="s">
        <v>625</v>
      </c>
      <c r="D12" s="57" t="s">
        <v>338</v>
      </c>
      <c r="E12" s="50" t="s">
        <v>286</v>
      </c>
      <c r="F12" s="49" t="s">
        <v>287</v>
      </c>
      <c r="G12" s="52">
        <v>0.49</v>
      </c>
      <c r="H12" s="52">
        <v>0.69</v>
      </c>
      <c r="I12" s="51">
        <v>61794887</v>
      </c>
      <c r="J12" s="51">
        <v>3747</v>
      </c>
      <c r="K12" s="56">
        <v>16491.830000000002</v>
      </c>
      <c r="L12" s="62">
        <v>18900</v>
      </c>
      <c r="M12" s="61" t="s">
        <v>362</v>
      </c>
      <c r="N12" s="60" t="s">
        <v>453</v>
      </c>
      <c r="O12" s="59">
        <v>-0.26</v>
      </c>
      <c r="P12" s="51">
        <v>9023413</v>
      </c>
      <c r="Q12" s="52">
        <v>14.6</v>
      </c>
      <c r="R12" s="51">
        <v>-187350</v>
      </c>
      <c r="S12" s="51">
        <v>1278142</v>
      </c>
      <c r="T12" s="50" t="s">
        <v>269</v>
      </c>
      <c r="U12" s="49" t="s">
        <v>343</v>
      </c>
      <c r="V12" s="48" t="s">
        <v>342</v>
      </c>
      <c r="W12" s="48" t="s">
        <v>342</v>
      </c>
    </row>
    <row r="13" spans="1:23">
      <c r="A13" s="40" t="s">
        <v>544</v>
      </c>
      <c r="B13" s="40" t="s">
        <v>399</v>
      </c>
      <c r="C13" s="39" t="s">
        <v>625</v>
      </c>
      <c r="D13" s="47" t="s">
        <v>338</v>
      </c>
      <c r="E13" s="40" t="s">
        <v>543</v>
      </c>
      <c r="F13" s="39" t="s">
        <v>542</v>
      </c>
      <c r="G13" s="42">
        <v>2.12</v>
      </c>
      <c r="H13" s="42">
        <v>3.03</v>
      </c>
      <c r="I13" s="41">
        <v>286482758</v>
      </c>
      <c r="J13" s="41">
        <v>10393</v>
      </c>
      <c r="K13" s="46">
        <v>27564.97</v>
      </c>
      <c r="L13" s="70">
        <v>29600</v>
      </c>
      <c r="M13" s="69" t="s">
        <v>362</v>
      </c>
      <c r="N13" s="68" t="s">
        <v>453</v>
      </c>
      <c r="O13" s="67">
        <v>-0.17</v>
      </c>
      <c r="P13" s="41">
        <v>21150042</v>
      </c>
      <c r="Q13" s="42">
        <v>7.38</v>
      </c>
      <c r="R13" s="41">
        <v>-519650</v>
      </c>
      <c r="S13" s="41">
        <v>2024774</v>
      </c>
      <c r="T13" s="40" t="s">
        <v>269</v>
      </c>
      <c r="U13" s="39" t="s">
        <v>343</v>
      </c>
      <c r="V13" s="38" t="s">
        <v>342</v>
      </c>
      <c r="W13" s="38" t="s">
        <v>342</v>
      </c>
    </row>
    <row r="14" spans="1:23">
      <c r="A14" s="50" t="s">
        <v>541</v>
      </c>
      <c r="B14" s="50" t="s">
        <v>399</v>
      </c>
      <c r="C14" s="49" t="s">
        <v>625</v>
      </c>
      <c r="D14" s="57" t="s">
        <v>338</v>
      </c>
      <c r="E14" s="50" t="s">
        <v>303</v>
      </c>
      <c r="F14" s="49" t="s">
        <v>304</v>
      </c>
      <c r="G14" s="52">
        <v>0</v>
      </c>
      <c r="H14" s="52">
        <v>0</v>
      </c>
      <c r="I14" s="51">
        <v>4551660</v>
      </c>
      <c r="J14" s="51">
        <v>0</v>
      </c>
      <c r="K14" s="51">
        <v>0</v>
      </c>
      <c r="L14" s="62">
        <v>1365</v>
      </c>
      <c r="M14" s="61" t="s">
        <v>362</v>
      </c>
      <c r="N14" s="60" t="s">
        <v>527</v>
      </c>
      <c r="O14" s="59">
        <v>-1.44</v>
      </c>
      <c r="P14" s="51">
        <v>-4551660</v>
      </c>
      <c r="Q14" s="52">
        <v>-6</v>
      </c>
      <c r="R14" s="51">
        <v>-258165</v>
      </c>
      <c r="S14" s="51">
        <v>71060</v>
      </c>
      <c r="T14" s="50" t="s">
        <v>269</v>
      </c>
      <c r="U14" s="49" t="s">
        <v>343</v>
      </c>
      <c r="V14" s="48" t="s">
        <v>342</v>
      </c>
      <c r="W14" s="48" t="s">
        <v>342</v>
      </c>
    </row>
    <row r="15" spans="1:23">
      <c r="A15" s="40" t="s">
        <v>539</v>
      </c>
      <c r="B15" s="40" t="s">
        <v>399</v>
      </c>
      <c r="C15" s="39" t="s">
        <v>625</v>
      </c>
      <c r="D15" s="47" t="s">
        <v>338</v>
      </c>
      <c r="E15" s="40" t="s">
        <v>24</v>
      </c>
      <c r="F15" s="39" t="s">
        <v>25</v>
      </c>
      <c r="G15" s="42">
        <v>2</v>
      </c>
      <c r="H15" s="42">
        <v>2.85</v>
      </c>
      <c r="I15" s="41">
        <v>277922800</v>
      </c>
      <c r="J15" s="41">
        <v>4333</v>
      </c>
      <c r="K15" s="46">
        <v>64140.959999999999</v>
      </c>
      <c r="L15" s="66">
        <v>67000</v>
      </c>
      <c r="M15" s="65" t="s">
        <v>367</v>
      </c>
      <c r="N15" s="64" t="s">
        <v>540</v>
      </c>
      <c r="O15" s="63">
        <v>1.36</v>
      </c>
      <c r="P15" s="41">
        <v>12388200</v>
      </c>
      <c r="Q15" s="42">
        <v>4.46</v>
      </c>
      <c r="R15" s="41">
        <v>3341100</v>
      </c>
      <c r="S15" s="41">
        <v>1200984</v>
      </c>
      <c r="T15" s="40" t="s">
        <v>269</v>
      </c>
      <c r="U15" s="39" t="s">
        <v>343</v>
      </c>
      <c r="V15" s="38" t="s">
        <v>342</v>
      </c>
      <c r="W15" s="38" t="s">
        <v>342</v>
      </c>
    </row>
    <row r="16" spans="1:23">
      <c r="A16" s="50" t="s">
        <v>538</v>
      </c>
      <c r="B16" s="50" t="s">
        <v>399</v>
      </c>
      <c r="C16" s="49" t="s">
        <v>625</v>
      </c>
      <c r="D16" s="57" t="s">
        <v>338</v>
      </c>
      <c r="E16" s="50" t="s">
        <v>28</v>
      </c>
      <c r="F16" s="49" t="s">
        <v>29</v>
      </c>
      <c r="G16" s="52">
        <v>1.31</v>
      </c>
      <c r="H16" s="52">
        <v>1.86</v>
      </c>
      <c r="I16" s="51">
        <v>116594135</v>
      </c>
      <c r="J16" s="51">
        <v>3305</v>
      </c>
      <c r="K16" s="78">
        <v>35278.1</v>
      </c>
      <c r="L16" s="62">
        <v>57400</v>
      </c>
      <c r="M16" s="61" t="s">
        <v>362</v>
      </c>
      <c r="N16" s="60" t="s">
        <v>355</v>
      </c>
      <c r="O16" s="59">
        <v>-0.17</v>
      </c>
      <c r="P16" s="51">
        <v>73112865</v>
      </c>
      <c r="Q16" s="52">
        <v>62.71</v>
      </c>
      <c r="R16" s="51">
        <v>-330500</v>
      </c>
      <c r="S16" s="51">
        <v>754730</v>
      </c>
      <c r="T16" s="50" t="s">
        <v>269</v>
      </c>
      <c r="U16" s="49" t="s">
        <v>343</v>
      </c>
      <c r="V16" s="48" t="s">
        <v>342</v>
      </c>
      <c r="W16" s="48" t="s">
        <v>342</v>
      </c>
    </row>
    <row r="17" spans="1:23">
      <c r="A17" s="40" t="s">
        <v>537</v>
      </c>
      <c r="B17" s="40" t="s">
        <v>399</v>
      </c>
      <c r="C17" s="39" t="s">
        <v>625</v>
      </c>
      <c r="D17" s="47" t="s">
        <v>338</v>
      </c>
      <c r="E17" s="40" t="s">
        <v>30</v>
      </c>
      <c r="F17" s="39" t="s">
        <v>31</v>
      </c>
      <c r="G17" s="42">
        <v>0.97</v>
      </c>
      <c r="H17" s="42">
        <v>1.38</v>
      </c>
      <c r="I17" s="41">
        <v>148720064</v>
      </c>
      <c r="J17" s="41">
        <v>286</v>
      </c>
      <c r="K17" s="46">
        <v>520000.22</v>
      </c>
      <c r="L17" s="66">
        <v>490000</v>
      </c>
      <c r="M17" s="65" t="s">
        <v>367</v>
      </c>
      <c r="N17" s="64" t="s">
        <v>451</v>
      </c>
      <c r="O17" s="63">
        <v>0.82</v>
      </c>
      <c r="P17" s="41">
        <v>-8580064</v>
      </c>
      <c r="Q17" s="42">
        <v>-5.77</v>
      </c>
      <c r="R17" s="41">
        <v>1144000</v>
      </c>
      <c r="S17" s="41">
        <v>2996644</v>
      </c>
      <c r="T17" s="40" t="s">
        <v>269</v>
      </c>
      <c r="U17" s="39" t="s">
        <v>343</v>
      </c>
      <c r="V17" s="38" t="s">
        <v>342</v>
      </c>
      <c r="W17" s="38" t="s">
        <v>342</v>
      </c>
    </row>
    <row r="18" spans="1:23">
      <c r="A18" s="50" t="s">
        <v>534</v>
      </c>
      <c r="B18" s="50" t="s">
        <v>399</v>
      </c>
      <c r="C18" s="49" t="s">
        <v>625</v>
      </c>
      <c r="D18" s="57" t="s">
        <v>338</v>
      </c>
      <c r="E18" s="50" t="s">
        <v>536</v>
      </c>
      <c r="F18" s="49" t="s">
        <v>535</v>
      </c>
      <c r="G18" s="52">
        <v>1.1399999999999999</v>
      </c>
      <c r="H18" s="52">
        <v>1.63</v>
      </c>
      <c r="I18" s="51">
        <v>182560960</v>
      </c>
      <c r="J18" s="51">
        <v>3082</v>
      </c>
      <c r="K18" s="56">
        <v>59234.57</v>
      </c>
      <c r="L18" s="76">
        <v>53900</v>
      </c>
      <c r="M18" s="75" t="s">
        <v>367</v>
      </c>
      <c r="N18" s="74" t="s">
        <v>371</v>
      </c>
      <c r="O18" s="73">
        <v>0.56000000000000005</v>
      </c>
      <c r="P18" s="51">
        <v>-16441160</v>
      </c>
      <c r="Q18" s="52">
        <v>-9.01</v>
      </c>
      <c r="R18" s="51">
        <v>924600</v>
      </c>
      <c r="S18" s="51">
        <v>1811266</v>
      </c>
      <c r="T18" s="50" t="s">
        <v>269</v>
      </c>
      <c r="U18" s="49" t="s">
        <v>343</v>
      </c>
      <c r="V18" s="48" t="s">
        <v>342</v>
      </c>
      <c r="W18" s="48" t="s">
        <v>342</v>
      </c>
    </row>
    <row r="19" spans="1:23">
      <c r="A19" s="40" t="s">
        <v>531</v>
      </c>
      <c r="B19" s="40" t="s">
        <v>399</v>
      </c>
      <c r="C19" s="39" t="s">
        <v>625</v>
      </c>
      <c r="D19" s="47" t="s">
        <v>338</v>
      </c>
      <c r="E19" s="40" t="s">
        <v>533</v>
      </c>
      <c r="F19" s="39" t="s">
        <v>532</v>
      </c>
      <c r="G19" s="42">
        <v>1.55</v>
      </c>
      <c r="H19" s="42">
        <v>2.21</v>
      </c>
      <c r="I19" s="41">
        <v>217139007</v>
      </c>
      <c r="J19" s="41">
        <v>868</v>
      </c>
      <c r="K19" s="46">
        <v>250160.15</v>
      </c>
      <c r="L19" s="66">
        <v>258500</v>
      </c>
      <c r="M19" s="65" t="s">
        <v>367</v>
      </c>
      <c r="N19" s="64" t="s">
        <v>437</v>
      </c>
      <c r="O19" s="63">
        <v>1.97</v>
      </c>
      <c r="P19" s="41">
        <v>7238993</v>
      </c>
      <c r="Q19" s="42">
        <v>3.33</v>
      </c>
      <c r="R19" s="41">
        <v>4340000</v>
      </c>
      <c r="S19" s="41">
        <v>1783968</v>
      </c>
      <c r="T19" s="40" t="s">
        <v>269</v>
      </c>
      <c r="U19" s="39" t="s">
        <v>343</v>
      </c>
      <c r="V19" s="38" t="s">
        <v>342</v>
      </c>
      <c r="W19" s="38" t="s">
        <v>342</v>
      </c>
    </row>
    <row r="20" spans="1:23">
      <c r="A20" s="50" t="s">
        <v>530</v>
      </c>
      <c r="B20" s="50" t="s">
        <v>399</v>
      </c>
      <c r="C20" s="49" t="s">
        <v>625</v>
      </c>
      <c r="D20" s="57" t="s">
        <v>338</v>
      </c>
      <c r="E20" s="50" t="s">
        <v>272</v>
      </c>
      <c r="F20" s="49" t="s">
        <v>273</v>
      </c>
      <c r="G20" s="52">
        <v>1.03</v>
      </c>
      <c r="H20" s="52">
        <v>1.47</v>
      </c>
      <c r="I20" s="51">
        <v>129796218</v>
      </c>
      <c r="J20" s="51">
        <v>2642</v>
      </c>
      <c r="K20" s="56">
        <v>49128.02</v>
      </c>
      <c r="L20" s="62">
        <v>56700</v>
      </c>
      <c r="M20" s="61" t="s">
        <v>362</v>
      </c>
      <c r="N20" s="60" t="s">
        <v>528</v>
      </c>
      <c r="O20" s="59">
        <v>-2.74</v>
      </c>
      <c r="P20" s="51">
        <v>20005182</v>
      </c>
      <c r="Q20" s="52">
        <v>15.41</v>
      </c>
      <c r="R20" s="51">
        <v>-4227200</v>
      </c>
      <c r="S20" s="51">
        <v>252984</v>
      </c>
      <c r="T20" s="50" t="s">
        <v>269</v>
      </c>
      <c r="U20" s="49" t="s">
        <v>343</v>
      </c>
      <c r="V20" s="48" t="s">
        <v>342</v>
      </c>
      <c r="W20" s="48" t="s">
        <v>342</v>
      </c>
    </row>
    <row r="21" spans="1:23">
      <c r="A21" s="40" t="s">
        <v>529</v>
      </c>
      <c r="B21" s="40" t="s">
        <v>399</v>
      </c>
      <c r="C21" s="39" t="s">
        <v>625</v>
      </c>
      <c r="D21" s="47" t="s">
        <v>338</v>
      </c>
      <c r="E21" s="40" t="s">
        <v>36</v>
      </c>
      <c r="F21" s="39" t="s">
        <v>37</v>
      </c>
      <c r="G21" s="42">
        <v>0.77</v>
      </c>
      <c r="H21" s="42">
        <v>1.0900000000000001</v>
      </c>
      <c r="I21" s="41">
        <v>167349079</v>
      </c>
      <c r="J21" s="41">
        <v>1225</v>
      </c>
      <c r="K21" s="46">
        <v>136611.49</v>
      </c>
      <c r="L21" s="70">
        <v>90900</v>
      </c>
      <c r="M21" s="69" t="s">
        <v>362</v>
      </c>
      <c r="N21" s="68" t="s">
        <v>391</v>
      </c>
      <c r="O21" s="67">
        <v>-0.87</v>
      </c>
      <c r="P21" s="41">
        <v>-55996579</v>
      </c>
      <c r="Q21" s="42">
        <v>-28.52</v>
      </c>
      <c r="R21" s="41">
        <v>-791600</v>
      </c>
      <c r="S21" s="41">
        <v>301774</v>
      </c>
      <c r="T21" s="40" t="s">
        <v>269</v>
      </c>
      <c r="U21" s="39" t="s">
        <v>343</v>
      </c>
      <c r="V21" s="38" t="s">
        <v>342</v>
      </c>
      <c r="W21" s="38" t="s">
        <v>342</v>
      </c>
    </row>
    <row r="22" spans="1:23">
      <c r="A22" s="50" t="s">
        <v>527</v>
      </c>
      <c r="B22" s="50" t="s">
        <v>399</v>
      </c>
      <c r="C22" s="49" t="s">
        <v>625</v>
      </c>
      <c r="D22" s="57" t="s">
        <v>338</v>
      </c>
      <c r="E22" s="50" t="s">
        <v>258</v>
      </c>
      <c r="F22" s="49" t="s">
        <v>259</v>
      </c>
      <c r="G22" s="52">
        <v>3.26</v>
      </c>
      <c r="H22" s="52">
        <v>4.6500000000000004</v>
      </c>
      <c r="I22" s="51">
        <v>414123878</v>
      </c>
      <c r="J22" s="51">
        <v>6700</v>
      </c>
      <c r="K22" s="56">
        <v>61809.53</v>
      </c>
      <c r="L22" s="76">
        <v>70500</v>
      </c>
      <c r="M22" s="75" t="s">
        <v>367</v>
      </c>
      <c r="N22" s="74" t="s">
        <v>528</v>
      </c>
      <c r="O22" s="73">
        <v>2.3199999999999998</v>
      </c>
      <c r="P22" s="51">
        <v>58226122</v>
      </c>
      <c r="Q22" s="52">
        <v>14.06</v>
      </c>
      <c r="R22" s="51">
        <v>10720000</v>
      </c>
      <c r="S22" s="51">
        <v>1069654</v>
      </c>
      <c r="T22" s="50" t="s">
        <v>269</v>
      </c>
      <c r="U22" s="49" t="s">
        <v>343</v>
      </c>
      <c r="V22" s="48" t="s">
        <v>342</v>
      </c>
      <c r="W22" s="48" t="s">
        <v>342</v>
      </c>
    </row>
    <row r="23" spans="1:23">
      <c r="A23" s="40" t="s">
        <v>526</v>
      </c>
      <c r="B23" s="40" t="s">
        <v>399</v>
      </c>
      <c r="C23" s="39" t="s">
        <v>625</v>
      </c>
      <c r="D23" s="47" t="s">
        <v>338</v>
      </c>
      <c r="E23" s="40" t="s">
        <v>328</v>
      </c>
      <c r="F23" s="39" t="s">
        <v>329</v>
      </c>
      <c r="G23" s="42">
        <v>1.41</v>
      </c>
      <c r="H23" s="42">
        <v>2</v>
      </c>
      <c r="I23" s="41">
        <v>207222420</v>
      </c>
      <c r="J23" s="41">
        <v>36488</v>
      </c>
      <c r="K23" s="46">
        <v>5679.19</v>
      </c>
      <c r="L23" s="70">
        <v>5590</v>
      </c>
      <c r="M23" s="69" t="s">
        <v>362</v>
      </c>
      <c r="N23" s="68" t="s">
        <v>355</v>
      </c>
      <c r="O23" s="67">
        <v>-1.76</v>
      </c>
      <c r="P23" s="41">
        <v>-3254500</v>
      </c>
      <c r="Q23" s="42">
        <v>-1.57</v>
      </c>
      <c r="R23" s="41">
        <v>-3648800</v>
      </c>
      <c r="S23" s="41">
        <v>153710</v>
      </c>
      <c r="T23" s="40" t="s">
        <v>269</v>
      </c>
      <c r="U23" s="39" t="s">
        <v>343</v>
      </c>
      <c r="V23" s="38" t="s">
        <v>342</v>
      </c>
      <c r="W23" s="38" t="s">
        <v>342</v>
      </c>
    </row>
    <row r="24" spans="1:23">
      <c r="A24" s="50" t="s">
        <v>523</v>
      </c>
      <c r="B24" s="50" t="s">
        <v>399</v>
      </c>
      <c r="C24" s="49" t="s">
        <v>625</v>
      </c>
      <c r="D24" s="57" t="s">
        <v>338</v>
      </c>
      <c r="E24" s="50" t="s">
        <v>525</v>
      </c>
      <c r="F24" s="49" t="s">
        <v>524</v>
      </c>
      <c r="G24" s="52">
        <v>0.99</v>
      </c>
      <c r="H24" s="52">
        <v>1.42</v>
      </c>
      <c r="I24" s="51">
        <v>148478020</v>
      </c>
      <c r="J24" s="51">
        <v>3789</v>
      </c>
      <c r="K24" s="78">
        <v>39186.6</v>
      </c>
      <c r="L24" s="62">
        <v>38050</v>
      </c>
      <c r="M24" s="61" t="s">
        <v>362</v>
      </c>
      <c r="N24" s="60" t="s">
        <v>414</v>
      </c>
      <c r="O24" s="59">
        <v>-0.52</v>
      </c>
      <c r="P24" s="51">
        <v>-4306570</v>
      </c>
      <c r="Q24" s="52">
        <v>-2.9</v>
      </c>
      <c r="R24" s="51">
        <v>-757800</v>
      </c>
      <c r="S24" s="51">
        <v>1145609</v>
      </c>
      <c r="T24" s="50" t="s">
        <v>269</v>
      </c>
      <c r="U24" s="49" t="s">
        <v>343</v>
      </c>
      <c r="V24" s="48" t="s">
        <v>342</v>
      </c>
      <c r="W24" s="48" t="s">
        <v>342</v>
      </c>
    </row>
    <row r="25" spans="1:23">
      <c r="A25" s="40" t="s">
        <v>520</v>
      </c>
      <c r="B25" s="40" t="s">
        <v>399</v>
      </c>
      <c r="C25" s="39" t="s">
        <v>625</v>
      </c>
      <c r="D25" s="47" t="s">
        <v>338</v>
      </c>
      <c r="E25" s="40" t="s">
        <v>522</v>
      </c>
      <c r="F25" s="39" t="s">
        <v>521</v>
      </c>
      <c r="G25" s="42">
        <v>2.29</v>
      </c>
      <c r="H25" s="42">
        <v>3.27</v>
      </c>
      <c r="I25" s="41">
        <v>315083430</v>
      </c>
      <c r="J25" s="41">
        <v>28510</v>
      </c>
      <c r="K25" s="46">
        <v>11051.68</v>
      </c>
      <c r="L25" s="70">
        <v>11650</v>
      </c>
      <c r="M25" s="69" t="s">
        <v>362</v>
      </c>
      <c r="N25" s="68" t="s">
        <v>355</v>
      </c>
      <c r="O25" s="67">
        <v>-0.85</v>
      </c>
      <c r="P25" s="41">
        <v>17058070</v>
      </c>
      <c r="Q25" s="42">
        <v>5.41</v>
      </c>
      <c r="R25" s="41">
        <v>-2851000</v>
      </c>
      <c r="S25" s="41">
        <v>223380</v>
      </c>
      <c r="T25" s="40" t="s">
        <v>269</v>
      </c>
      <c r="U25" s="39" t="s">
        <v>343</v>
      </c>
      <c r="V25" s="38" t="s">
        <v>342</v>
      </c>
      <c r="W25" s="38" t="s">
        <v>342</v>
      </c>
    </row>
    <row r="26" spans="1:23">
      <c r="A26" s="50" t="s">
        <v>516</v>
      </c>
      <c r="B26" s="50" t="s">
        <v>399</v>
      </c>
      <c r="C26" s="49" t="s">
        <v>625</v>
      </c>
      <c r="D26" s="57" t="s">
        <v>338</v>
      </c>
      <c r="E26" s="50" t="s">
        <v>519</v>
      </c>
      <c r="F26" s="49" t="s">
        <v>518</v>
      </c>
      <c r="G26" s="52">
        <v>1.2</v>
      </c>
      <c r="H26" s="52">
        <v>1.72</v>
      </c>
      <c r="I26" s="51">
        <v>175732460</v>
      </c>
      <c r="J26" s="51">
        <v>2293</v>
      </c>
      <c r="K26" s="56">
        <v>76638.67</v>
      </c>
      <c r="L26" s="76">
        <v>76200</v>
      </c>
      <c r="M26" s="75" t="s">
        <v>367</v>
      </c>
      <c r="N26" s="74" t="s">
        <v>517</v>
      </c>
      <c r="O26" s="73">
        <v>5.39</v>
      </c>
      <c r="P26" s="51">
        <v>-1005860</v>
      </c>
      <c r="Q26" s="52">
        <v>-0.56999999999999995</v>
      </c>
      <c r="R26" s="51">
        <v>8942700</v>
      </c>
      <c r="S26" s="51">
        <v>129660</v>
      </c>
      <c r="T26" s="50" t="s">
        <v>269</v>
      </c>
      <c r="U26" s="49" t="s">
        <v>343</v>
      </c>
      <c r="V26" s="48" t="s">
        <v>342</v>
      </c>
      <c r="W26" s="48" t="s">
        <v>342</v>
      </c>
    </row>
    <row r="27" spans="1:23">
      <c r="A27" s="40" t="s">
        <v>512</v>
      </c>
      <c r="B27" s="40" t="s">
        <v>399</v>
      </c>
      <c r="C27" s="39" t="s">
        <v>625</v>
      </c>
      <c r="D27" s="47" t="s">
        <v>338</v>
      </c>
      <c r="E27" s="40" t="s">
        <v>515</v>
      </c>
      <c r="F27" s="39" t="s">
        <v>514</v>
      </c>
      <c r="G27" s="42">
        <v>1.45</v>
      </c>
      <c r="H27" s="42">
        <v>2.06</v>
      </c>
      <c r="I27" s="41">
        <v>214817080</v>
      </c>
      <c r="J27" s="41">
        <v>1336</v>
      </c>
      <c r="K27" s="46">
        <v>160791.23000000001</v>
      </c>
      <c r="L27" s="66">
        <v>157000</v>
      </c>
      <c r="M27" s="65" t="s">
        <v>367</v>
      </c>
      <c r="N27" s="64" t="s">
        <v>513</v>
      </c>
      <c r="O27" s="63">
        <v>4.67</v>
      </c>
      <c r="P27" s="41">
        <v>-5065080</v>
      </c>
      <c r="Q27" s="42">
        <v>-2.36</v>
      </c>
      <c r="R27" s="41">
        <v>9352000</v>
      </c>
      <c r="S27" s="41">
        <v>214580</v>
      </c>
      <c r="T27" s="40" t="s">
        <v>269</v>
      </c>
      <c r="U27" s="39" t="s">
        <v>343</v>
      </c>
      <c r="V27" s="38" t="s">
        <v>342</v>
      </c>
      <c r="W27" s="38" t="s">
        <v>342</v>
      </c>
    </row>
    <row r="28" spans="1:23">
      <c r="A28" s="50" t="s">
        <v>511</v>
      </c>
      <c r="B28" s="50" t="s">
        <v>399</v>
      </c>
      <c r="C28" s="49" t="s">
        <v>625</v>
      </c>
      <c r="D28" s="57" t="s">
        <v>338</v>
      </c>
      <c r="E28" s="50" t="s">
        <v>48</v>
      </c>
      <c r="F28" s="49" t="s">
        <v>49</v>
      </c>
      <c r="G28" s="52">
        <v>2.54</v>
      </c>
      <c r="H28" s="52">
        <v>3.62</v>
      </c>
      <c r="I28" s="51">
        <v>356105560</v>
      </c>
      <c r="J28" s="51">
        <v>12072</v>
      </c>
      <c r="K28" s="56">
        <v>29498.47</v>
      </c>
      <c r="L28" s="62">
        <v>30500</v>
      </c>
      <c r="M28" s="61" t="s">
        <v>362</v>
      </c>
      <c r="N28" s="60" t="s">
        <v>371</v>
      </c>
      <c r="O28" s="59">
        <v>-0.97</v>
      </c>
      <c r="P28" s="51">
        <v>12090440</v>
      </c>
      <c r="Q28" s="52">
        <v>3.4</v>
      </c>
      <c r="R28" s="51">
        <v>-3621600</v>
      </c>
      <c r="S28" s="51">
        <v>3704838</v>
      </c>
      <c r="T28" s="50" t="s">
        <v>269</v>
      </c>
      <c r="U28" s="49" t="s">
        <v>343</v>
      </c>
      <c r="V28" s="48" t="s">
        <v>342</v>
      </c>
      <c r="W28" s="48" t="s">
        <v>342</v>
      </c>
    </row>
    <row r="29" spans="1:23">
      <c r="A29" s="40" t="s">
        <v>510</v>
      </c>
      <c r="B29" s="40" t="s">
        <v>399</v>
      </c>
      <c r="C29" s="39" t="s">
        <v>625</v>
      </c>
      <c r="D29" s="47" t="s">
        <v>338</v>
      </c>
      <c r="E29" s="40" t="s">
        <v>52</v>
      </c>
      <c r="F29" s="39" t="s">
        <v>53</v>
      </c>
      <c r="G29" s="42">
        <v>2.0499999999999998</v>
      </c>
      <c r="H29" s="42">
        <v>2.93</v>
      </c>
      <c r="I29" s="41">
        <v>306088205</v>
      </c>
      <c r="J29" s="41">
        <v>1397</v>
      </c>
      <c r="K29" s="46">
        <v>219103.94</v>
      </c>
      <c r="L29" s="70">
        <v>213000</v>
      </c>
      <c r="M29" s="69" t="s">
        <v>362</v>
      </c>
      <c r="N29" s="68" t="s">
        <v>384</v>
      </c>
      <c r="O29" s="67">
        <v>-0.47</v>
      </c>
      <c r="P29" s="41">
        <v>-8527205</v>
      </c>
      <c r="Q29" s="42">
        <v>-2.79</v>
      </c>
      <c r="R29" s="41">
        <v>-1397000</v>
      </c>
      <c r="S29" s="41">
        <v>4304804</v>
      </c>
      <c r="T29" s="40" t="s">
        <v>269</v>
      </c>
      <c r="U29" s="39" t="s">
        <v>343</v>
      </c>
      <c r="V29" s="38" t="s">
        <v>342</v>
      </c>
      <c r="W29" s="38" t="s">
        <v>342</v>
      </c>
    </row>
    <row r="30" spans="1:23">
      <c r="A30" s="50" t="s">
        <v>507</v>
      </c>
      <c r="B30" s="50" t="s">
        <v>399</v>
      </c>
      <c r="C30" s="49" t="s">
        <v>625</v>
      </c>
      <c r="D30" s="57" t="s">
        <v>338</v>
      </c>
      <c r="E30" s="50" t="s">
        <v>248</v>
      </c>
      <c r="F30" s="49" t="s">
        <v>249</v>
      </c>
      <c r="G30" s="52">
        <v>0</v>
      </c>
      <c r="H30" s="52">
        <v>0</v>
      </c>
      <c r="I30" s="51">
        <v>7644870</v>
      </c>
      <c r="J30" s="51">
        <v>0</v>
      </c>
      <c r="K30" s="51">
        <v>0</v>
      </c>
      <c r="L30" s="76">
        <v>30500</v>
      </c>
      <c r="M30" s="75" t="s">
        <v>367</v>
      </c>
      <c r="N30" s="74" t="s">
        <v>453</v>
      </c>
      <c r="O30" s="73">
        <v>0.16</v>
      </c>
      <c r="P30" s="51">
        <v>-7644870</v>
      </c>
      <c r="Q30" s="52">
        <v>-12.52</v>
      </c>
      <c r="R30" s="51">
        <v>-442000</v>
      </c>
      <c r="S30" s="51">
        <v>240620</v>
      </c>
      <c r="T30" s="50" t="s">
        <v>269</v>
      </c>
      <c r="U30" s="49" t="s">
        <v>343</v>
      </c>
      <c r="V30" s="48" t="s">
        <v>342</v>
      </c>
      <c r="W30" s="48" t="s">
        <v>342</v>
      </c>
    </row>
    <row r="31" spans="1:23">
      <c r="A31" s="40" t="s">
        <v>504</v>
      </c>
      <c r="B31" s="40" t="s">
        <v>399</v>
      </c>
      <c r="C31" s="39" t="s">
        <v>625</v>
      </c>
      <c r="D31" s="47" t="s">
        <v>338</v>
      </c>
      <c r="E31" s="40" t="s">
        <v>509</v>
      </c>
      <c r="F31" s="39" t="s">
        <v>508</v>
      </c>
      <c r="G31" s="42">
        <v>0.51</v>
      </c>
      <c r="H31" s="42">
        <v>0.73</v>
      </c>
      <c r="I31" s="41">
        <v>72729350</v>
      </c>
      <c r="J31" s="41">
        <v>985</v>
      </c>
      <c r="K31" s="58">
        <v>73836.899999999994</v>
      </c>
      <c r="L31" s="70">
        <v>76100</v>
      </c>
      <c r="M31" s="69" t="s">
        <v>362</v>
      </c>
      <c r="N31" s="68" t="s">
        <v>355</v>
      </c>
      <c r="O31" s="67">
        <v>-0.13</v>
      </c>
      <c r="P31" s="41">
        <v>2229150</v>
      </c>
      <c r="Q31" s="42">
        <v>3.06</v>
      </c>
      <c r="R31" s="41">
        <v>-98500</v>
      </c>
      <c r="S31" s="41">
        <v>72650</v>
      </c>
      <c r="T31" s="40" t="s">
        <v>269</v>
      </c>
      <c r="U31" s="39" t="s">
        <v>343</v>
      </c>
      <c r="V31" s="38" t="s">
        <v>342</v>
      </c>
      <c r="W31" s="38" t="s">
        <v>342</v>
      </c>
    </row>
    <row r="32" spans="1:23">
      <c r="A32" s="50" t="s">
        <v>501</v>
      </c>
      <c r="B32" s="50" t="s">
        <v>399</v>
      </c>
      <c r="C32" s="49" t="s">
        <v>625</v>
      </c>
      <c r="D32" s="57" t="s">
        <v>338</v>
      </c>
      <c r="E32" s="50" t="s">
        <v>506</v>
      </c>
      <c r="F32" s="49" t="s">
        <v>505</v>
      </c>
      <c r="G32" s="52">
        <v>0</v>
      </c>
      <c r="H32" s="52">
        <v>0</v>
      </c>
      <c r="I32" s="51">
        <v>20026489</v>
      </c>
      <c r="J32" s="51">
        <v>0</v>
      </c>
      <c r="K32" s="51">
        <v>0</v>
      </c>
      <c r="L32" s="62">
        <v>33150</v>
      </c>
      <c r="M32" s="61" t="s">
        <v>362</v>
      </c>
      <c r="N32" s="60" t="s">
        <v>423</v>
      </c>
      <c r="O32" s="59">
        <v>-1.78</v>
      </c>
      <c r="P32" s="51">
        <v>-20026489</v>
      </c>
      <c r="Q32" s="52">
        <v>-12.87</v>
      </c>
      <c r="R32" s="51">
        <v>-4020800</v>
      </c>
      <c r="S32" s="51">
        <v>447122</v>
      </c>
      <c r="T32" s="50" t="s">
        <v>269</v>
      </c>
      <c r="U32" s="49" t="s">
        <v>343</v>
      </c>
      <c r="V32" s="48" t="s">
        <v>342</v>
      </c>
      <c r="W32" s="48" t="s">
        <v>342</v>
      </c>
    </row>
    <row r="33" spans="1:23">
      <c r="A33" s="40" t="s">
        <v>500</v>
      </c>
      <c r="B33" s="40" t="s">
        <v>399</v>
      </c>
      <c r="C33" s="39" t="s">
        <v>625</v>
      </c>
      <c r="D33" s="47" t="s">
        <v>338</v>
      </c>
      <c r="E33" s="40" t="s">
        <v>503</v>
      </c>
      <c r="F33" s="39" t="s">
        <v>502</v>
      </c>
      <c r="G33" s="42">
        <v>0.51</v>
      </c>
      <c r="H33" s="42">
        <v>0.73</v>
      </c>
      <c r="I33" s="41">
        <v>73773700</v>
      </c>
      <c r="J33" s="41">
        <v>412</v>
      </c>
      <c r="K33" s="46">
        <v>179062.38</v>
      </c>
      <c r="L33" s="70">
        <v>180000</v>
      </c>
      <c r="M33" s="69" t="s">
        <v>362</v>
      </c>
      <c r="N33" s="68" t="s">
        <v>451</v>
      </c>
      <c r="O33" s="67">
        <v>-2.17</v>
      </c>
      <c r="P33" s="41">
        <v>386300</v>
      </c>
      <c r="Q33" s="42">
        <v>0.52</v>
      </c>
      <c r="R33" s="41">
        <v>-1648000</v>
      </c>
      <c r="S33" s="41">
        <v>1189542</v>
      </c>
      <c r="T33" s="40" t="s">
        <v>269</v>
      </c>
      <c r="U33" s="39" t="s">
        <v>343</v>
      </c>
      <c r="V33" s="38" t="s">
        <v>342</v>
      </c>
      <c r="W33" s="38" t="s">
        <v>342</v>
      </c>
    </row>
    <row r="34" spans="1:23">
      <c r="A34" s="50" t="s">
        <v>499</v>
      </c>
      <c r="B34" s="50" t="s">
        <v>399</v>
      </c>
      <c r="C34" s="49" t="s">
        <v>625</v>
      </c>
      <c r="D34" s="57" t="s">
        <v>338</v>
      </c>
      <c r="E34" s="50" t="s">
        <v>76</v>
      </c>
      <c r="F34" s="49" t="s">
        <v>77</v>
      </c>
      <c r="G34" s="52">
        <v>1.64</v>
      </c>
      <c r="H34" s="52">
        <v>2.33</v>
      </c>
      <c r="I34" s="51">
        <v>225617060</v>
      </c>
      <c r="J34" s="51">
        <v>8317</v>
      </c>
      <c r="K34" s="56">
        <v>27127.22</v>
      </c>
      <c r="L34" s="62">
        <v>28500</v>
      </c>
      <c r="M34" s="61" t="s">
        <v>362</v>
      </c>
      <c r="N34" s="60" t="s">
        <v>428</v>
      </c>
      <c r="O34" s="59">
        <v>-1.72</v>
      </c>
      <c r="P34" s="51">
        <v>11417440</v>
      </c>
      <c r="Q34" s="52">
        <v>5.0599999999999996</v>
      </c>
      <c r="R34" s="51">
        <v>-4158500</v>
      </c>
      <c r="S34" s="51">
        <v>2550310</v>
      </c>
      <c r="T34" s="50" t="s">
        <v>269</v>
      </c>
      <c r="U34" s="49" t="s">
        <v>343</v>
      </c>
      <c r="V34" s="48" t="s">
        <v>342</v>
      </c>
      <c r="W34" s="48" t="s">
        <v>342</v>
      </c>
    </row>
    <row r="35" spans="1:23">
      <c r="A35" s="40" t="s">
        <v>495</v>
      </c>
      <c r="B35" s="40" t="s">
        <v>399</v>
      </c>
      <c r="C35" s="39" t="s">
        <v>625</v>
      </c>
      <c r="D35" s="47" t="s">
        <v>338</v>
      </c>
      <c r="E35" s="40" t="s">
        <v>78</v>
      </c>
      <c r="F35" s="39" t="s">
        <v>79</v>
      </c>
      <c r="G35" s="42">
        <v>0.49</v>
      </c>
      <c r="H35" s="42">
        <v>0.7</v>
      </c>
      <c r="I35" s="41">
        <v>73235340</v>
      </c>
      <c r="J35" s="41">
        <v>7750</v>
      </c>
      <c r="K35" s="46">
        <v>9449.7199999999993</v>
      </c>
      <c r="L35" s="41">
        <v>9260</v>
      </c>
      <c r="M35" s="45" t="s">
        <v>269</v>
      </c>
      <c r="N35" s="44" t="s">
        <v>342</v>
      </c>
      <c r="O35" s="43">
        <v>0</v>
      </c>
      <c r="P35" s="41">
        <v>-1470340</v>
      </c>
      <c r="Q35" s="42">
        <v>-2.0099999999999998</v>
      </c>
      <c r="R35" s="41">
        <v>0</v>
      </c>
      <c r="S35" s="41">
        <v>796248</v>
      </c>
      <c r="T35" s="40" t="s">
        <v>269</v>
      </c>
      <c r="U35" s="39" t="s">
        <v>343</v>
      </c>
      <c r="V35" s="38" t="s">
        <v>342</v>
      </c>
      <c r="W35" s="38" t="s">
        <v>342</v>
      </c>
    </row>
    <row r="36" spans="1:23">
      <c r="A36" s="50" t="s">
        <v>492</v>
      </c>
      <c r="B36" s="50" t="s">
        <v>399</v>
      </c>
      <c r="C36" s="49" t="s">
        <v>625</v>
      </c>
      <c r="D36" s="57" t="s">
        <v>338</v>
      </c>
      <c r="E36" s="50" t="s">
        <v>498</v>
      </c>
      <c r="F36" s="49" t="s">
        <v>497</v>
      </c>
      <c r="G36" s="52">
        <v>0</v>
      </c>
      <c r="H36" s="52">
        <v>0</v>
      </c>
      <c r="I36" s="51">
        <v>8342040</v>
      </c>
      <c r="J36" s="51">
        <v>0</v>
      </c>
      <c r="K36" s="51">
        <v>0</v>
      </c>
      <c r="L36" s="62">
        <v>19850</v>
      </c>
      <c r="M36" s="61" t="s">
        <v>362</v>
      </c>
      <c r="N36" s="60" t="s">
        <v>496</v>
      </c>
      <c r="O36" s="59">
        <v>-4.57</v>
      </c>
      <c r="P36" s="51">
        <v>-8342040</v>
      </c>
      <c r="Q36" s="52">
        <v>-5.71</v>
      </c>
      <c r="R36" s="51">
        <v>-4842100</v>
      </c>
      <c r="S36" s="51">
        <v>102140</v>
      </c>
      <c r="T36" s="50" t="s">
        <v>269</v>
      </c>
      <c r="U36" s="49" t="s">
        <v>343</v>
      </c>
      <c r="V36" s="48" t="s">
        <v>342</v>
      </c>
      <c r="W36" s="48" t="s">
        <v>342</v>
      </c>
    </row>
    <row r="37" spans="1:23">
      <c r="A37" s="40" t="s">
        <v>491</v>
      </c>
      <c r="B37" s="40" t="s">
        <v>399</v>
      </c>
      <c r="C37" s="39" t="s">
        <v>625</v>
      </c>
      <c r="D37" s="47" t="s">
        <v>338</v>
      </c>
      <c r="E37" s="40" t="s">
        <v>494</v>
      </c>
      <c r="F37" s="39" t="s">
        <v>493</v>
      </c>
      <c r="G37" s="42">
        <v>2.46</v>
      </c>
      <c r="H37" s="42">
        <v>3.5</v>
      </c>
      <c r="I37" s="41">
        <v>367740623</v>
      </c>
      <c r="J37" s="41">
        <v>2483</v>
      </c>
      <c r="K37" s="46">
        <v>148103.35</v>
      </c>
      <c r="L37" s="66">
        <v>143500</v>
      </c>
      <c r="M37" s="65" t="s">
        <v>367</v>
      </c>
      <c r="N37" s="64" t="s">
        <v>384</v>
      </c>
      <c r="O37" s="63">
        <v>0.7</v>
      </c>
      <c r="P37" s="41">
        <v>-11430123</v>
      </c>
      <c r="Q37" s="42">
        <v>-3.11</v>
      </c>
      <c r="R37" s="41">
        <v>2483000</v>
      </c>
      <c r="S37" s="41">
        <v>1519002</v>
      </c>
      <c r="T37" s="40" t="s">
        <v>269</v>
      </c>
      <c r="U37" s="39" t="s">
        <v>343</v>
      </c>
      <c r="V37" s="38" t="s">
        <v>342</v>
      </c>
      <c r="W37" s="38" t="s">
        <v>342</v>
      </c>
    </row>
    <row r="38" spans="1:23">
      <c r="A38" s="50" t="s">
        <v>490</v>
      </c>
      <c r="B38" s="50" t="s">
        <v>399</v>
      </c>
      <c r="C38" s="49" t="s">
        <v>625</v>
      </c>
      <c r="D38" s="57" t="s">
        <v>338</v>
      </c>
      <c r="E38" s="50" t="s">
        <v>265</v>
      </c>
      <c r="F38" s="49" t="s">
        <v>266</v>
      </c>
      <c r="G38" s="52">
        <v>2.59</v>
      </c>
      <c r="H38" s="52">
        <v>3.69</v>
      </c>
      <c r="I38" s="51">
        <v>354529930</v>
      </c>
      <c r="J38" s="51">
        <v>90058</v>
      </c>
      <c r="K38" s="56">
        <v>3936.68</v>
      </c>
      <c r="L38" s="62">
        <v>4165</v>
      </c>
      <c r="M38" s="61" t="s">
        <v>362</v>
      </c>
      <c r="N38" s="60" t="s">
        <v>414</v>
      </c>
      <c r="O38" s="59">
        <v>-4.58</v>
      </c>
      <c r="P38" s="51">
        <v>20561640</v>
      </c>
      <c r="Q38" s="52">
        <v>5.8</v>
      </c>
      <c r="R38" s="51">
        <v>-18011600</v>
      </c>
      <c r="S38" s="51">
        <v>314860</v>
      </c>
      <c r="T38" s="50" t="s">
        <v>269</v>
      </c>
      <c r="U38" s="49" t="s">
        <v>343</v>
      </c>
      <c r="V38" s="48" t="s">
        <v>342</v>
      </c>
      <c r="W38" s="48" t="s">
        <v>342</v>
      </c>
    </row>
    <row r="39" spans="1:23">
      <c r="A39" s="40" t="s">
        <v>489</v>
      </c>
      <c r="B39" s="40" t="s">
        <v>399</v>
      </c>
      <c r="C39" s="39" t="s">
        <v>625</v>
      </c>
      <c r="D39" s="47" t="s">
        <v>338</v>
      </c>
      <c r="E39" s="40" t="s">
        <v>88</v>
      </c>
      <c r="F39" s="39" t="s">
        <v>89</v>
      </c>
      <c r="G39" s="42">
        <v>1.28</v>
      </c>
      <c r="H39" s="42">
        <v>1.83</v>
      </c>
      <c r="I39" s="41">
        <v>170527169</v>
      </c>
      <c r="J39" s="41">
        <v>5723</v>
      </c>
      <c r="K39" s="46">
        <v>29796.81</v>
      </c>
      <c r="L39" s="66">
        <v>32500</v>
      </c>
      <c r="M39" s="65" t="s">
        <v>367</v>
      </c>
      <c r="N39" s="64" t="s">
        <v>355</v>
      </c>
      <c r="O39" s="63">
        <v>0.31</v>
      </c>
      <c r="P39" s="41">
        <v>15470331</v>
      </c>
      <c r="Q39" s="42">
        <v>9.07</v>
      </c>
      <c r="R39" s="41">
        <v>572300</v>
      </c>
      <c r="S39" s="41">
        <v>1823872</v>
      </c>
      <c r="T39" s="40" t="s">
        <v>269</v>
      </c>
      <c r="U39" s="39" t="s">
        <v>343</v>
      </c>
      <c r="V39" s="38" t="s">
        <v>342</v>
      </c>
      <c r="W39" s="38" t="s">
        <v>342</v>
      </c>
    </row>
    <row r="40" spans="1:23">
      <c r="A40" s="50" t="s">
        <v>485</v>
      </c>
      <c r="B40" s="50" t="s">
        <v>399</v>
      </c>
      <c r="C40" s="49" t="s">
        <v>625</v>
      </c>
      <c r="D40" s="57" t="s">
        <v>338</v>
      </c>
      <c r="E40" s="50" t="s">
        <v>252</v>
      </c>
      <c r="F40" s="49" t="s">
        <v>253</v>
      </c>
      <c r="G40" s="52">
        <v>3.71</v>
      </c>
      <c r="H40" s="52">
        <v>5.28</v>
      </c>
      <c r="I40" s="51">
        <v>492497315</v>
      </c>
      <c r="J40" s="51">
        <v>14363</v>
      </c>
      <c r="K40" s="56">
        <v>34289.31</v>
      </c>
      <c r="L40" s="62">
        <v>37350</v>
      </c>
      <c r="M40" s="61" t="s">
        <v>362</v>
      </c>
      <c r="N40" s="60" t="s">
        <v>419</v>
      </c>
      <c r="O40" s="59">
        <v>-1.97</v>
      </c>
      <c r="P40" s="51">
        <v>43960735</v>
      </c>
      <c r="Q40" s="52">
        <v>8.93</v>
      </c>
      <c r="R40" s="51">
        <v>-10772250</v>
      </c>
      <c r="S40" s="51">
        <v>885138</v>
      </c>
      <c r="T40" s="50" t="s">
        <v>269</v>
      </c>
      <c r="U40" s="49" t="s">
        <v>343</v>
      </c>
      <c r="V40" s="48" t="s">
        <v>342</v>
      </c>
      <c r="W40" s="48" t="s">
        <v>342</v>
      </c>
    </row>
    <row r="41" spans="1:23">
      <c r="A41" s="40" t="s">
        <v>484</v>
      </c>
      <c r="B41" s="40" t="s">
        <v>399</v>
      </c>
      <c r="C41" s="39" t="s">
        <v>625</v>
      </c>
      <c r="D41" s="47" t="s">
        <v>338</v>
      </c>
      <c r="E41" s="40" t="s">
        <v>488</v>
      </c>
      <c r="F41" s="39" t="s">
        <v>487</v>
      </c>
      <c r="G41" s="42">
        <v>1.37</v>
      </c>
      <c r="H41" s="42">
        <v>1.95</v>
      </c>
      <c r="I41" s="41">
        <v>196435935</v>
      </c>
      <c r="J41" s="41">
        <v>7351</v>
      </c>
      <c r="K41" s="46">
        <v>26722.34</v>
      </c>
      <c r="L41" s="66">
        <v>27000</v>
      </c>
      <c r="M41" s="65" t="s">
        <v>367</v>
      </c>
      <c r="N41" s="64" t="s">
        <v>486</v>
      </c>
      <c r="O41" s="63">
        <v>2.08</v>
      </c>
      <c r="P41" s="41">
        <v>2041065</v>
      </c>
      <c r="Q41" s="42">
        <v>1.04</v>
      </c>
      <c r="R41" s="41">
        <v>4043050</v>
      </c>
      <c r="S41" s="41">
        <v>1705912</v>
      </c>
      <c r="T41" s="40" t="s">
        <v>269</v>
      </c>
      <c r="U41" s="39" t="s">
        <v>343</v>
      </c>
      <c r="V41" s="38" t="s">
        <v>342</v>
      </c>
      <c r="W41" s="38" t="s">
        <v>342</v>
      </c>
    </row>
    <row r="42" spans="1:23">
      <c r="A42" s="50" t="s">
        <v>482</v>
      </c>
      <c r="B42" s="50" t="s">
        <v>399</v>
      </c>
      <c r="C42" s="49" t="s">
        <v>625</v>
      </c>
      <c r="D42" s="57" t="s">
        <v>338</v>
      </c>
      <c r="E42" s="50" t="s">
        <v>276</v>
      </c>
      <c r="F42" s="49" t="s">
        <v>277</v>
      </c>
      <c r="G42" s="52">
        <v>0</v>
      </c>
      <c r="H42" s="52">
        <v>0</v>
      </c>
      <c r="I42" s="51">
        <v>1492495</v>
      </c>
      <c r="J42" s="51">
        <v>0</v>
      </c>
      <c r="K42" s="51">
        <v>0</v>
      </c>
      <c r="L42" s="62">
        <v>16000</v>
      </c>
      <c r="M42" s="61" t="s">
        <v>362</v>
      </c>
      <c r="N42" s="60" t="s">
        <v>371</v>
      </c>
      <c r="O42" s="59">
        <v>-1.84</v>
      </c>
      <c r="P42" s="51">
        <v>-1492495</v>
      </c>
      <c r="Q42" s="52">
        <v>-6.36</v>
      </c>
      <c r="R42" s="51">
        <v>-342500</v>
      </c>
      <c r="S42" s="51">
        <v>464988</v>
      </c>
      <c r="T42" s="50" t="s">
        <v>269</v>
      </c>
      <c r="U42" s="49" t="s">
        <v>343</v>
      </c>
      <c r="V42" s="48" t="s">
        <v>342</v>
      </c>
      <c r="W42" s="48" t="s">
        <v>342</v>
      </c>
    </row>
    <row r="43" spans="1:23">
      <c r="A43" s="40" t="s">
        <v>480</v>
      </c>
      <c r="B43" s="40" t="s">
        <v>399</v>
      </c>
      <c r="C43" s="39" t="s">
        <v>625</v>
      </c>
      <c r="D43" s="47" t="s">
        <v>338</v>
      </c>
      <c r="E43" s="40" t="s">
        <v>334</v>
      </c>
      <c r="F43" s="39" t="s">
        <v>335</v>
      </c>
      <c r="G43" s="42">
        <v>0.5</v>
      </c>
      <c r="H43" s="42">
        <v>0.72</v>
      </c>
      <c r="I43" s="41">
        <v>74328240</v>
      </c>
      <c r="J43" s="41">
        <v>1125</v>
      </c>
      <c r="K43" s="46">
        <v>66069.55</v>
      </c>
      <c r="L43" s="70">
        <v>65400</v>
      </c>
      <c r="M43" s="69" t="s">
        <v>362</v>
      </c>
      <c r="N43" s="68" t="s">
        <v>423</v>
      </c>
      <c r="O43" s="67">
        <v>-0.91</v>
      </c>
      <c r="P43" s="41">
        <v>-753240</v>
      </c>
      <c r="Q43" s="42">
        <v>-1.01</v>
      </c>
      <c r="R43" s="41">
        <v>-675000</v>
      </c>
      <c r="S43" s="41">
        <v>37140</v>
      </c>
      <c r="T43" s="40" t="s">
        <v>269</v>
      </c>
      <c r="U43" s="39" t="s">
        <v>343</v>
      </c>
      <c r="V43" s="38" t="s">
        <v>342</v>
      </c>
      <c r="W43" s="38" t="s">
        <v>342</v>
      </c>
    </row>
    <row r="44" spans="1:23">
      <c r="A44" s="50" t="s">
        <v>478</v>
      </c>
      <c r="B44" s="50" t="s">
        <v>399</v>
      </c>
      <c r="C44" s="49" t="s">
        <v>625</v>
      </c>
      <c r="D44" s="57" t="s">
        <v>338</v>
      </c>
      <c r="E44" s="50" t="s">
        <v>100</v>
      </c>
      <c r="F44" s="49" t="s">
        <v>101</v>
      </c>
      <c r="G44" s="52">
        <v>1.1499999999999999</v>
      </c>
      <c r="H44" s="52">
        <v>1.64</v>
      </c>
      <c r="I44" s="51">
        <v>149582450</v>
      </c>
      <c r="J44" s="51">
        <v>398</v>
      </c>
      <c r="K44" s="78">
        <v>375835.3</v>
      </c>
      <c r="L44" s="62">
        <v>420300</v>
      </c>
      <c r="M44" s="61" t="s">
        <v>362</v>
      </c>
      <c r="N44" s="60" t="s">
        <v>483</v>
      </c>
      <c r="O44" s="59">
        <v>-2.2999999999999998</v>
      </c>
      <c r="P44" s="51">
        <v>17696950</v>
      </c>
      <c r="Q44" s="52">
        <v>11.83</v>
      </c>
      <c r="R44" s="51">
        <v>-3940200</v>
      </c>
      <c r="S44" s="51">
        <v>2770250</v>
      </c>
      <c r="T44" s="50" t="s">
        <v>269</v>
      </c>
      <c r="U44" s="49" t="s">
        <v>343</v>
      </c>
      <c r="V44" s="48" t="s">
        <v>342</v>
      </c>
      <c r="W44" s="48" t="s">
        <v>342</v>
      </c>
    </row>
    <row r="45" spans="1:23">
      <c r="A45" s="40" t="s">
        <v>361</v>
      </c>
      <c r="B45" s="40" t="s">
        <v>399</v>
      </c>
      <c r="C45" s="39" t="s">
        <v>625</v>
      </c>
      <c r="D45" s="47" t="s">
        <v>338</v>
      </c>
      <c r="E45" s="40" t="s">
        <v>290</v>
      </c>
      <c r="F45" s="39" t="s">
        <v>291</v>
      </c>
      <c r="G45" s="42">
        <v>0.55000000000000004</v>
      </c>
      <c r="H45" s="42">
        <v>0.79</v>
      </c>
      <c r="I45" s="41">
        <v>72935720</v>
      </c>
      <c r="J45" s="41">
        <v>1136</v>
      </c>
      <c r="K45" s="46">
        <v>64203.98</v>
      </c>
      <c r="L45" s="70">
        <v>71100</v>
      </c>
      <c r="M45" s="69" t="s">
        <v>362</v>
      </c>
      <c r="N45" s="68" t="s">
        <v>481</v>
      </c>
      <c r="O45" s="67">
        <v>-2.6</v>
      </c>
      <c r="P45" s="41">
        <v>7833880</v>
      </c>
      <c r="Q45" s="42">
        <v>10.74</v>
      </c>
      <c r="R45" s="41">
        <v>-2158400</v>
      </c>
      <c r="S45" s="41">
        <v>445423</v>
      </c>
      <c r="T45" s="40" t="s">
        <v>269</v>
      </c>
      <c r="U45" s="39" t="s">
        <v>343</v>
      </c>
      <c r="V45" s="38" t="s">
        <v>342</v>
      </c>
      <c r="W45" s="38" t="s">
        <v>342</v>
      </c>
    </row>
    <row r="46" spans="1:23">
      <c r="A46" s="50" t="s">
        <v>473</v>
      </c>
      <c r="B46" s="50" t="s">
        <v>399</v>
      </c>
      <c r="C46" s="49" t="s">
        <v>625</v>
      </c>
      <c r="D46" s="57" t="s">
        <v>338</v>
      </c>
      <c r="E46" s="50" t="s">
        <v>336</v>
      </c>
      <c r="F46" s="49" t="s">
        <v>337</v>
      </c>
      <c r="G46" s="52">
        <v>0.77</v>
      </c>
      <c r="H46" s="52">
        <v>1.1000000000000001</v>
      </c>
      <c r="I46" s="51">
        <v>118575240</v>
      </c>
      <c r="J46" s="51">
        <v>4579</v>
      </c>
      <c r="K46" s="56">
        <v>25895.439999999999</v>
      </c>
      <c r="L46" s="62">
        <v>24550</v>
      </c>
      <c r="M46" s="61" t="s">
        <v>362</v>
      </c>
      <c r="N46" s="60" t="s">
        <v>479</v>
      </c>
      <c r="O46" s="59">
        <v>-1.8</v>
      </c>
      <c r="P46" s="51">
        <v>-6160790</v>
      </c>
      <c r="Q46" s="52">
        <v>-4.18</v>
      </c>
      <c r="R46" s="51">
        <v>-2353300</v>
      </c>
      <c r="S46" s="51">
        <v>116490</v>
      </c>
      <c r="T46" s="50" t="s">
        <v>269</v>
      </c>
      <c r="U46" s="49" t="s">
        <v>343</v>
      </c>
      <c r="V46" s="48" t="s">
        <v>342</v>
      </c>
      <c r="W46" s="48" t="s">
        <v>342</v>
      </c>
    </row>
    <row r="47" spans="1:23">
      <c r="A47" s="40" t="s">
        <v>471</v>
      </c>
      <c r="B47" s="40" t="s">
        <v>399</v>
      </c>
      <c r="C47" s="39" t="s">
        <v>668</v>
      </c>
      <c r="D47" s="72" t="s">
        <v>339</v>
      </c>
      <c r="E47" s="40" t="s">
        <v>477</v>
      </c>
      <c r="F47" s="39" t="s">
        <v>476</v>
      </c>
      <c r="G47" s="42">
        <v>0.54</v>
      </c>
      <c r="H47" s="42">
        <v>1.03</v>
      </c>
      <c r="I47" s="41">
        <v>-74125914</v>
      </c>
      <c r="J47" s="41">
        <v>-670</v>
      </c>
      <c r="K47" s="46">
        <v>110635.69</v>
      </c>
      <c r="L47" s="70">
        <v>118000</v>
      </c>
      <c r="M47" s="69" t="s">
        <v>362</v>
      </c>
      <c r="N47" s="68" t="s">
        <v>382</v>
      </c>
      <c r="O47" s="67">
        <v>-1.26</v>
      </c>
      <c r="P47" s="41">
        <v>-4934086</v>
      </c>
      <c r="Q47" s="42">
        <v>-6.66</v>
      </c>
      <c r="R47" s="41">
        <v>1005000</v>
      </c>
      <c r="S47" s="41">
        <v>1991346</v>
      </c>
      <c r="T47" s="40" t="s">
        <v>269</v>
      </c>
      <c r="U47" s="39" t="s">
        <v>343</v>
      </c>
      <c r="V47" s="38" t="s">
        <v>342</v>
      </c>
      <c r="W47" s="38" t="s">
        <v>342</v>
      </c>
    </row>
    <row r="48" spans="1:23">
      <c r="A48" s="50" t="s">
        <v>469</v>
      </c>
      <c r="B48" s="50" t="s">
        <v>399</v>
      </c>
      <c r="C48" s="49" t="s">
        <v>668</v>
      </c>
      <c r="D48" s="77" t="s">
        <v>339</v>
      </c>
      <c r="E48" s="50" t="s">
        <v>475</v>
      </c>
      <c r="F48" s="49" t="s">
        <v>474</v>
      </c>
      <c r="G48" s="52">
        <v>1.03</v>
      </c>
      <c r="H48" s="52">
        <v>1.97</v>
      </c>
      <c r="I48" s="51">
        <v>-155769691</v>
      </c>
      <c r="J48" s="51">
        <v>-786</v>
      </c>
      <c r="K48" s="56">
        <v>198180.27</v>
      </c>
      <c r="L48" s="62">
        <v>191000</v>
      </c>
      <c r="M48" s="61" t="s">
        <v>362</v>
      </c>
      <c r="N48" s="60" t="s">
        <v>382</v>
      </c>
      <c r="O48" s="59">
        <v>-0.78</v>
      </c>
      <c r="P48" s="51">
        <v>5643691</v>
      </c>
      <c r="Q48" s="52">
        <v>3.62</v>
      </c>
      <c r="R48" s="51">
        <v>1179000</v>
      </c>
      <c r="S48" s="51">
        <v>1358188</v>
      </c>
      <c r="T48" s="50" t="s">
        <v>269</v>
      </c>
      <c r="U48" s="49" t="s">
        <v>343</v>
      </c>
      <c r="V48" s="48" t="s">
        <v>342</v>
      </c>
      <c r="W48" s="48" t="s">
        <v>342</v>
      </c>
    </row>
    <row r="49" spans="1:23">
      <c r="A49" s="40" t="s">
        <v>466</v>
      </c>
      <c r="B49" s="40" t="s">
        <v>399</v>
      </c>
      <c r="C49" s="39" t="s">
        <v>668</v>
      </c>
      <c r="D49" s="72" t="s">
        <v>339</v>
      </c>
      <c r="E49" s="40" t="s">
        <v>293</v>
      </c>
      <c r="F49" s="39" t="s">
        <v>294</v>
      </c>
      <c r="G49" s="42">
        <v>2.0499999999999998</v>
      </c>
      <c r="H49" s="42">
        <v>3.89</v>
      </c>
      <c r="I49" s="41">
        <v>-263041946</v>
      </c>
      <c r="J49" s="41">
        <v>-4200</v>
      </c>
      <c r="K49" s="46">
        <v>62629.03</v>
      </c>
      <c r="L49" s="66">
        <v>70700</v>
      </c>
      <c r="M49" s="65" t="s">
        <v>367</v>
      </c>
      <c r="N49" s="64" t="s">
        <v>472</v>
      </c>
      <c r="O49" s="63">
        <v>2.61</v>
      </c>
      <c r="P49" s="41">
        <v>-33898054</v>
      </c>
      <c r="Q49" s="42">
        <v>-12.89</v>
      </c>
      <c r="R49" s="41">
        <v>-7560000</v>
      </c>
      <c r="S49" s="41">
        <v>1486864</v>
      </c>
      <c r="T49" s="40" t="s">
        <v>269</v>
      </c>
      <c r="U49" s="39" t="s">
        <v>343</v>
      </c>
      <c r="V49" s="38" t="s">
        <v>342</v>
      </c>
      <c r="W49" s="38" t="s">
        <v>342</v>
      </c>
    </row>
    <row r="50" spans="1:23">
      <c r="A50" s="50" t="s">
        <v>464</v>
      </c>
      <c r="B50" s="50" t="s">
        <v>399</v>
      </c>
      <c r="C50" s="49" t="s">
        <v>668</v>
      </c>
      <c r="D50" s="77" t="s">
        <v>339</v>
      </c>
      <c r="E50" s="50" t="s">
        <v>8</v>
      </c>
      <c r="F50" s="49" t="s">
        <v>9</v>
      </c>
      <c r="G50" s="52">
        <v>1.17</v>
      </c>
      <c r="H50" s="52">
        <v>2.2200000000000002</v>
      </c>
      <c r="I50" s="51">
        <v>-202718041</v>
      </c>
      <c r="J50" s="51">
        <v>-233</v>
      </c>
      <c r="K50" s="56">
        <v>870034.51</v>
      </c>
      <c r="L50" s="76">
        <v>729000</v>
      </c>
      <c r="M50" s="75" t="s">
        <v>367</v>
      </c>
      <c r="N50" s="74" t="s">
        <v>470</v>
      </c>
      <c r="O50" s="73">
        <v>2.39</v>
      </c>
      <c r="P50" s="51">
        <v>32861041</v>
      </c>
      <c r="Q50" s="52">
        <v>16.21</v>
      </c>
      <c r="R50" s="51">
        <v>-3961000</v>
      </c>
      <c r="S50" s="51">
        <v>1223102</v>
      </c>
      <c r="T50" s="50" t="s">
        <v>269</v>
      </c>
      <c r="U50" s="49" t="s">
        <v>343</v>
      </c>
      <c r="V50" s="48" t="s">
        <v>342</v>
      </c>
      <c r="W50" s="48" t="s">
        <v>342</v>
      </c>
    </row>
    <row r="51" spans="1:23">
      <c r="A51" s="40" t="s">
        <v>461</v>
      </c>
      <c r="B51" s="40" t="s">
        <v>399</v>
      </c>
      <c r="C51" s="39" t="s">
        <v>668</v>
      </c>
      <c r="D51" s="72" t="s">
        <v>339</v>
      </c>
      <c r="E51" s="40" t="s">
        <v>468</v>
      </c>
      <c r="F51" s="39" t="s">
        <v>467</v>
      </c>
      <c r="G51" s="42">
        <v>1.04</v>
      </c>
      <c r="H51" s="42">
        <v>1.98</v>
      </c>
      <c r="I51" s="41">
        <v>-176445566</v>
      </c>
      <c r="J51" s="41">
        <v>-5349</v>
      </c>
      <c r="K51" s="46">
        <v>32986.65</v>
      </c>
      <c r="L51" s="66">
        <v>28300</v>
      </c>
      <c r="M51" s="65" t="s">
        <v>367</v>
      </c>
      <c r="N51" s="64" t="s">
        <v>414</v>
      </c>
      <c r="O51" s="63">
        <v>0.71</v>
      </c>
      <c r="P51" s="41">
        <v>25068866</v>
      </c>
      <c r="Q51" s="42">
        <v>14.21</v>
      </c>
      <c r="R51" s="41">
        <v>-1069800</v>
      </c>
      <c r="S51" s="41">
        <v>1001268</v>
      </c>
      <c r="T51" s="40" t="s">
        <v>269</v>
      </c>
      <c r="U51" s="39" t="s">
        <v>343</v>
      </c>
      <c r="V51" s="38" t="s">
        <v>342</v>
      </c>
      <c r="W51" s="38" t="s">
        <v>342</v>
      </c>
    </row>
    <row r="52" spans="1:23">
      <c r="A52" s="50" t="s">
        <v>453</v>
      </c>
      <c r="B52" s="50" t="s">
        <v>399</v>
      </c>
      <c r="C52" s="49" t="s">
        <v>668</v>
      </c>
      <c r="D52" s="77" t="s">
        <v>339</v>
      </c>
      <c r="E52" s="50" t="s">
        <v>288</v>
      </c>
      <c r="F52" s="49" t="s">
        <v>289</v>
      </c>
      <c r="G52" s="52">
        <v>1.57</v>
      </c>
      <c r="H52" s="52">
        <v>2.99</v>
      </c>
      <c r="I52" s="51">
        <v>-220309810</v>
      </c>
      <c r="J52" s="51">
        <v>-1160</v>
      </c>
      <c r="K52" s="56">
        <v>189922.25</v>
      </c>
      <c r="L52" s="76">
        <v>196500</v>
      </c>
      <c r="M52" s="75" t="s">
        <v>367</v>
      </c>
      <c r="N52" s="74" t="s">
        <v>465</v>
      </c>
      <c r="O52" s="73">
        <v>8.86</v>
      </c>
      <c r="P52" s="51">
        <v>-7630190</v>
      </c>
      <c r="Q52" s="52">
        <v>-3.46</v>
      </c>
      <c r="R52" s="51">
        <v>-18560000</v>
      </c>
      <c r="S52" s="51">
        <v>1648284</v>
      </c>
      <c r="T52" s="50" t="s">
        <v>269</v>
      </c>
      <c r="U52" s="49" t="s">
        <v>343</v>
      </c>
      <c r="V52" s="48" t="s">
        <v>342</v>
      </c>
      <c r="W52" s="48" t="s">
        <v>342</v>
      </c>
    </row>
    <row r="53" spans="1:23">
      <c r="A53" s="40" t="s">
        <v>459</v>
      </c>
      <c r="B53" s="40" t="s">
        <v>399</v>
      </c>
      <c r="C53" s="39" t="s">
        <v>668</v>
      </c>
      <c r="D53" s="72" t="s">
        <v>339</v>
      </c>
      <c r="E53" s="40" t="s">
        <v>463</v>
      </c>
      <c r="F53" s="39" t="s">
        <v>462</v>
      </c>
      <c r="G53" s="42">
        <v>1.47</v>
      </c>
      <c r="H53" s="42">
        <v>2.79</v>
      </c>
      <c r="I53" s="41">
        <v>-214308950</v>
      </c>
      <c r="J53" s="41">
        <v>-700</v>
      </c>
      <c r="K53" s="46">
        <v>306155.64</v>
      </c>
      <c r="L53" s="41">
        <v>304000</v>
      </c>
      <c r="M53" s="45" t="s">
        <v>269</v>
      </c>
      <c r="N53" s="44" t="s">
        <v>342</v>
      </c>
      <c r="O53" s="43">
        <v>0</v>
      </c>
      <c r="P53" s="41">
        <v>1508950</v>
      </c>
      <c r="Q53" s="42">
        <v>0.7</v>
      </c>
      <c r="R53" s="41">
        <v>0</v>
      </c>
      <c r="S53" s="41">
        <v>2321342</v>
      </c>
      <c r="T53" s="40" t="s">
        <v>269</v>
      </c>
      <c r="U53" s="39" t="s">
        <v>343</v>
      </c>
      <c r="V53" s="38" t="s">
        <v>342</v>
      </c>
      <c r="W53" s="38" t="s">
        <v>342</v>
      </c>
    </row>
    <row r="54" spans="1:23">
      <c r="A54" s="50" t="s">
        <v>457</v>
      </c>
      <c r="B54" s="50" t="s">
        <v>399</v>
      </c>
      <c r="C54" s="49" t="s">
        <v>668</v>
      </c>
      <c r="D54" s="77" t="s">
        <v>339</v>
      </c>
      <c r="E54" s="50" t="s">
        <v>301</v>
      </c>
      <c r="F54" s="49" t="s">
        <v>302</v>
      </c>
      <c r="G54" s="52">
        <v>1.07</v>
      </c>
      <c r="H54" s="52">
        <v>2.0299999999999998</v>
      </c>
      <c r="I54" s="51">
        <v>-154349208</v>
      </c>
      <c r="J54" s="51">
        <v>-820</v>
      </c>
      <c r="K54" s="56">
        <v>188230.74</v>
      </c>
      <c r="L54" s="76">
        <v>189500</v>
      </c>
      <c r="M54" s="75" t="s">
        <v>367</v>
      </c>
      <c r="N54" s="74" t="s">
        <v>460</v>
      </c>
      <c r="O54" s="73">
        <v>1.61</v>
      </c>
      <c r="P54" s="51">
        <v>-1040792</v>
      </c>
      <c r="Q54" s="52">
        <v>-0.67</v>
      </c>
      <c r="R54" s="51">
        <v>-2460000</v>
      </c>
      <c r="S54" s="51">
        <v>1321940</v>
      </c>
      <c r="T54" s="50" t="s">
        <v>269</v>
      </c>
      <c r="U54" s="49" t="s">
        <v>343</v>
      </c>
      <c r="V54" s="48" t="s">
        <v>342</v>
      </c>
      <c r="W54" s="48" t="s">
        <v>342</v>
      </c>
    </row>
    <row r="55" spans="1:23">
      <c r="A55" s="40" t="s">
        <v>456</v>
      </c>
      <c r="B55" s="40" t="s">
        <v>399</v>
      </c>
      <c r="C55" s="39" t="s">
        <v>668</v>
      </c>
      <c r="D55" s="72" t="s">
        <v>339</v>
      </c>
      <c r="E55" s="40" t="s">
        <v>129</v>
      </c>
      <c r="F55" s="39" t="s">
        <v>130</v>
      </c>
      <c r="G55" s="42">
        <v>1.77</v>
      </c>
      <c r="H55" s="42">
        <v>3.35</v>
      </c>
      <c r="I55" s="41">
        <v>-265621196</v>
      </c>
      <c r="J55" s="41">
        <v>-3925</v>
      </c>
      <c r="K55" s="46">
        <v>67674.19</v>
      </c>
      <c r="L55" s="66">
        <v>65200</v>
      </c>
      <c r="M55" s="65" t="s">
        <v>367</v>
      </c>
      <c r="N55" s="64" t="s">
        <v>428</v>
      </c>
      <c r="O55" s="63">
        <v>0.77</v>
      </c>
      <c r="P55" s="41">
        <v>9711196</v>
      </c>
      <c r="Q55" s="42">
        <v>3.66</v>
      </c>
      <c r="R55" s="41">
        <v>-1962500</v>
      </c>
      <c r="S55" s="41">
        <v>1599824</v>
      </c>
      <c r="T55" s="40" t="s">
        <v>269</v>
      </c>
      <c r="U55" s="39" t="s">
        <v>343</v>
      </c>
      <c r="V55" s="38" t="s">
        <v>342</v>
      </c>
      <c r="W55" s="38" t="s">
        <v>342</v>
      </c>
    </row>
    <row r="56" spans="1:23">
      <c r="A56" s="50" t="s">
        <v>452</v>
      </c>
      <c r="B56" s="50" t="s">
        <v>399</v>
      </c>
      <c r="C56" s="49" t="s">
        <v>668</v>
      </c>
      <c r="D56" s="77" t="s">
        <v>339</v>
      </c>
      <c r="E56" s="50" t="s">
        <v>320</v>
      </c>
      <c r="F56" s="49" t="s">
        <v>321</v>
      </c>
      <c r="G56" s="52">
        <v>0.95</v>
      </c>
      <c r="H56" s="52">
        <v>1.8</v>
      </c>
      <c r="I56" s="51">
        <v>-135651452</v>
      </c>
      <c r="J56" s="51">
        <v>-1156</v>
      </c>
      <c r="K56" s="56">
        <v>117345.55</v>
      </c>
      <c r="L56" s="62">
        <v>119000</v>
      </c>
      <c r="M56" s="61" t="s">
        <v>362</v>
      </c>
      <c r="N56" s="60" t="s">
        <v>458</v>
      </c>
      <c r="O56" s="59">
        <v>-2.06</v>
      </c>
      <c r="P56" s="51">
        <v>-1912548</v>
      </c>
      <c r="Q56" s="52">
        <v>-1.41</v>
      </c>
      <c r="R56" s="51">
        <v>2890000</v>
      </c>
      <c r="S56" s="51">
        <v>5647472</v>
      </c>
      <c r="T56" s="50" t="s">
        <v>269</v>
      </c>
      <c r="U56" s="49" t="s">
        <v>343</v>
      </c>
      <c r="V56" s="48" t="s">
        <v>342</v>
      </c>
      <c r="W56" s="48" t="s">
        <v>342</v>
      </c>
    </row>
    <row r="57" spans="1:23">
      <c r="A57" s="40" t="s">
        <v>373</v>
      </c>
      <c r="B57" s="40" t="s">
        <v>399</v>
      </c>
      <c r="C57" s="39" t="s">
        <v>668</v>
      </c>
      <c r="D57" s="72" t="s">
        <v>339</v>
      </c>
      <c r="E57" s="40" t="s">
        <v>330</v>
      </c>
      <c r="F57" s="39" t="s">
        <v>331</v>
      </c>
      <c r="G57" s="42">
        <v>1.4</v>
      </c>
      <c r="H57" s="42">
        <v>2.66</v>
      </c>
      <c r="I57" s="41">
        <v>-209416614</v>
      </c>
      <c r="J57" s="41">
        <v>-970</v>
      </c>
      <c r="K57" s="46">
        <v>215893.42</v>
      </c>
      <c r="L57" s="66">
        <v>209000</v>
      </c>
      <c r="M57" s="65" t="s">
        <v>367</v>
      </c>
      <c r="N57" s="64" t="s">
        <v>389</v>
      </c>
      <c r="O57" s="63">
        <v>1.7</v>
      </c>
      <c r="P57" s="41">
        <v>6686614</v>
      </c>
      <c r="Q57" s="42">
        <v>3.19</v>
      </c>
      <c r="R57" s="41">
        <v>-3395000</v>
      </c>
      <c r="S57" s="41">
        <v>3152618</v>
      </c>
      <c r="T57" s="40" t="s">
        <v>269</v>
      </c>
      <c r="U57" s="39" t="s">
        <v>343</v>
      </c>
      <c r="V57" s="38" t="s">
        <v>342</v>
      </c>
      <c r="W57" s="38" t="s">
        <v>342</v>
      </c>
    </row>
    <row r="58" spans="1:23">
      <c r="A58" s="50" t="s">
        <v>449</v>
      </c>
      <c r="B58" s="50" t="s">
        <v>399</v>
      </c>
      <c r="C58" s="49" t="s">
        <v>668</v>
      </c>
      <c r="D58" s="77" t="s">
        <v>339</v>
      </c>
      <c r="E58" s="50" t="s">
        <v>455</v>
      </c>
      <c r="F58" s="49" t="s">
        <v>454</v>
      </c>
      <c r="G58" s="52">
        <v>0.91</v>
      </c>
      <c r="H58" s="52">
        <v>1.72</v>
      </c>
      <c r="I58" s="51">
        <v>-154723534</v>
      </c>
      <c r="J58" s="51">
        <v>-2700</v>
      </c>
      <c r="K58" s="56">
        <v>57305.01</v>
      </c>
      <c r="L58" s="76">
        <v>48750</v>
      </c>
      <c r="M58" s="75" t="s">
        <v>367</v>
      </c>
      <c r="N58" s="74" t="s">
        <v>453</v>
      </c>
      <c r="O58" s="73">
        <v>0.1</v>
      </c>
      <c r="P58" s="51">
        <v>23098534</v>
      </c>
      <c r="Q58" s="52">
        <v>14.93</v>
      </c>
      <c r="R58" s="51">
        <v>-135000</v>
      </c>
      <c r="S58" s="51">
        <v>621266</v>
      </c>
      <c r="T58" s="50" t="s">
        <v>269</v>
      </c>
      <c r="U58" s="49" t="s">
        <v>343</v>
      </c>
      <c r="V58" s="48" t="s">
        <v>342</v>
      </c>
      <c r="W58" s="48" t="s">
        <v>342</v>
      </c>
    </row>
    <row r="59" spans="1:23">
      <c r="A59" s="40" t="s">
        <v>447</v>
      </c>
      <c r="B59" s="40" t="s">
        <v>399</v>
      </c>
      <c r="C59" s="39" t="s">
        <v>668</v>
      </c>
      <c r="D59" s="72" t="s">
        <v>339</v>
      </c>
      <c r="E59" s="40" t="s">
        <v>238</v>
      </c>
      <c r="F59" s="39" t="s">
        <v>239</v>
      </c>
      <c r="G59" s="42">
        <v>2</v>
      </c>
      <c r="H59" s="42">
        <v>3.79</v>
      </c>
      <c r="I59" s="41">
        <v>-300796148</v>
      </c>
      <c r="J59" s="41">
        <v>-1916</v>
      </c>
      <c r="K59" s="46">
        <v>156991.73000000001</v>
      </c>
      <c r="L59" s="70">
        <v>151000</v>
      </c>
      <c r="M59" s="69" t="s">
        <v>362</v>
      </c>
      <c r="N59" s="68" t="s">
        <v>451</v>
      </c>
      <c r="O59" s="67">
        <v>-2.58</v>
      </c>
      <c r="P59" s="41">
        <v>11480148</v>
      </c>
      <c r="Q59" s="42">
        <v>3.82</v>
      </c>
      <c r="R59" s="41">
        <v>5344000</v>
      </c>
      <c r="S59" s="41">
        <v>2934716</v>
      </c>
      <c r="T59" s="40" t="s">
        <v>269</v>
      </c>
      <c r="U59" s="39" t="s">
        <v>343</v>
      </c>
      <c r="V59" s="38" t="s">
        <v>342</v>
      </c>
      <c r="W59" s="38" t="s">
        <v>342</v>
      </c>
    </row>
    <row r="60" spans="1:23">
      <c r="A60" s="50" t="s">
        <v>446</v>
      </c>
      <c r="B60" s="50" t="s">
        <v>399</v>
      </c>
      <c r="C60" s="49" t="s">
        <v>668</v>
      </c>
      <c r="D60" s="77" t="s">
        <v>339</v>
      </c>
      <c r="E60" s="50" t="s">
        <v>300</v>
      </c>
      <c r="F60" s="49" t="s">
        <v>292</v>
      </c>
      <c r="G60" s="52">
        <v>2.0099999999999998</v>
      </c>
      <c r="H60" s="52">
        <v>3.81</v>
      </c>
      <c r="I60" s="51">
        <v>-298336278</v>
      </c>
      <c r="J60" s="51">
        <v>-30310</v>
      </c>
      <c r="K60" s="56">
        <v>9842.83</v>
      </c>
      <c r="L60" s="62">
        <v>9600</v>
      </c>
      <c r="M60" s="61" t="s">
        <v>362</v>
      </c>
      <c r="N60" s="60" t="s">
        <v>450</v>
      </c>
      <c r="O60" s="59">
        <v>-3.52</v>
      </c>
      <c r="P60" s="51">
        <v>7360278</v>
      </c>
      <c r="Q60" s="52">
        <v>2.4700000000000002</v>
      </c>
      <c r="R60" s="51">
        <v>10608500</v>
      </c>
      <c r="S60" s="51">
        <v>3481104</v>
      </c>
      <c r="T60" s="50" t="s">
        <v>269</v>
      </c>
      <c r="U60" s="49" t="s">
        <v>343</v>
      </c>
      <c r="V60" s="48" t="s">
        <v>342</v>
      </c>
      <c r="W60" s="48" t="s">
        <v>342</v>
      </c>
    </row>
    <row r="61" spans="1:23">
      <c r="A61" s="40" t="s">
        <v>442</v>
      </c>
      <c r="B61" s="40" t="s">
        <v>399</v>
      </c>
      <c r="C61" s="39" t="s">
        <v>668</v>
      </c>
      <c r="D61" s="72" t="s">
        <v>339</v>
      </c>
      <c r="E61" s="40" t="s">
        <v>326</v>
      </c>
      <c r="F61" s="39" t="s">
        <v>327</v>
      </c>
      <c r="G61" s="42">
        <v>1.5</v>
      </c>
      <c r="H61" s="42">
        <v>2.85</v>
      </c>
      <c r="I61" s="41">
        <v>-218295770</v>
      </c>
      <c r="J61" s="41">
        <v>-2560</v>
      </c>
      <c r="K61" s="46">
        <v>85271.79</v>
      </c>
      <c r="L61" s="70">
        <v>85000</v>
      </c>
      <c r="M61" s="69" t="s">
        <v>362</v>
      </c>
      <c r="N61" s="68" t="s">
        <v>448</v>
      </c>
      <c r="O61" s="67">
        <v>-1.28</v>
      </c>
      <c r="P61" s="41">
        <v>695770</v>
      </c>
      <c r="Q61" s="42">
        <v>0.32</v>
      </c>
      <c r="R61" s="41">
        <v>2816000</v>
      </c>
      <c r="S61" s="41">
        <v>3940950</v>
      </c>
      <c r="T61" s="40" t="s">
        <v>269</v>
      </c>
      <c r="U61" s="39" t="s">
        <v>343</v>
      </c>
      <c r="V61" s="38" t="s">
        <v>342</v>
      </c>
      <c r="W61" s="38" t="s">
        <v>342</v>
      </c>
    </row>
    <row r="62" spans="1:23">
      <c r="A62" s="50" t="s">
        <v>440</v>
      </c>
      <c r="B62" s="50" t="s">
        <v>399</v>
      </c>
      <c r="C62" s="49" t="s">
        <v>668</v>
      </c>
      <c r="D62" s="77" t="s">
        <v>339</v>
      </c>
      <c r="E62" s="50" t="s">
        <v>332</v>
      </c>
      <c r="F62" s="49" t="s">
        <v>333</v>
      </c>
      <c r="G62" s="52">
        <v>1.42</v>
      </c>
      <c r="H62" s="52">
        <v>2.7</v>
      </c>
      <c r="I62" s="51">
        <v>-209555960</v>
      </c>
      <c r="J62" s="51">
        <v>-730</v>
      </c>
      <c r="K62" s="56">
        <v>287062.96000000002</v>
      </c>
      <c r="L62" s="76">
        <v>282500</v>
      </c>
      <c r="M62" s="75" t="s">
        <v>367</v>
      </c>
      <c r="N62" s="74" t="s">
        <v>382</v>
      </c>
      <c r="O62" s="73">
        <v>0.53</v>
      </c>
      <c r="P62" s="51">
        <v>3330960</v>
      </c>
      <c r="Q62" s="52">
        <v>1.59</v>
      </c>
      <c r="R62" s="51">
        <v>-1095000</v>
      </c>
      <c r="S62" s="51">
        <v>2996716</v>
      </c>
      <c r="T62" s="50" t="s">
        <v>269</v>
      </c>
      <c r="U62" s="49" t="s">
        <v>343</v>
      </c>
      <c r="V62" s="48" t="s">
        <v>342</v>
      </c>
      <c r="W62" s="48" t="s">
        <v>342</v>
      </c>
    </row>
    <row r="63" spans="1:23">
      <c r="A63" s="40" t="s">
        <v>439</v>
      </c>
      <c r="B63" s="40" t="s">
        <v>399</v>
      </c>
      <c r="C63" s="39" t="s">
        <v>668</v>
      </c>
      <c r="D63" s="72" t="s">
        <v>339</v>
      </c>
      <c r="E63" s="40" t="s">
        <v>445</v>
      </c>
      <c r="F63" s="39" t="s">
        <v>444</v>
      </c>
      <c r="G63" s="42">
        <v>0.91</v>
      </c>
      <c r="H63" s="42">
        <v>1.72</v>
      </c>
      <c r="I63" s="41">
        <v>-146550440</v>
      </c>
      <c r="J63" s="41">
        <v>-4660</v>
      </c>
      <c r="K63" s="46">
        <v>31448.59</v>
      </c>
      <c r="L63" s="70">
        <v>28250</v>
      </c>
      <c r="M63" s="69" t="s">
        <v>362</v>
      </c>
      <c r="N63" s="68" t="s">
        <v>443</v>
      </c>
      <c r="O63" s="67">
        <v>-0.88</v>
      </c>
      <c r="P63" s="41">
        <v>14905440</v>
      </c>
      <c r="Q63" s="42">
        <v>10.17</v>
      </c>
      <c r="R63" s="41">
        <v>1165000</v>
      </c>
      <c r="S63" s="41">
        <v>1644756</v>
      </c>
      <c r="T63" s="40" t="s">
        <v>269</v>
      </c>
      <c r="U63" s="39" t="s">
        <v>343</v>
      </c>
      <c r="V63" s="38" t="s">
        <v>342</v>
      </c>
      <c r="W63" s="38" t="s">
        <v>342</v>
      </c>
    </row>
    <row r="64" spans="1:23">
      <c r="A64" s="50" t="s">
        <v>438</v>
      </c>
      <c r="B64" s="50" t="s">
        <v>399</v>
      </c>
      <c r="C64" s="49" t="s">
        <v>668</v>
      </c>
      <c r="D64" s="77" t="s">
        <v>339</v>
      </c>
      <c r="E64" s="50" t="s">
        <v>143</v>
      </c>
      <c r="F64" s="49" t="s">
        <v>144</v>
      </c>
      <c r="G64" s="52">
        <v>0.48</v>
      </c>
      <c r="H64" s="52">
        <v>0.91</v>
      </c>
      <c r="I64" s="51">
        <v>-92444963</v>
      </c>
      <c r="J64" s="51">
        <v>-7659</v>
      </c>
      <c r="K64" s="56">
        <v>12070.11</v>
      </c>
      <c r="L64" s="62">
        <v>9110</v>
      </c>
      <c r="M64" s="61" t="s">
        <v>362</v>
      </c>
      <c r="N64" s="60" t="s">
        <v>441</v>
      </c>
      <c r="O64" s="59">
        <v>-2.88</v>
      </c>
      <c r="P64" s="51">
        <v>22671473</v>
      </c>
      <c r="Q64" s="52">
        <v>24.52</v>
      </c>
      <c r="R64" s="51">
        <v>2067930</v>
      </c>
      <c r="S64" s="51">
        <v>1908225</v>
      </c>
      <c r="T64" s="50" t="s">
        <v>269</v>
      </c>
      <c r="U64" s="49" t="s">
        <v>343</v>
      </c>
      <c r="V64" s="48" t="s">
        <v>342</v>
      </c>
      <c r="W64" s="48" t="s">
        <v>342</v>
      </c>
    </row>
    <row r="65" spans="1:23">
      <c r="A65" s="40" t="s">
        <v>436</v>
      </c>
      <c r="B65" s="40" t="s">
        <v>399</v>
      </c>
      <c r="C65" s="39" t="s">
        <v>668</v>
      </c>
      <c r="D65" s="72" t="s">
        <v>339</v>
      </c>
      <c r="E65" s="40" t="s">
        <v>204</v>
      </c>
      <c r="F65" s="39" t="s">
        <v>205</v>
      </c>
      <c r="G65" s="42">
        <v>1</v>
      </c>
      <c r="H65" s="42">
        <v>1.89</v>
      </c>
      <c r="I65" s="41">
        <v>-142769754</v>
      </c>
      <c r="J65" s="41">
        <v>-650</v>
      </c>
      <c r="K65" s="46">
        <v>219645.78</v>
      </c>
      <c r="L65" s="66">
        <v>222500</v>
      </c>
      <c r="M65" s="65" t="s">
        <v>367</v>
      </c>
      <c r="N65" s="64" t="s">
        <v>398</v>
      </c>
      <c r="O65" s="63">
        <v>0.91</v>
      </c>
      <c r="P65" s="41">
        <v>-1855246</v>
      </c>
      <c r="Q65" s="42">
        <v>-1.3</v>
      </c>
      <c r="R65" s="41">
        <v>-1300000</v>
      </c>
      <c r="S65" s="41">
        <v>573246</v>
      </c>
      <c r="T65" s="40" t="s">
        <v>269</v>
      </c>
      <c r="U65" s="39" t="s">
        <v>343</v>
      </c>
      <c r="V65" s="38" t="s">
        <v>342</v>
      </c>
      <c r="W65" s="38" t="s">
        <v>342</v>
      </c>
    </row>
    <row r="66" spans="1:23">
      <c r="A66" s="50" t="s">
        <v>435</v>
      </c>
      <c r="B66" s="50" t="s">
        <v>399</v>
      </c>
      <c r="C66" s="49" t="s">
        <v>668</v>
      </c>
      <c r="D66" s="77" t="s">
        <v>339</v>
      </c>
      <c r="E66" s="50" t="s">
        <v>145</v>
      </c>
      <c r="F66" s="49" t="s">
        <v>146</v>
      </c>
      <c r="G66" s="52">
        <v>1.1000000000000001</v>
      </c>
      <c r="H66" s="52">
        <v>2.09</v>
      </c>
      <c r="I66" s="51">
        <v>-157912414</v>
      </c>
      <c r="J66" s="51">
        <v>-14084</v>
      </c>
      <c r="K66" s="56">
        <v>11212.19</v>
      </c>
      <c r="L66" s="76">
        <v>11350</v>
      </c>
      <c r="M66" s="75" t="s">
        <v>367</v>
      </c>
      <c r="N66" s="74" t="s">
        <v>401</v>
      </c>
      <c r="O66" s="73">
        <v>1.34</v>
      </c>
      <c r="P66" s="51">
        <v>-1940986</v>
      </c>
      <c r="Q66" s="52">
        <v>-1.23</v>
      </c>
      <c r="R66" s="51">
        <v>-2112600</v>
      </c>
      <c r="S66" s="51">
        <v>1843536</v>
      </c>
      <c r="T66" s="50" t="s">
        <v>269</v>
      </c>
      <c r="U66" s="49" t="s">
        <v>343</v>
      </c>
      <c r="V66" s="48" t="s">
        <v>342</v>
      </c>
      <c r="W66" s="48" t="s">
        <v>342</v>
      </c>
    </row>
    <row r="67" spans="1:23">
      <c r="A67" s="40" t="s">
        <v>434</v>
      </c>
      <c r="B67" s="40" t="s">
        <v>399</v>
      </c>
      <c r="C67" s="39" t="s">
        <v>668</v>
      </c>
      <c r="D67" s="72" t="s">
        <v>339</v>
      </c>
      <c r="E67" s="40" t="s">
        <v>274</v>
      </c>
      <c r="F67" s="39" t="s">
        <v>275</v>
      </c>
      <c r="G67" s="42">
        <v>2.1</v>
      </c>
      <c r="H67" s="42">
        <v>3.99</v>
      </c>
      <c r="I67" s="41">
        <v>-298155210</v>
      </c>
      <c r="J67" s="41">
        <v>-1460</v>
      </c>
      <c r="K67" s="58">
        <v>204215.9</v>
      </c>
      <c r="L67" s="66">
        <v>208500</v>
      </c>
      <c r="M67" s="65" t="s">
        <v>367</v>
      </c>
      <c r="N67" s="64" t="s">
        <v>437</v>
      </c>
      <c r="O67" s="63">
        <v>2.46</v>
      </c>
      <c r="P67" s="41">
        <v>-6254790</v>
      </c>
      <c r="Q67" s="42">
        <v>-2.1</v>
      </c>
      <c r="R67" s="41">
        <v>-7300000</v>
      </c>
      <c r="S67" s="41">
        <v>1885238</v>
      </c>
      <c r="T67" s="40" t="s">
        <v>269</v>
      </c>
      <c r="U67" s="39" t="s">
        <v>343</v>
      </c>
      <c r="V67" s="38" t="s">
        <v>342</v>
      </c>
      <c r="W67" s="38" t="s">
        <v>342</v>
      </c>
    </row>
    <row r="68" spans="1:23">
      <c r="A68" s="50" t="s">
        <v>433</v>
      </c>
      <c r="B68" s="50" t="s">
        <v>399</v>
      </c>
      <c r="C68" s="49" t="s">
        <v>668</v>
      </c>
      <c r="D68" s="77" t="s">
        <v>339</v>
      </c>
      <c r="E68" s="50" t="s">
        <v>147</v>
      </c>
      <c r="F68" s="49" t="s">
        <v>148</v>
      </c>
      <c r="G68" s="52">
        <v>1.57</v>
      </c>
      <c r="H68" s="52">
        <v>2.99</v>
      </c>
      <c r="I68" s="51">
        <v>-215849143</v>
      </c>
      <c r="J68" s="51">
        <v>-1089</v>
      </c>
      <c r="K68" s="56">
        <v>198208.58</v>
      </c>
      <c r="L68" s="51">
        <v>209500</v>
      </c>
      <c r="M68" s="55" t="s">
        <v>269</v>
      </c>
      <c r="N68" s="54" t="s">
        <v>342</v>
      </c>
      <c r="O68" s="53">
        <v>0</v>
      </c>
      <c r="P68" s="51">
        <v>-12296357</v>
      </c>
      <c r="Q68" s="52">
        <v>-5.7</v>
      </c>
      <c r="R68" s="51">
        <v>0</v>
      </c>
      <c r="S68" s="51">
        <v>4885938</v>
      </c>
      <c r="T68" s="50" t="s">
        <v>269</v>
      </c>
      <c r="U68" s="49" t="s">
        <v>343</v>
      </c>
      <c r="V68" s="48" t="s">
        <v>342</v>
      </c>
      <c r="W68" s="48" t="s">
        <v>342</v>
      </c>
    </row>
    <row r="69" spans="1:23">
      <c r="A69" s="40" t="s">
        <v>430</v>
      </c>
      <c r="B69" s="40" t="s">
        <v>399</v>
      </c>
      <c r="C69" s="39" t="s">
        <v>668</v>
      </c>
      <c r="D69" s="72" t="s">
        <v>339</v>
      </c>
      <c r="E69" s="40" t="s">
        <v>153</v>
      </c>
      <c r="F69" s="39" t="s">
        <v>154</v>
      </c>
      <c r="G69" s="42">
        <v>1.86</v>
      </c>
      <c r="H69" s="42">
        <v>3.54</v>
      </c>
      <c r="I69" s="41">
        <v>-305949944</v>
      </c>
      <c r="J69" s="41">
        <v>-3330</v>
      </c>
      <c r="K69" s="46">
        <v>91876.86</v>
      </c>
      <c r="L69" s="41">
        <v>81000</v>
      </c>
      <c r="M69" s="45" t="s">
        <v>269</v>
      </c>
      <c r="N69" s="44" t="s">
        <v>342</v>
      </c>
      <c r="O69" s="43">
        <v>0</v>
      </c>
      <c r="P69" s="41">
        <v>36219944</v>
      </c>
      <c r="Q69" s="42">
        <v>11.84</v>
      </c>
      <c r="R69" s="41">
        <v>0</v>
      </c>
      <c r="S69" s="41">
        <v>3250203</v>
      </c>
      <c r="T69" s="40" t="s">
        <v>269</v>
      </c>
      <c r="U69" s="39" t="s">
        <v>343</v>
      </c>
      <c r="V69" s="38" t="s">
        <v>342</v>
      </c>
      <c r="W69" s="38" t="s">
        <v>342</v>
      </c>
    </row>
    <row r="70" spans="1:23">
      <c r="A70" s="50" t="s">
        <v>429</v>
      </c>
      <c r="B70" s="50" t="s">
        <v>399</v>
      </c>
      <c r="C70" s="49" t="s">
        <v>668</v>
      </c>
      <c r="D70" s="77" t="s">
        <v>339</v>
      </c>
      <c r="E70" s="50" t="s">
        <v>310</v>
      </c>
      <c r="F70" s="49" t="s">
        <v>311</v>
      </c>
      <c r="G70" s="52">
        <v>0.9</v>
      </c>
      <c r="H70" s="52">
        <v>1.72</v>
      </c>
      <c r="I70" s="51">
        <v>-144038688</v>
      </c>
      <c r="J70" s="51">
        <v>-8680</v>
      </c>
      <c r="K70" s="56">
        <v>16594.32</v>
      </c>
      <c r="L70" s="62">
        <v>15100</v>
      </c>
      <c r="M70" s="61" t="s">
        <v>362</v>
      </c>
      <c r="N70" s="60" t="s">
        <v>371</v>
      </c>
      <c r="O70" s="59">
        <v>-1.95</v>
      </c>
      <c r="P70" s="51">
        <v>12970688</v>
      </c>
      <c r="Q70" s="52">
        <v>9.01</v>
      </c>
      <c r="R70" s="51">
        <v>2604000</v>
      </c>
      <c r="S70" s="51">
        <v>1328324</v>
      </c>
      <c r="T70" s="50" t="s">
        <v>269</v>
      </c>
      <c r="U70" s="49" t="s">
        <v>343</v>
      </c>
      <c r="V70" s="48" t="s">
        <v>342</v>
      </c>
      <c r="W70" s="48" t="s">
        <v>342</v>
      </c>
    </row>
    <row r="71" spans="1:23">
      <c r="A71" s="40" t="s">
        <v>427</v>
      </c>
      <c r="B71" s="40" t="s">
        <v>399</v>
      </c>
      <c r="C71" s="39" t="s">
        <v>668</v>
      </c>
      <c r="D71" s="72" t="s">
        <v>339</v>
      </c>
      <c r="E71" s="40" t="s">
        <v>432</v>
      </c>
      <c r="F71" s="39" t="s">
        <v>431</v>
      </c>
      <c r="G71" s="42">
        <v>1.72</v>
      </c>
      <c r="H71" s="42">
        <v>3.26</v>
      </c>
      <c r="I71" s="41">
        <v>-246636365</v>
      </c>
      <c r="J71" s="41">
        <v>-10428</v>
      </c>
      <c r="K71" s="46">
        <v>23651.360000000001</v>
      </c>
      <c r="L71" s="70">
        <v>23850</v>
      </c>
      <c r="M71" s="69" t="s">
        <v>362</v>
      </c>
      <c r="N71" s="68" t="s">
        <v>401</v>
      </c>
      <c r="O71" s="67">
        <v>-0.62</v>
      </c>
      <c r="P71" s="41">
        <v>-2071435</v>
      </c>
      <c r="Q71" s="42">
        <v>-0.84</v>
      </c>
      <c r="R71" s="41">
        <v>1564200</v>
      </c>
      <c r="S71" s="41">
        <v>3043298</v>
      </c>
      <c r="T71" s="40" t="s">
        <v>269</v>
      </c>
      <c r="U71" s="39" t="s">
        <v>343</v>
      </c>
      <c r="V71" s="38" t="s">
        <v>342</v>
      </c>
      <c r="W71" s="38" t="s">
        <v>342</v>
      </c>
    </row>
    <row r="72" spans="1:23">
      <c r="A72" s="50" t="s">
        <v>375</v>
      </c>
      <c r="B72" s="50" t="s">
        <v>399</v>
      </c>
      <c r="C72" s="49" t="s">
        <v>668</v>
      </c>
      <c r="D72" s="77" t="s">
        <v>339</v>
      </c>
      <c r="E72" s="50" t="s">
        <v>261</v>
      </c>
      <c r="F72" s="49" t="s">
        <v>262</v>
      </c>
      <c r="G72" s="52">
        <v>0.52</v>
      </c>
      <c r="H72" s="52">
        <v>1</v>
      </c>
      <c r="I72" s="51">
        <v>-84618711</v>
      </c>
      <c r="J72" s="51">
        <v>-1151</v>
      </c>
      <c r="K72" s="56">
        <v>73517.56</v>
      </c>
      <c r="L72" s="76">
        <v>66200</v>
      </c>
      <c r="M72" s="75" t="s">
        <v>367</v>
      </c>
      <c r="N72" s="74" t="s">
        <v>384</v>
      </c>
      <c r="O72" s="73">
        <v>1.53</v>
      </c>
      <c r="P72" s="51">
        <v>8422511</v>
      </c>
      <c r="Q72" s="52">
        <v>9.9499999999999993</v>
      </c>
      <c r="R72" s="51">
        <v>-1151000</v>
      </c>
      <c r="S72" s="51">
        <v>1329528</v>
      </c>
      <c r="T72" s="50" t="s">
        <v>269</v>
      </c>
      <c r="U72" s="49" t="s">
        <v>343</v>
      </c>
      <c r="V72" s="48" t="s">
        <v>342</v>
      </c>
      <c r="W72" s="48" t="s">
        <v>342</v>
      </c>
    </row>
    <row r="73" spans="1:23">
      <c r="A73" s="40" t="s">
        <v>422</v>
      </c>
      <c r="B73" s="40" t="s">
        <v>399</v>
      </c>
      <c r="C73" s="39" t="s">
        <v>668</v>
      </c>
      <c r="D73" s="72" t="s">
        <v>339</v>
      </c>
      <c r="E73" s="40" t="s">
        <v>163</v>
      </c>
      <c r="F73" s="39" t="s">
        <v>164</v>
      </c>
      <c r="G73" s="42">
        <v>0.52</v>
      </c>
      <c r="H73" s="42">
        <v>0.98</v>
      </c>
      <c r="I73" s="41">
        <v>-72886336</v>
      </c>
      <c r="J73" s="41">
        <v>-280</v>
      </c>
      <c r="K73" s="46">
        <v>260308.34</v>
      </c>
      <c r="L73" s="66">
        <v>268500</v>
      </c>
      <c r="M73" s="65" t="s">
        <v>367</v>
      </c>
      <c r="N73" s="64" t="s">
        <v>428</v>
      </c>
      <c r="O73" s="63">
        <v>0.19</v>
      </c>
      <c r="P73" s="41">
        <v>-2293664</v>
      </c>
      <c r="Q73" s="42">
        <v>-3.15</v>
      </c>
      <c r="R73" s="41">
        <v>-140000</v>
      </c>
      <c r="S73" s="41">
        <v>3879608</v>
      </c>
      <c r="T73" s="40" t="s">
        <v>269</v>
      </c>
      <c r="U73" s="39" t="s">
        <v>343</v>
      </c>
      <c r="V73" s="38" t="s">
        <v>342</v>
      </c>
      <c r="W73" s="38" t="s">
        <v>342</v>
      </c>
    </row>
    <row r="74" spans="1:23">
      <c r="A74" s="50" t="s">
        <v>421</v>
      </c>
      <c r="B74" s="50" t="s">
        <v>399</v>
      </c>
      <c r="C74" s="49" t="s">
        <v>668</v>
      </c>
      <c r="D74" s="77" t="s">
        <v>339</v>
      </c>
      <c r="E74" s="50" t="s">
        <v>165</v>
      </c>
      <c r="F74" s="49" t="s">
        <v>166</v>
      </c>
      <c r="G74" s="52">
        <v>0.69</v>
      </c>
      <c r="H74" s="52">
        <v>1.31</v>
      </c>
      <c r="I74" s="51">
        <v>-88313288</v>
      </c>
      <c r="J74" s="51">
        <v>-2933</v>
      </c>
      <c r="K74" s="56">
        <v>30110.22</v>
      </c>
      <c r="L74" s="62">
        <v>34100</v>
      </c>
      <c r="M74" s="61" t="s">
        <v>362</v>
      </c>
      <c r="N74" s="60" t="s">
        <v>426</v>
      </c>
      <c r="O74" s="59">
        <v>-3.94</v>
      </c>
      <c r="P74" s="51">
        <v>-11702012</v>
      </c>
      <c r="Q74" s="52">
        <v>-13.25</v>
      </c>
      <c r="R74" s="51">
        <v>4106200</v>
      </c>
      <c r="S74" s="51">
        <v>1170918</v>
      </c>
      <c r="T74" s="50" t="s">
        <v>269</v>
      </c>
      <c r="U74" s="49" t="s">
        <v>343</v>
      </c>
      <c r="V74" s="48" t="s">
        <v>342</v>
      </c>
      <c r="W74" s="48" t="s">
        <v>342</v>
      </c>
    </row>
    <row r="75" spans="1:23">
      <c r="A75" s="40" t="s">
        <v>420</v>
      </c>
      <c r="B75" s="40" t="s">
        <v>399</v>
      </c>
      <c r="C75" s="39" t="s">
        <v>668</v>
      </c>
      <c r="D75" s="72" t="s">
        <v>339</v>
      </c>
      <c r="E75" s="40" t="s">
        <v>425</v>
      </c>
      <c r="F75" s="39" t="s">
        <v>424</v>
      </c>
      <c r="G75" s="42">
        <v>1.59</v>
      </c>
      <c r="H75" s="42">
        <v>3.01</v>
      </c>
      <c r="I75" s="41">
        <v>-236775725</v>
      </c>
      <c r="J75" s="41">
        <v>-2130</v>
      </c>
      <c r="K75" s="46">
        <v>111162.31</v>
      </c>
      <c r="L75" s="70">
        <v>108000</v>
      </c>
      <c r="M75" s="69" t="s">
        <v>362</v>
      </c>
      <c r="N75" s="68" t="s">
        <v>423</v>
      </c>
      <c r="O75" s="67">
        <v>-0.55000000000000004</v>
      </c>
      <c r="P75" s="41">
        <v>6735725</v>
      </c>
      <c r="Q75" s="42">
        <v>2.84</v>
      </c>
      <c r="R75" s="41">
        <v>1278000</v>
      </c>
      <c r="S75" s="41">
        <v>1333555</v>
      </c>
      <c r="T75" s="40" t="s">
        <v>269</v>
      </c>
      <c r="U75" s="39" t="s">
        <v>343</v>
      </c>
      <c r="V75" s="38" t="s">
        <v>342</v>
      </c>
      <c r="W75" s="38" t="s">
        <v>342</v>
      </c>
    </row>
    <row r="76" spans="1:23">
      <c r="A76" s="50" t="s">
        <v>418</v>
      </c>
      <c r="B76" s="50" t="s">
        <v>399</v>
      </c>
      <c r="C76" s="49" t="s">
        <v>668</v>
      </c>
      <c r="D76" s="77" t="s">
        <v>339</v>
      </c>
      <c r="E76" s="50" t="s">
        <v>316</v>
      </c>
      <c r="F76" s="49" t="s">
        <v>317</v>
      </c>
      <c r="G76" s="52">
        <v>0.44</v>
      </c>
      <c r="H76" s="52">
        <v>0.84</v>
      </c>
      <c r="I76" s="51">
        <v>-72706262</v>
      </c>
      <c r="J76" s="51">
        <v>-2510</v>
      </c>
      <c r="K76" s="56">
        <v>28966.639999999999</v>
      </c>
      <c r="L76" s="76">
        <v>25500</v>
      </c>
      <c r="M76" s="75" t="s">
        <v>367</v>
      </c>
      <c r="N76" s="74" t="s">
        <v>391</v>
      </c>
      <c r="O76" s="73">
        <v>3.24</v>
      </c>
      <c r="P76" s="51">
        <v>8701262</v>
      </c>
      <c r="Q76" s="52">
        <v>11.97</v>
      </c>
      <c r="R76" s="51">
        <v>-2008000</v>
      </c>
      <c r="S76" s="51">
        <v>291888</v>
      </c>
      <c r="T76" s="50" t="s">
        <v>269</v>
      </c>
      <c r="U76" s="49" t="s">
        <v>343</v>
      </c>
      <c r="V76" s="48" t="s">
        <v>342</v>
      </c>
      <c r="W76" s="48" t="s">
        <v>342</v>
      </c>
    </row>
    <row r="77" spans="1:23">
      <c r="A77" s="40" t="s">
        <v>417</v>
      </c>
      <c r="B77" s="40" t="s">
        <v>399</v>
      </c>
      <c r="C77" s="39" t="s">
        <v>668</v>
      </c>
      <c r="D77" s="72" t="s">
        <v>339</v>
      </c>
      <c r="E77" s="40" t="s">
        <v>240</v>
      </c>
      <c r="F77" s="39" t="s">
        <v>241</v>
      </c>
      <c r="G77" s="42">
        <v>1.44</v>
      </c>
      <c r="H77" s="42">
        <v>2.74</v>
      </c>
      <c r="I77" s="41">
        <v>-219178908</v>
      </c>
      <c r="J77" s="41">
        <v>-2499</v>
      </c>
      <c r="K77" s="46">
        <v>87706.65</v>
      </c>
      <c r="L77" s="66">
        <v>83800</v>
      </c>
      <c r="M77" s="65" t="s">
        <v>367</v>
      </c>
      <c r="N77" s="64" t="s">
        <v>371</v>
      </c>
      <c r="O77" s="63">
        <v>0.36</v>
      </c>
      <c r="P77" s="41">
        <v>9762708</v>
      </c>
      <c r="Q77" s="42">
        <v>4.45</v>
      </c>
      <c r="R77" s="41">
        <v>-749700</v>
      </c>
      <c r="S77" s="41">
        <v>1342434</v>
      </c>
      <c r="T77" s="40" t="s">
        <v>269</v>
      </c>
      <c r="U77" s="39" t="s">
        <v>343</v>
      </c>
      <c r="V77" s="38" t="s">
        <v>342</v>
      </c>
      <c r="W77" s="38" t="s">
        <v>342</v>
      </c>
    </row>
    <row r="78" spans="1:23">
      <c r="A78" s="50" t="s">
        <v>413</v>
      </c>
      <c r="B78" s="50" t="s">
        <v>399</v>
      </c>
      <c r="C78" s="49" t="s">
        <v>668</v>
      </c>
      <c r="D78" s="77" t="s">
        <v>339</v>
      </c>
      <c r="E78" s="50" t="s">
        <v>218</v>
      </c>
      <c r="F78" s="49" t="s">
        <v>219</v>
      </c>
      <c r="G78" s="52">
        <v>1.63</v>
      </c>
      <c r="H78" s="52">
        <v>3.09</v>
      </c>
      <c r="I78" s="51">
        <v>-256125280</v>
      </c>
      <c r="J78" s="51">
        <v>-9745</v>
      </c>
      <c r="K78" s="56">
        <v>26282.74</v>
      </c>
      <c r="L78" s="76">
        <v>24200</v>
      </c>
      <c r="M78" s="75" t="s">
        <v>367</v>
      </c>
      <c r="N78" s="74" t="s">
        <v>419</v>
      </c>
      <c r="O78" s="73">
        <v>3.2</v>
      </c>
      <c r="P78" s="51">
        <v>20296280</v>
      </c>
      <c r="Q78" s="52">
        <v>7.92</v>
      </c>
      <c r="R78" s="51">
        <v>-7308750</v>
      </c>
      <c r="S78" s="51">
        <v>1569864</v>
      </c>
      <c r="T78" s="50" t="s">
        <v>269</v>
      </c>
      <c r="U78" s="49" t="s">
        <v>343</v>
      </c>
      <c r="V78" s="48" t="s">
        <v>342</v>
      </c>
      <c r="W78" s="48" t="s">
        <v>342</v>
      </c>
    </row>
    <row r="79" spans="1:23">
      <c r="A79" s="40" t="s">
        <v>412</v>
      </c>
      <c r="B79" s="40" t="s">
        <v>399</v>
      </c>
      <c r="C79" s="39" t="s">
        <v>668</v>
      </c>
      <c r="D79" s="72" t="s">
        <v>339</v>
      </c>
      <c r="E79" s="40" t="s">
        <v>263</v>
      </c>
      <c r="F79" s="39" t="s">
        <v>264</v>
      </c>
      <c r="G79" s="42">
        <v>1.58</v>
      </c>
      <c r="H79" s="42">
        <v>3</v>
      </c>
      <c r="I79" s="41">
        <v>-237754596</v>
      </c>
      <c r="J79" s="41">
        <v>-1830</v>
      </c>
      <c r="K79" s="46">
        <v>129920.54</v>
      </c>
      <c r="L79" s="70">
        <v>125000</v>
      </c>
      <c r="M79" s="69" t="s">
        <v>362</v>
      </c>
      <c r="N79" s="68" t="s">
        <v>398</v>
      </c>
      <c r="O79" s="67">
        <v>-1.57</v>
      </c>
      <c r="P79" s="41">
        <v>9004596</v>
      </c>
      <c r="Q79" s="42">
        <v>3.79</v>
      </c>
      <c r="R79" s="41">
        <v>3660000</v>
      </c>
      <c r="S79" s="41">
        <v>954704</v>
      </c>
      <c r="T79" s="40" t="s">
        <v>269</v>
      </c>
      <c r="U79" s="39" t="s">
        <v>343</v>
      </c>
      <c r="V79" s="38" t="s">
        <v>342</v>
      </c>
      <c r="W79" s="38" t="s">
        <v>342</v>
      </c>
    </row>
    <row r="80" spans="1:23">
      <c r="A80" s="50" t="s">
        <v>409</v>
      </c>
      <c r="B80" s="50" t="s">
        <v>399</v>
      </c>
      <c r="C80" s="49" t="s">
        <v>668</v>
      </c>
      <c r="D80" s="77" t="s">
        <v>339</v>
      </c>
      <c r="E80" s="50" t="s">
        <v>416</v>
      </c>
      <c r="F80" s="49" t="s">
        <v>415</v>
      </c>
      <c r="G80" s="52">
        <v>0.54</v>
      </c>
      <c r="H80" s="52">
        <v>1.03</v>
      </c>
      <c r="I80" s="51">
        <v>-74489117</v>
      </c>
      <c r="J80" s="51">
        <v>-4230</v>
      </c>
      <c r="K80" s="56">
        <v>17609.72</v>
      </c>
      <c r="L80" s="62">
        <v>18700</v>
      </c>
      <c r="M80" s="61" t="s">
        <v>362</v>
      </c>
      <c r="N80" s="60" t="s">
        <v>414</v>
      </c>
      <c r="O80" s="59">
        <v>-1.06</v>
      </c>
      <c r="P80" s="51">
        <v>-4611883</v>
      </c>
      <c r="Q80" s="52">
        <v>-6.19</v>
      </c>
      <c r="R80" s="51">
        <v>846000</v>
      </c>
      <c r="S80" s="51">
        <v>299083</v>
      </c>
      <c r="T80" s="50" t="s">
        <v>269</v>
      </c>
      <c r="U80" s="49" t="s">
        <v>343</v>
      </c>
      <c r="V80" s="48" t="s">
        <v>342</v>
      </c>
      <c r="W80" s="48" t="s">
        <v>342</v>
      </c>
    </row>
    <row r="81" spans="1:23">
      <c r="A81" s="40" t="s">
        <v>408</v>
      </c>
      <c r="B81" s="40" t="s">
        <v>399</v>
      </c>
      <c r="C81" s="39" t="s">
        <v>668</v>
      </c>
      <c r="D81" s="72" t="s">
        <v>339</v>
      </c>
      <c r="E81" s="40" t="s">
        <v>280</v>
      </c>
      <c r="F81" s="39" t="s">
        <v>281</v>
      </c>
      <c r="G81" s="42">
        <v>2.0699999999999998</v>
      </c>
      <c r="H81" s="42">
        <v>3.93</v>
      </c>
      <c r="I81" s="41">
        <v>-316298412</v>
      </c>
      <c r="J81" s="41">
        <v>-1900</v>
      </c>
      <c r="K81" s="46">
        <v>166472.85</v>
      </c>
      <c r="L81" s="66">
        <v>158000</v>
      </c>
      <c r="M81" s="65" t="s">
        <v>367</v>
      </c>
      <c r="N81" s="64" t="s">
        <v>398</v>
      </c>
      <c r="O81" s="63">
        <v>1.28</v>
      </c>
      <c r="P81" s="41">
        <v>16098412</v>
      </c>
      <c r="Q81" s="42">
        <v>5.09</v>
      </c>
      <c r="R81" s="41">
        <v>-3800000</v>
      </c>
      <c r="S81" s="41">
        <v>1978732</v>
      </c>
      <c r="T81" s="40" t="s">
        <v>269</v>
      </c>
      <c r="U81" s="39" t="s">
        <v>343</v>
      </c>
      <c r="V81" s="38" t="s">
        <v>342</v>
      </c>
      <c r="W81" s="38" t="s">
        <v>342</v>
      </c>
    </row>
    <row r="82" spans="1:23">
      <c r="A82" s="50" t="s">
        <v>407</v>
      </c>
      <c r="B82" s="50" t="s">
        <v>399</v>
      </c>
      <c r="C82" s="49" t="s">
        <v>668</v>
      </c>
      <c r="D82" s="77" t="s">
        <v>339</v>
      </c>
      <c r="E82" s="50" t="s">
        <v>411</v>
      </c>
      <c r="F82" s="49" t="s">
        <v>410</v>
      </c>
      <c r="G82" s="52">
        <v>0.99</v>
      </c>
      <c r="H82" s="52">
        <v>1.88</v>
      </c>
      <c r="I82" s="51">
        <v>-149225644</v>
      </c>
      <c r="J82" s="51">
        <v>-2330</v>
      </c>
      <c r="K82" s="56">
        <v>64045.34</v>
      </c>
      <c r="L82" s="62">
        <v>61600</v>
      </c>
      <c r="M82" s="61" t="s">
        <v>362</v>
      </c>
      <c r="N82" s="60" t="s">
        <v>355</v>
      </c>
      <c r="O82" s="59">
        <v>-0.16</v>
      </c>
      <c r="P82" s="51">
        <v>5697644</v>
      </c>
      <c r="Q82" s="52">
        <v>3.82</v>
      </c>
      <c r="R82" s="51">
        <v>233000</v>
      </c>
      <c r="S82" s="51">
        <v>1499432</v>
      </c>
      <c r="T82" s="50" t="s">
        <v>269</v>
      </c>
      <c r="U82" s="49" t="s">
        <v>343</v>
      </c>
      <c r="V82" s="48" t="s">
        <v>342</v>
      </c>
      <c r="W82" s="48" t="s">
        <v>342</v>
      </c>
    </row>
    <row r="83" spans="1:23">
      <c r="A83" s="40" t="s">
        <v>405</v>
      </c>
      <c r="B83" s="40" t="s">
        <v>399</v>
      </c>
      <c r="C83" s="39" t="s">
        <v>668</v>
      </c>
      <c r="D83" s="72" t="s">
        <v>339</v>
      </c>
      <c r="E83" s="40" t="s">
        <v>296</v>
      </c>
      <c r="F83" s="39" t="s">
        <v>297</v>
      </c>
      <c r="G83" s="42">
        <v>1.72</v>
      </c>
      <c r="H83" s="42">
        <v>3.27</v>
      </c>
      <c r="I83" s="41">
        <v>-282517594</v>
      </c>
      <c r="J83" s="41">
        <v>-8134</v>
      </c>
      <c r="K83" s="46">
        <v>34732.92</v>
      </c>
      <c r="L83" s="70">
        <v>30650</v>
      </c>
      <c r="M83" s="69" t="s">
        <v>362</v>
      </c>
      <c r="N83" s="68" t="s">
        <v>355</v>
      </c>
      <c r="O83" s="67">
        <v>-0.33</v>
      </c>
      <c r="P83" s="41">
        <v>33210494</v>
      </c>
      <c r="Q83" s="42">
        <v>11.76</v>
      </c>
      <c r="R83" s="41">
        <v>813400</v>
      </c>
      <c r="S83" s="41">
        <v>1134306</v>
      </c>
      <c r="T83" s="40" t="s">
        <v>269</v>
      </c>
      <c r="U83" s="39" t="s">
        <v>343</v>
      </c>
      <c r="V83" s="38" t="s">
        <v>342</v>
      </c>
      <c r="W83" s="38" t="s">
        <v>342</v>
      </c>
    </row>
    <row r="84" spans="1:23">
      <c r="A84" s="50" t="s">
        <v>402</v>
      </c>
      <c r="B84" s="50" t="s">
        <v>399</v>
      </c>
      <c r="C84" s="49" t="s">
        <v>668</v>
      </c>
      <c r="D84" s="77" t="s">
        <v>339</v>
      </c>
      <c r="E84" s="50" t="s">
        <v>312</v>
      </c>
      <c r="F84" s="49" t="s">
        <v>313</v>
      </c>
      <c r="G84" s="52">
        <v>0.49</v>
      </c>
      <c r="H84" s="52">
        <v>0.93</v>
      </c>
      <c r="I84" s="51">
        <v>-73693872</v>
      </c>
      <c r="J84" s="51">
        <v>-580</v>
      </c>
      <c r="K84" s="78">
        <v>127058.4</v>
      </c>
      <c r="L84" s="76">
        <v>122800</v>
      </c>
      <c r="M84" s="75" t="s">
        <v>367</v>
      </c>
      <c r="N84" s="74" t="s">
        <v>371</v>
      </c>
      <c r="O84" s="73">
        <v>0.24</v>
      </c>
      <c r="P84" s="51">
        <v>2469872</v>
      </c>
      <c r="Q84" s="52">
        <v>3.35</v>
      </c>
      <c r="R84" s="51">
        <v>-174000</v>
      </c>
      <c r="S84" s="51">
        <v>295928</v>
      </c>
      <c r="T84" s="50" t="s">
        <v>269</v>
      </c>
      <c r="U84" s="49" t="s">
        <v>343</v>
      </c>
      <c r="V84" s="48" t="s">
        <v>342</v>
      </c>
      <c r="W84" s="48" t="s">
        <v>342</v>
      </c>
    </row>
    <row r="85" spans="1:23">
      <c r="A85" s="40" t="s">
        <v>400</v>
      </c>
      <c r="B85" s="40" t="s">
        <v>399</v>
      </c>
      <c r="C85" s="39" t="s">
        <v>669</v>
      </c>
      <c r="D85" s="47" t="s">
        <v>338</v>
      </c>
      <c r="E85" s="40" t="s">
        <v>322</v>
      </c>
      <c r="F85" s="39" t="s">
        <v>323</v>
      </c>
      <c r="G85" s="42">
        <v>1.52</v>
      </c>
      <c r="H85" s="42">
        <v>2.17</v>
      </c>
      <c r="I85" s="41">
        <v>227811030</v>
      </c>
      <c r="J85" s="41">
        <v>532</v>
      </c>
      <c r="K85" s="46">
        <v>428216.22</v>
      </c>
      <c r="L85" s="70">
        <v>415000</v>
      </c>
      <c r="M85" s="69" t="s">
        <v>362</v>
      </c>
      <c r="N85" s="68" t="s">
        <v>406</v>
      </c>
      <c r="O85" s="67">
        <v>-2.12</v>
      </c>
      <c r="P85" s="41">
        <v>-7031030</v>
      </c>
      <c r="Q85" s="42">
        <v>-3.09</v>
      </c>
      <c r="R85" s="41">
        <v>-4788000</v>
      </c>
      <c r="S85" s="41">
        <v>176030</v>
      </c>
      <c r="T85" s="40" t="s">
        <v>269</v>
      </c>
      <c r="U85" s="39" t="s">
        <v>343</v>
      </c>
      <c r="V85" s="38" t="s">
        <v>342</v>
      </c>
      <c r="W85" s="38" t="s">
        <v>342</v>
      </c>
    </row>
    <row r="86" spans="1:23">
      <c r="A86" s="50" t="s">
        <v>397</v>
      </c>
      <c r="B86" s="50" t="s">
        <v>399</v>
      </c>
      <c r="C86" s="49" t="s">
        <v>669</v>
      </c>
      <c r="D86" s="57" t="s">
        <v>338</v>
      </c>
      <c r="E86" s="50" t="s">
        <v>404</v>
      </c>
      <c r="F86" s="49" t="s">
        <v>403</v>
      </c>
      <c r="G86" s="52">
        <v>3.67</v>
      </c>
      <c r="H86" s="52">
        <v>5.23</v>
      </c>
      <c r="I86" s="51">
        <v>568007080</v>
      </c>
      <c r="J86" s="51">
        <v>65870</v>
      </c>
      <c r="K86" s="56">
        <v>8623.15</v>
      </c>
      <c r="L86" s="62">
        <v>8070</v>
      </c>
      <c r="M86" s="61" t="s">
        <v>362</v>
      </c>
      <c r="N86" s="60" t="s">
        <v>383</v>
      </c>
      <c r="O86" s="59">
        <v>-1.1000000000000001</v>
      </c>
      <c r="P86" s="51">
        <v>-36436180</v>
      </c>
      <c r="Q86" s="52">
        <v>-6.41</v>
      </c>
      <c r="R86" s="51">
        <v>-5928300</v>
      </c>
      <c r="S86" s="51">
        <v>376360</v>
      </c>
      <c r="T86" s="50" t="s">
        <v>269</v>
      </c>
      <c r="U86" s="49" t="s">
        <v>343</v>
      </c>
      <c r="V86" s="48" t="s">
        <v>342</v>
      </c>
      <c r="W86" s="48" t="s">
        <v>342</v>
      </c>
    </row>
    <row r="87" spans="1:23">
      <c r="A87" s="40" t="s">
        <v>396</v>
      </c>
      <c r="B87" s="40" t="s">
        <v>399</v>
      </c>
      <c r="C87" s="39" t="s">
        <v>669</v>
      </c>
      <c r="D87" s="72" t="s">
        <v>339</v>
      </c>
      <c r="E87" s="40" t="s">
        <v>308</v>
      </c>
      <c r="F87" s="39" t="s">
        <v>309</v>
      </c>
      <c r="G87" s="42">
        <v>3.43</v>
      </c>
      <c r="H87" s="42">
        <v>6.5</v>
      </c>
      <c r="I87" s="41">
        <v>-522671168</v>
      </c>
      <c r="J87" s="41">
        <v>-11890</v>
      </c>
      <c r="K87" s="46">
        <v>43958.89</v>
      </c>
      <c r="L87" s="70">
        <v>41700</v>
      </c>
      <c r="M87" s="69" t="s">
        <v>362</v>
      </c>
      <c r="N87" s="68" t="s">
        <v>401</v>
      </c>
      <c r="O87" s="67">
        <v>-0.36</v>
      </c>
      <c r="P87" s="41">
        <v>26858168</v>
      </c>
      <c r="Q87" s="42">
        <v>5.14</v>
      </c>
      <c r="R87" s="41">
        <v>1783500</v>
      </c>
      <c r="S87" s="41">
        <v>1398638</v>
      </c>
      <c r="T87" s="40" t="s">
        <v>269</v>
      </c>
      <c r="U87" s="39" t="s">
        <v>343</v>
      </c>
      <c r="V87" s="38" t="s">
        <v>342</v>
      </c>
      <c r="W87" s="38" t="s">
        <v>342</v>
      </c>
    </row>
    <row r="88" spans="1:23">
      <c r="A88" s="50" t="s">
        <v>394</v>
      </c>
      <c r="B88" s="50" t="s">
        <v>399</v>
      </c>
      <c r="C88" s="49" t="s">
        <v>669</v>
      </c>
      <c r="D88" s="77" t="s">
        <v>339</v>
      </c>
      <c r="E88" s="50" t="s">
        <v>90</v>
      </c>
      <c r="F88" s="49" t="s">
        <v>91</v>
      </c>
      <c r="G88" s="52">
        <v>1.36</v>
      </c>
      <c r="H88" s="52">
        <v>2.59</v>
      </c>
      <c r="I88" s="51">
        <v>-215444960</v>
      </c>
      <c r="J88" s="51">
        <v>-1770</v>
      </c>
      <c r="K88" s="56">
        <v>121720.32000000001</v>
      </c>
      <c r="L88" s="62">
        <v>111500</v>
      </c>
      <c r="M88" s="61" t="s">
        <v>362</v>
      </c>
      <c r="N88" s="60" t="s">
        <v>398</v>
      </c>
      <c r="O88" s="59">
        <v>-1.76</v>
      </c>
      <c r="P88" s="51">
        <v>18089960</v>
      </c>
      <c r="Q88" s="52">
        <v>8.4</v>
      </c>
      <c r="R88" s="51">
        <v>3540000</v>
      </c>
      <c r="S88" s="51">
        <v>572216</v>
      </c>
      <c r="T88" s="50" t="s">
        <v>269</v>
      </c>
      <c r="U88" s="49" t="s">
        <v>343</v>
      </c>
      <c r="V88" s="48" t="s">
        <v>342</v>
      </c>
      <c r="W88" s="48" t="s">
        <v>342</v>
      </c>
    </row>
    <row r="89" spans="1:23">
      <c r="A89" s="40" t="s">
        <v>390</v>
      </c>
      <c r="B89" s="40" t="s">
        <v>378</v>
      </c>
      <c r="C89" s="39" t="s">
        <v>255</v>
      </c>
      <c r="D89" s="47" t="s">
        <v>338</v>
      </c>
      <c r="E89" s="40" t="s">
        <v>298</v>
      </c>
      <c r="F89" s="39" t="s">
        <v>299</v>
      </c>
      <c r="G89" s="42">
        <v>1.02</v>
      </c>
      <c r="H89" s="42">
        <v>12.98</v>
      </c>
      <c r="I89" s="41">
        <v>148083400</v>
      </c>
      <c r="J89" s="41">
        <v>4237</v>
      </c>
      <c r="K89" s="46">
        <v>34950.06</v>
      </c>
      <c r="L89" s="66">
        <v>34950</v>
      </c>
      <c r="M89" s="65" t="s">
        <v>367</v>
      </c>
      <c r="N89" s="64" t="s">
        <v>395</v>
      </c>
      <c r="O89" s="63">
        <v>1.1599999999999999</v>
      </c>
      <c r="P89" s="41">
        <v>-250</v>
      </c>
      <c r="Q89" s="42">
        <v>0</v>
      </c>
      <c r="R89" s="41">
        <v>1694800</v>
      </c>
      <c r="S89" s="41">
        <v>136400</v>
      </c>
      <c r="T89" s="40" t="s">
        <v>269</v>
      </c>
      <c r="U89" s="39" t="s">
        <v>343</v>
      </c>
      <c r="V89" s="38" t="s">
        <v>342</v>
      </c>
      <c r="W89" s="38" t="s">
        <v>342</v>
      </c>
    </row>
    <row r="90" spans="1:23">
      <c r="A90" s="50" t="s">
        <v>388</v>
      </c>
      <c r="B90" s="50" t="s">
        <v>378</v>
      </c>
      <c r="C90" s="49" t="s">
        <v>255</v>
      </c>
      <c r="D90" s="57" t="s">
        <v>338</v>
      </c>
      <c r="E90" s="50" t="s">
        <v>50</v>
      </c>
      <c r="F90" s="49" t="s">
        <v>51</v>
      </c>
      <c r="G90" s="52">
        <v>1.03</v>
      </c>
      <c r="H90" s="52">
        <v>13.07</v>
      </c>
      <c r="I90" s="51">
        <v>167611050</v>
      </c>
      <c r="J90" s="51">
        <v>7671</v>
      </c>
      <c r="K90" s="56">
        <v>21849.96</v>
      </c>
      <c r="L90" s="76">
        <v>19450</v>
      </c>
      <c r="M90" s="75" t="s">
        <v>367</v>
      </c>
      <c r="N90" s="74" t="s">
        <v>395</v>
      </c>
      <c r="O90" s="73">
        <v>2.1</v>
      </c>
      <c r="P90" s="51">
        <v>-18410100</v>
      </c>
      <c r="Q90" s="52">
        <v>-10.98</v>
      </c>
      <c r="R90" s="51">
        <v>3068400</v>
      </c>
      <c r="S90" s="51">
        <v>350600</v>
      </c>
      <c r="T90" s="50" t="s">
        <v>269</v>
      </c>
      <c r="U90" s="49" t="s">
        <v>343</v>
      </c>
      <c r="V90" s="48" t="s">
        <v>342</v>
      </c>
      <c r="W90" s="48" t="s">
        <v>342</v>
      </c>
    </row>
    <row r="91" spans="1:23">
      <c r="A91" s="40" t="s">
        <v>387</v>
      </c>
      <c r="B91" s="40" t="s">
        <v>378</v>
      </c>
      <c r="C91" s="39" t="s">
        <v>255</v>
      </c>
      <c r="D91" s="47" t="s">
        <v>338</v>
      </c>
      <c r="E91" s="40" t="s">
        <v>393</v>
      </c>
      <c r="F91" s="39" t="s">
        <v>392</v>
      </c>
      <c r="G91" s="42">
        <v>0.98</v>
      </c>
      <c r="H91" s="42">
        <v>12.48</v>
      </c>
      <c r="I91" s="41">
        <v>148588020</v>
      </c>
      <c r="J91" s="41">
        <v>2305</v>
      </c>
      <c r="K91" s="46">
        <v>64463.35</v>
      </c>
      <c r="L91" s="66">
        <v>61800</v>
      </c>
      <c r="M91" s="65" t="s">
        <v>367</v>
      </c>
      <c r="N91" s="64" t="s">
        <v>391</v>
      </c>
      <c r="O91" s="63">
        <v>1.31</v>
      </c>
      <c r="P91" s="41">
        <v>-6139020</v>
      </c>
      <c r="Q91" s="42">
        <v>-4.13</v>
      </c>
      <c r="R91" s="41">
        <v>1844000</v>
      </c>
      <c r="S91" s="41">
        <v>144020</v>
      </c>
      <c r="T91" s="40" t="s">
        <v>269</v>
      </c>
      <c r="U91" s="39" t="s">
        <v>343</v>
      </c>
      <c r="V91" s="38" t="s">
        <v>342</v>
      </c>
      <c r="W91" s="38" t="s">
        <v>342</v>
      </c>
    </row>
    <row r="92" spans="1:23">
      <c r="A92" s="50" t="s">
        <v>383</v>
      </c>
      <c r="B92" s="50" t="s">
        <v>378</v>
      </c>
      <c r="C92" s="49" t="s">
        <v>255</v>
      </c>
      <c r="D92" s="57" t="s">
        <v>338</v>
      </c>
      <c r="E92" s="50" t="s">
        <v>305</v>
      </c>
      <c r="F92" s="49" t="s">
        <v>306</v>
      </c>
      <c r="G92" s="52">
        <v>0.64</v>
      </c>
      <c r="H92" s="52">
        <v>8.1</v>
      </c>
      <c r="I92" s="51">
        <v>80547960</v>
      </c>
      <c r="J92" s="51">
        <v>357</v>
      </c>
      <c r="K92" s="56">
        <v>225624.54</v>
      </c>
      <c r="L92" s="62">
        <v>259000</v>
      </c>
      <c r="M92" s="61" t="s">
        <v>362</v>
      </c>
      <c r="N92" s="60" t="s">
        <v>389</v>
      </c>
      <c r="O92" s="59">
        <v>-1.33</v>
      </c>
      <c r="P92" s="51">
        <v>11915040</v>
      </c>
      <c r="Q92" s="52">
        <v>14.79</v>
      </c>
      <c r="R92" s="51">
        <v>-1249500</v>
      </c>
      <c r="S92" s="51">
        <v>80460</v>
      </c>
      <c r="T92" s="50" t="s">
        <v>269</v>
      </c>
      <c r="U92" s="49" t="s">
        <v>343</v>
      </c>
      <c r="V92" s="48" t="s">
        <v>342</v>
      </c>
      <c r="W92" s="48" t="s">
        <v>342</v>
      </c>
    </row>
    <row r="93" spans="1:23">
      <c r="A93" s="40" t="s">
        <v>381</v>
      </c>
      <c r="B93" s="40" t="s">
        <v>378</v>
      </c>
      <c r="C93" s="39" t="s">
        <v>254</v>
      </c>
      <c r="D93" s="47" t="s">
        <v>338</v>
      </c>
      <c r="E93" s="40" t="s">
        <v>282</v>
      </c>
      <c r="F93" s="39" t="s">
        <v>283</v>
      </c>
      <c r="G93" s="42">
        <v>1.02</v>
      </c>
      <c r="H93" s="42">
        <v>13</v>
      </c>
      <c r="I93" s="41">
        <v>165788276</v>
      </c>
      <c r="J93" s="41">
        <v>8474</v>
      </c>
      <c r="K93" s="46">
        <v>19564.349999999999</v>
      </c>
      <c r="L93" s="66">
        <v>17500</v>
      </c>
      <c r="M93" s="65" t="s">
        <v>367</v>
      </c>
      <c r="N93" s="64" t="s">
        <v>371</v>
      </c>
      <c r="O93" s="63">
        <v>1.74</v>
      </c>
      <c r="P93" s="41">
        <v>-17493276</v>
      </c>
      <c r="Q93" s="42">
        <v>-10.55</v>
      </c>
      <c r="R93" s="41">
        <v>2542200</v>
      </c>
      <c r="S93" s="41">
        <v>417680</v>
      </c>
      <c r="T93" s="40" t="s">
        <v>269</v>
      </c>
      <c r="U93" s="39" t="s">
        <v>343</v>
      </c>
      <c r="V93" s="38" t="s">
        <v>342</v>
      </c>
      <c r="W93" s="38" t="s">
        <v>342</v>
      </c>
    </row>
    <row r="94" spans="1:23">
      <c r="A94" s="50" t="s">
        <v>379</v>
      </c>
      <c r="B94" s="50" t="s">
        <v>378</v>
      </c>
      <c r="C94" s="49" t="s">
        <v>254</v>
      </c>
      <c r="D94" s="57" t="s">
        <v>338</v>
      </c>
      <c r="E94" s="50" t="s">
        <v>386</v>
      </c>
      <c r="F94" s="49" t="s">
        <v>385</v>
      </c>
      <c r="G94" s="52">
        <v>0.49</v>
      </c>
      <c r="H94" s="52">
        <v>6.25</v>
      </c>
      <c r="I94" s="51">
        <v>72209000</v>
      </c>
      <c r="J94" s="51">
        <v>443</v>
      </c>
      <c r="K94" s="51">
        <v>163000</v>
      </c>
      <c r="L94" s="62">
        <v>161000</v>
      </c>
      <c r="M94" s="61" t="s">
        <v>362</v>
      </c>
      <c r="N94" s="60" t="s">
        <v>384</v>
      </c>
      <c r="O94" s="59">
        <v>-0.62</v>
      </c>
      <c r="P94" s="51">
        <v>-886000</v>
      </c>
      <c r="Q94" s="52">
        <v>-1.23</v>
      </c>
      <c r="R94" s="51">
        <v>-886000</v>
      </c>
      <c r="S94" s="51">
        <v>0</v>
      </c>
      <c r="T94" s="50" t="s">
        <v>269</v>
      </c>
      <c r="U94" s="49" t="s">
        <v>343</v>
      </c>
      <c r="V94" s="48" t="s">
        <v>342</v>
      </c>
      <c r="W94" s="48" t="s">
        <v>342</v>
      </c>
    </row>
    <row r="95" spans="1:23">
      <c r="A95" s="40" t="s">
        <v>374</v>
      </c>
      <c r="B95" s="40" t="s">
        <v>378</v>
      </c>
      <c r="C95" s="39" t="s">
        <v>254</v>
      </c>
      <c r="D95" s="47" t="s">
        <v>338</v>
      </c>
      <c r="E95" s="40" t="s">
        <v>202</v>
      </c>
      <c r="F95" s="39" t="s">
        <v>203</v>
      </c>
      <c r="G95" s="42">
        <v>1.7</v>
      </c>
      <c r="H95" s="42">
        <v>21.65</v>
      </c>
      <c r="I95" s="41">
        <v>218173160</v>
      </c>
      <c r="J95" s="41">
        <v>1652</v>
      </c>
      <c r="K95" s="46">
        <v>132066.07999999999</v>
      </c>
      <c r="L95" s="70">
        <v>149500</v>
      </c>
      <c r="M95" s="69" t="s">
        <v>362</v>
      </c>
      <c r="N95" s="68" t="s">
        <v>382</v>
      </c>
      <c r="O95" s="67">
        <v>-0.99</v>
      </c>
      <c r="P95" s="41">
        <v>28800840</v>
      </c>
      <c r="Q95" s="42">
        <v>13.2</v>
      </c>
      <c r="R95" s="41">
        <v>-2478000</v>
      </c>
      <c r="S95" s="41">
        <v>532472</v>
      </c>
      <c r="T95" s="40" t="s">
        <v>269</v>
      </c>
      <c r="U95" s="39" t="s">
        <v>343</v>
      </c>
      <c r="V95" s="38" t="s">
        <v>342</v>
      </c>
      <c r="W95" s="38" t="s">
        <v>342</v>
      </c>
    </row>
    <row r="96" spans="1:23">
      <c r="A96" s="50" t="s">
        <v>372</v>
      </c>
      <c r="B96" s="50" t="s">
        <v>378</v>
      </c>
      <c r="C96" s="49" t="s">
        <v>197</v>
      </c>
      <c r="D96" s="77" t="s">
        <v>339</v>
      </c>
      <c r="E96" s="50" t="s">
        <v>270</v>
      </c>
      <c r="F96" s="49" t="s">
        <v>271</v>
      </c>
      <c r="G96" s="52">
        <v>16.88</v>
      </c>
      <c r="H96" s="52">
        <v>100</v>
      </c>
      <c r="I96" s="51">
        <v>-2356995239</v>
      </c>
      <c r="J96" s="51">
        <v>-19</v>
      </c>
      <c r="K96" s="78">
        <v>248.1</v>
      </c>
      <c r="L96" s="90">
        <v>256.7</v>
      </c>
      <c r="M96" s="61" t="s">
        <v>362</v>
      </c>
      <c r="N96" s="60" t="s">
        <v>380</v>
      </c>
      <c r="O96" s="59">
        <v>0.27</v>
      </c>
      <c r="P96" s="51">
        <v>-81654761</v>
      </c>
      <c r="Q96" s="52">
        <v>-3.46</v>
      </c>
      <c r="R96" s="51">
        <v>6650000</v>
      </c>
      <c r="S96" s="51">
        <v>688300</v>
      </c>
      <c r="T96" s="50" t="s">
        <v>269</v>
      </c>
      <c r="U96" s="49" t="s">
        <v>343</v>
      </c>
      <c r="V96" s="48" t="s">
        <v>342</v>
      </c>
      <c r="W96" s="48" t="s">
        <v>342</v>
      </c>
    </row>
    <row r="97" spans="1:23">
      <c r="A97" s="40" t="s">
        <v>370</v>
      </c>
      <c r="B97" s="40" t="s">
        <v>378</v>
      </c>
      <c r="C97" s="39" t="s">
        <v>260</v>
      </c>
      <c r="D97" s="47" t="s">
        <v>338</v>
      </c>
      <c r="E97" s="40" t="s">
        <v>377</v>
      </c>
      <c r="F97" s="39" t="s">
        <v>376</v>
      </c>
      <c r="G97" s="42">
        <v>0.98</v>
      </c>
      <c r="H97" s="42">
        <v>12.44</v>
      </c>
      <c r="I97" s="41">
        <v>148934330</v>
      </c>
      <c r="J97" s="41">
        <v>22815</v>
      </c>
      <c r="K97" s="46">
        <v>6527.91</v>
      </c>
      <c r="L97" s="70">
        <v>6220</v>
      </c>
      <c r="M97" s="69" t="s">
        <v>362</v>
      </c>
      <c r="N97" s="68" t="s">
        <v>375</v>
      </c>
      <c r="O97" s="67">
        <v>-1.1100000000000001</v>
      </c>
      <c r="P97" s="41">
        <v>-7025030</v>
      </c>
      <c r="Q97" s="42">
        <v>-4.72</v>
      </c>
      <c r="R97" s="41">
        <v>-1597050</v>
      </c>
      <c r="S97" s="41">
        <v>117410</v>
      </c>
      <c r="T97" s="40" t="s">
        <v>269</v>
      </c>
      <c r="U97" s="39" t="s">
        <v>343</v>
      </c>
      <c r="V97" s="38" t="s">
        <v>342</v>
      </c>
      <c r="W97" s="38" t="s">
        <v>342</v>
      </c>
    </row>
    <row r="98" spans="1:23">
      <c r="A98" s="50" t="s">
        <v>365</v>
      </c>
      <c r="B98" s="50" t="s">
        <v>349</v>
      </c>
      <c r="C98" s="49" t="s">
        <v>251</v>
      </c>
      <c r="D98" s="57" t="s">
        <v>338</v>
      </c>
      <c r="E98" s="50" t="s">
        <v>295</v>
      </c>
      <c r="F98" s="49" t="s">
        <v>307</v>
      </c>
      <c r="G98" s="52">
        <v>0.02</v>
      </c>
      <c r="H98" s="52">
        <v>0.11</v>
      </c>
      <c r="I98" s="51">
        <v>3348150</v>
      </c>
      <c r="J98" s="51">
        <v>1515</v>
      </c>
      <c r="K98" s="51">
        <v>2210</v>
      </c>
      <c r="L98" s="62">
        <v>2335</v>
      </c>
      <c r="M98" s="61" t="s">
        <v>362</v>
      </c>
      <c r="N98" s="60" t="s">
        <v>373</v>
      </c>
      <c r="O98" s="59">
        <v>-2.2999999999999998</v>
      </c>
      <c r="P98" s="51">
        <v>189375</v>
      </c>
      <c r="Q98" s="52">
        <v>5.66</v>
      </c>
      <c r="R98" s="51">
        <v>-83325</v>
      </c>
      <c r="S98" s="51">
        <v>0</v>
      </c>
      <c r="T98" s="50" t="s">
        <v>269</v>
      </c>
      <c r="U98" s="49" t="s">
        <v>343</v>
      </c>
      <c r="V98" s="48" t="s">
        <v>342</v>
      </c>
      <c r="W98" s="48" t="s">
        <v>342</v>
      </c>
    </row>
    <row r="99" spans="1:23">
      <c r="A99" s="40" t="s">
        <v>360</v>
      </c>
      <c r="B99" s="40" t="s">
        <v>349</v>
      </c>
      <c r="C99" s="39" t="s">
        <v>251</v>
      </c>
      <c r="D99" s="47" t="s">
        <v>338</v>
      </c>
      <c r="E99" s="40" t="s">
        <v>278</v>
      </c>
      <c r="F99" s="39" t="s">
        <v>279</v>
      </c>
      <c r="G99" s="42">
        <v>0.17</v>
      </c>
      <c r="H99" s="42">
        <v>0.78</v>
      </c>
      <c r="I99" s="41">
        <v>13659000</v>
      </c>
      <c r="J99" s="41">
        <v>471</v>
      </c>
      <c r="K99" s="41">
        <v>29000</v>
      </c>
      <c r="L99" s="70">
        <v>53500</v>
      </c>
      <c r="M99" s="69" t="s">
        <v>362</v>
      </c>
      <c r="N99" s="68" t="s">
        <v>371</v>
      </c>
      <c r="O99" s="67">
        <v>-0.56000000000000005</v>
      </c>
      <c r="P99" s="41">
        <v>11539500</v>
      </c>
      <c r="Q99" s="42">
        <v>84.48</v>
      </c>
      <c r="R99" s="41">
        <v>-141300</v>
      </c>
      <c r="S99" s="41">
        <v>0</v>
      </c>
      <c r="T99" s="40" t="s">
        <v>269</v>
      </c>
      <c r="U99" s="39" t="s">
        <v>343</v>
      </c>
      <c r="V99" s="38" t="s">
        <v>342</v>
      </c>
      <c r="W99" s="38" t="s">
        <v>342</v>
      </c>
    </row>
    <row r="100" spans="1:23">
      <c r="A100" s="50" t="s">
        <v>359</v>
      </c>
      <c r="B100" s="50" t="s">
        <v>349</v>
      </c>
      <c r="C100" s="49" t="s">
        <v>672</v>
      </c>
      <c r="D100" s="57" t="s">
        <v>338</v>
      </c>
      <c r="E100" s="50" t="s">
        <v>369</v>
      </c>
      <c r="F100" s="49" t="s">
        <v>368</v>
      </c>
      <c r="G100" s="52">
        <v>1.53</v>
      </c>
      <c r="H100" s="52">
        <v>6.9</v>
      </c>
      <c r="I100" s="51">
        <v>79766088</v>
      </c>
      <c r="J100" s="51">
        <v>160938</v>
      </c>
      <c r="K100" s="56">
        <v>495.63</v>
      </c>
      <c r="L100" s="76">
        <v>1380</v>
      </c>
      <c r="M100" s="75" t="s">
        <v>367</v>
      </c>
      <c r="N100" s="74" t="s">
        <v>366</v>
      </c>
      <c r="O100" s="73">
        <v>0.73</v>
      </c>
      <c r="P100" s="51">
        <v>142328352</v>
      </c>
      <c r="Q100" s="52">
        <v>178.43</v>
      </c>
      <c r="R100" s="51">
        <v>1609380</v>
      </c>
      <c r="S100" s="51">
        <v>0</v>
      </c>
      <c r="T100" s="50" t="s">
        <v>269</v>
      </c>
      <c r="U100" s="49" t="s">
        <v>343</v>
      </c>
      <c r="V100" s="48" t="s">
        <v>342</v>
      </c>
      <c r="W100" s="48" t="s">
        <v>342</v>
      </c>
    </row>
    <row r="101" spans="1:23">
      <c r="A101" s="40" t="s">
        <v>358</v>
      </c>
      <c r="B101" s="40" t="s">
        <v>349</v>
      </c>
      <c r="C101" s="39" t="s">
        <v>672</v>
      </c>
      <c r="D101" s="47" t="s">
        <v>338</v>
      </c>
      <c r="E101" s="40" t="s">
        <v>364</v>
      </c>
      <c r="F101" s="39" t="s">
        <v>363</v>
      </c>
      <c r="G101" s="42">
        <v>0.04</v>
      </c>
      <c r="H101" s="42">
        <v>0.22</v>
      </c>
      <c r="I101" s="41">
        <v>10518662</v>
      </c>
      <c r="J101" s="41">
        <v>9813</v>
      </c>
      <c r="K101" s="46">
        <v>1071.9100000000001</v>
      </c>
      <c r="L101" s="70">
        <v>722</v>
      </c>
      <c r="M101" s="69" t="s">
        <v>362</v>
      </c>
      <c r="N101" s="68" t="s">
        <v>361</v>
      </c>
      <c r="O101" s="67">
        <v>5.62</v>
      </c>
      <c r="P101" s="41">
        <v>-3433676</v>
      </c>
      <c r="Q101" s="42">
        <v>-32.64</v>
      </c>
      <c r="R101" s="41">
        <v>-421959</v>
      </c>
      <c r="S101" s="41">
        <v>0</v>
      </c>
      <c r="T101" s="40" t="s">
        <v>269</v>
      </c>
      <c r="U101" s="39" t="s">
        <v>343</v>
      </c>
      <c r="V101" s="38" t="s">
        <v>342</v>
      </c>
      <c r="W101" s="38" t="s">
        <v>342</v>
      </c>
    </row>
    <row r="102" spans="1:23">
      <c r="A102" s="50" t="s">
        <v>355</v>
      </c>
      <c r="B102" s="50" t="s">
        <v>349</v>
      </c>
      <c r="C102" s="49" t="s">
        <v>672</v>
      </c>
      <c r="D102" s="57" t="s">
        <v>338</v>
      </c>
      <c r="E102" s="50" t="s">
        <v>256</v>
      </c>
      <c r="F102" s="49" t="s">
        <v>257</v>
      </c>
      <c r="G102" s="52">
        <v>3.73</v>
      </c>
      <c r="H102" s="52">
        <v>16.760000000000002</v>
      </c>
      <c r="I102" s="51">
        <v>508714410</v>
      </c>
      <c r="J102" s="51">
        <v>500000000</v>
      </c>
      <c r="K102" s="56">
        <v>10174.290000000001</v>
      </c>
      <c r="L102" s="78">
        <v>10782.5</v>
      </c>
      <c r="M102" s="55" t="s">
        <v>269</v>
      </c>
      <c r="N102" s="54" t="s">
        <v>342</v>
      </c>
      <c r="O102" s="53">
        <v>0</v>
      </c>
      <c r="P102" s="51">
        <v>30410590</v>
      </c>
      <c r="Q102" s="52">
        <v>5.98</v>
      </c>
      <c r="R102" s="51">
        <v>0</v>
      </c>
      <c r="S102" s="51">
        <v>0</v>
      </c>
      <c r="T102" s="50" t="s">
        <v>269</v>
      </c>
      <c r="U102" s="49" t="s">
        <v>343</v>
      </c>
      <c r="V102" s="48" t="s">
        <v>342</v>
      </c>
      <c r="W102" s="48" t="s">
        <v>342</v>
      </c>
    </row>
    <row r="103" spans="1:23">
      <c r="A103" s="40" t="s">
        <v>352</v>
      </c>
      <c r="B103" s="40" t="s">
        <v>349</v>
      </c>
      <c r="C103" s="39" t="s">
        <v>672</v>
      </c>
      <c r="D103" s="47" t="s">
        <v>338</v>
      </c>
      <c r="E103" s="40" t="s">
        <v>267</v>
      </c>
      <c r="F103" s="39" t="s">
        <v>268</v>
      </c>
      <c r="G103" s="42">
        <v>3.78</v>
      </c>
      <c r="H103" s="42">
        <v>17.010000000000002</v>
      </c>
      <c r="I103" s="41">
        <v>602324327</v>
      </c>
      <c r="J103" s="41">
        <v>600000000</v>
      </c>
      <c r="K103" s="46">
        <v>10038.74</v>
      </c>
      <c r="L103" s="46">
        <v>9119.15</v>
      </c>
      <c r="M103" s="45" t="s">
        <v>269</v>
      </c>
      <c r="N103" s="44" t="s">
        <v>342</v>
      </c>
      <c r="O103" s="43">
        <v>0</v>
      </c>
      <c r="P103" s="41">
        <v>-55175327</v>
      </c>
      <c r="Q103" s="42">
        <v>-9.16</v>
      </c>
      <c r="R103" s="41">
        <v>0</v>
      </c>
      <c r="S103" s="41">
        <v>0</v>
      </c>
      <c r="T103" s="40" t="s">
        <v>269</v>
      </c>
      <c r="U103" s="39" t="s">
        <v>343</v>
      </c>
      <c r="V103" s="38" t="s">
        <v>342</v>
      </c>
      <c r="W103" s="38" t="s">
        <v>342</v>
      </c>
    </row>
    <row r="104" spans="1:23">
      <c r="A104" s="50" t="s">
        <v>350</v>
      </c>
      <c r="B104" s="50" t="s">
        <v>349</v>
      </c>
      <c r="C104" s="49" t="s">
        <v>672</v>
      </c>
      <c r="D104" s="57" t="s">
        <v>338</v>
      </c>
      <c r="E104" s="50" t="s">
        <v>357</v>
      </c>
      <c r="F104" s="49" t="s">
        <v>356</v>
      </c>
      <c r="G104" s="52">
        <v>3.37</v>
      </c>
      <c r="H104" s="52">
        <v>15.14</v>
      </c>
      <c r="I104" s="51">
        <v>506173247</v>
      </c>
      <c r="J104" s="51">
        <v>500000000</v>
      </c>
      <c r="K104" s="56">
        <v>10123.459999999999</v>
      </c>
      <c r="L104" s="56">
        <v>9742.5300000000007</v>
      </c>
      <c r="M104" s="55" t="s">
        <v>269</v>
      </c>
      <c r="N104" s="54" t="s">
        <v>342</v>
      </c>
      <c r="O104" s="53">
        <v>0</v>
      </c>
      <c r="P104" s="51">
        <v>-19046747</v>
      </c>
      <c r="Q104" s="52">
        <v>-3.76</v>
      </c>
      <c r="R104" s="51">
        <v>0</v>
      </c>
      <c r="S104" s="51">
        <v>0</v>
      </c>
      <c r="T104" s="50" t="s">
        <v>269</v>
      </c>
      <c r="U104" s="49" t="s">
        <v>343</v>
      </c>
      <c r="V104" s="48" t="s">
        <v>342</v>
      </c>
      <c r="W104" s="48" t="s">
        <v>342</v>
      </c>
    </row>
    <row r="105" spans="1:23">
      <c r="A105" s="40" t="s">
        <v>346</v>
      </c>
      <c r="B105" s="40" t="s">
        <v>349</v>
      </c>
      <c r="C105" s="39" t="s">
        <v>672</v>
      </c>
      <c r="D105" s="47" t="s">
        <v>338</v>
      </c>
      <c r="E105" s="40" t="s">
        <v>580</v>
      </c>
      <c r="F105" s="39" t="s">
        <v>579</v>
      </c>
      <c r="G105" s="42">
        <v>2.06</v>
      </c>
      <c r="H105" s="42">
        <v>9.26</v>
      </c>
      <c r="I105" s="41">
        <v>271824078</v>
      </c>
      <c r="J105" s="41">
        <v>300000000</v>
      </c>
      <c r="K105" s="58">
        <v>9060.7999999999993</v>
      </c>
      <c r="L105" s="46">
        <v>9929.8700000000008</v>
      </c>
      <c r="M105" s="45" t="s">
        <v>269</v>
      </c>
      <c r="N105" s="44" t="s">
        <v>342</v>
      </c>
      <c r="O105" s="43">
        <v>0</v>
      </c>
      <c r="P105" s="41">
        <v>26072022</v>
      </c>
      <c r="Q105" s="42">
        <v>9.59</v>
      </c>
      <c r="R105" s="41">
        <v>0</v>
      </c>
      <c r="S105" s="41">
        <v>0</v>
      </c>
      <c r="T105" s="40" t="s">
        <v>269</v>
      </c>
      <c r="U105" s="39" t="s">
        <v>343</v>
      </c>
      <c r="V105" s="38" t="s">
        <v>342</v>
      </c>
      <c r="W105" s="38" t="s">
        <v>342</v>
      </c>
    </row>
    <row r="106" spans="1:23">
      <c r="A106" s="50" t="s">
        <v>595</v>
      </c>
      <c r="B106" s="50" t="s">
        <v>349</v>
      </c>
      <c r="C106" s="49" t="s">
        <v>672</v>
      </c>
      <c r="D106" s="57" t="s">
        <v>338</v>
      </c>
      <c r="E106" s="50" t="s">
        <v>354</v>
      </c>
      <c r="F106" s="49" t="s">
        <v>353</v>
      </c>
      <c r="G106" s="52">
        <v>0.28000000000000003</v>
      </c>
      <c r="H106" s="52">
        <v>1.29</v>
      </c>
      <c r="I106" s="51">
        <v>42655750</v>
      </c>
      <c r="J106" s="51">
        <v>44650000</v>
      </c>
      <c r="K106" s="56">
        <v>9553.36</v>
      </c>
      <c r="L106" s="56">
        <v>9292.81</v>
      </c>
      <c r="M106" s="55" t="s">
        <v>269</v>
      </c>
      <c r="N106" s="54" t="s">
        <v>342</v>
      </c>
      <c r="O106" s="53">
        <v>0</v>
      </c>
      <c r="P106" s="51">
        <v>-1163354</v>
      </c>
      <c r="Q106" s="52">
        <v>-2.73</v>
      </c>
      <c r="R106" s="51">
        <v>1</v>
      </c>
      <c r="S106" s="51">
        <v>0</v>
      </c>
      <c r="T106" s="50" t="s">
        <v>269</v>
      </c>
      <c r="U106" s="49" t="s">
        <v>343</v>
      </c>
      <c r="V106" s="48" t="s">
        <v>342</v>
      </c>
      <c r="W106" s="48" t="s">
        <v>342</v>
      </c>
    </row>
    <row r="107" spans="1:23">
      <c r="A107" s="40" t="s">
        <v>594</v>
      </c>
      <c r="B107" s="40" t="s">
        <v>349</v>
      </c>
      <c r="C107" s="39" t="s">
        <v>672</v>
      </c>
      <c r="D107" s="47" t="s">
        <v>338</v>
      </c>
      <c r="E107" s="40" t="s">
        <v>578</v>
      </c>
      <c r="F107" s="39" t="s">
        <v>577</v>
      </c>
      <c r="G107" s="42">
        <v>0.68</v>
      </c>
      <c r="H107" s="42">
        <v>3.07</v>
      </c>
      <c r="I107" s="41">
        <v>100078804</v>
      </c>
      <c r="J107" s="41">
        <v>100000000</v>
      </c>
      <c r="K107" s="46">
        <v>10007.879999999999</v>
      </c>
      <c r="L107" s="58">
        <v>9883.2999999999993</v>
      </c>
      <c r="M107" s="45" t="s">
        <v>269</v>
      </c>
      <c r="N107" s="44" t="s">
        <v>342</v>
      </c>
      <c r="O107" s="43">
        <v>0</v>
      </c>
      <c r="P107" s="41">
        <v>-1245804</v>
      </c>
      <c r="Q107" s="42">
        <v>-1.24</v>
      </c>
      <c r="R107" s="41">
        <v>0</v>
      </c>
      <c r="S107" s="41">
        <v>0</v>
      </c>
      <c r="T107" s="40" t="s">
        <v>269</v>
      </c>
      <c r="U107" s="39" t="s">
        <v>343</v>
      </c>
      <c r="V107" s="38" t="s">
        <v>342</v>
      </c>
      <c r="W107" s="38" t="s">
        <v>342</v>
      </c>
    </row>
    <row r="108" spans="1:23">
      <c r="A108" s="50" t="s">
        <v>591</v>
      </c>
      <c r="B108" s="50" t="s">
        <v>349</v>
      </c>
      <c r="C108" s="49" t="s">
        <v>672</v>
      </c>
      <c r="D108" s="57" t="s">
        <v>338</v>
      </c>
      <c r="E108" s="50" t="s">
        <v>250</v>
      </c>
      <c r="F108" s="49" t="s">
        <v>351</v>
      </c>
      <c r="G108" s="52">
        <v>3.73</v>
      </c>
      <c r="H108" s="52">
        <v>16.79</v>
      </c>
      <c r="I108" s="51">
        <v>505850489</v>
      </c>
      <c r="J108" s="51">
        <v>500000000</v>
      </c>
      <c r="K108" s="56">
        <v>10117.01</v>
      </c>
      <c r="L108" s="56">
        <v>10800.68</v>
      </c>
      <c r="M108" s="55" t="s">
        <v>269</v>
      </c>
      <c r="N108" s="54" t="s">
        <v>342</v>
      </c>
      <c r="O108" s="53">
        <v>0</v>
      </c>
      <c r="P108" s="51">
        <v>34183511</v>
      </c>
      <c r="Q108" s="52">
        <v>6.76</v>
      </c>
      <c r="R108" s="51">
        <v>0</v>
      </c>
      <c r="S108" s="51">
        <v>0</v>
      </c>
      <c r="T108" s="50" t="s">
        <v>269</v>
      </c>
      <c r="U108" s="49" t="s">
        <v>343</v>
      </c>
      <c r="V108" s="48" t="s">
        <v>342</v>
      </c>
      <c r="W108" s="48" t="s">
        <v>342</v>
      </c>
    </row>
    <row r="109" spans="1:23">
      <c r="A109" s="40" t="s">
        <v>587</v>
      </c>
      <c r="B109" s="40" t="s">
        <v>349</v>
      </c>
      <c r="C109" s="39" t="s">
        <v>672</v>
      </c>
      <c r="D109" s="47" t="s">
        <v>338</v>
      </c>
      <c r="E109" s="40" t="s">
        <v>348</v>
      </c>
      <c r="F109" s="39" t="s">
        <v>347</v>
      </c>
      <c r="G109" s="42">
        <v>1.32</v>
      </c>
      <c r="H109" s="42">
        <v>5.93</v>
      </c>
      <c r="I109" s="41">
        <v>200388635</v>
      </c>
      <c r="J109" s="41">
        <v>200000000</v>
      </c>
      <c r="K109" s="46">
        <v>10019.43</v>
      </c>
      <c r="L109" s="46">
        <v>9538.92</v>
      </c>
      <c r="M109" s="45" t="s">
        <v>269</v>
      </c>
      <c r="N109" s="44" t="s">
        <v>342</v>
      </c>
      <c r="O109" s="43">
        <v>0</v>
      </c>
      <c r="P109" s="41">
        <v>-9610235</v>
      </c>
      <c r="Q109" s="42">
        <v>-4.8</v>
      </c>
      <c r="R109" s="41">
        <v>0</v>
      </c>
      <c r="S109" s="41">
        <v>0</v>
      </c>
      <c r="T109" s="40" t="s">
        <v>269</v>
      </c>
      <c r="U109" s="39" t="s">
        <v>343</v>
      </c>
      <c r="V109" s="38" t="s">
        <v>342</v>
      </c>
      <c r="W109" s="38" t="s">
        <v>342</v>
      </c>
    </row>
    <row r="110" spans="1:23">
      <c r="A110" s="50" t="s">
        <v>582</v>
      </c>
      <c r="B110" s="50" t="s">
        <v>349</v>
      </c>
      <c r="C110" s="49" t="s">
        <v>672</v>
      </c>
      <c r="D110" s="57" t="s">
        <v>338</v>
      </c>
      <c r="E110" s="50" t="s">
        <v>593</v>
      </c>
      <c r="F110" s="49" t="s">
        <v>592</v>
      </c>
      <c r="G110" s="52">
        <v>1.49</v>
      </c>
      <c r="H110" s="52">
        <v>6.69</v>
      </c>
      <c r="I110" s="51">
        <v>210255396</v>
      </c>
      <c r="J110" s="51">
        <v>239148000</v>
      </c>
      <c r="K110" s="56">
        <v>8791.85</v>
      </c>
      <c r="L110" s="56">
        <v>9002.5300000000007</v>
      </c>
      <c r="M110" s="55" t="s">
        <v>269</v>
      </c>
      <c r="N110" s="54" t="s">
        <v>342</v>
      </c>
      <c r="O110" s="53">
        <v>0</v>
      </c>
      <c r="P110" s="51">
        <v>5038308</v>
      </c>
      <c r="Q110" s="52">
        <v>2.4</v>
      </c>
      <c r="R110" s="51">
        <v>0</v>
      </c>
      <c r="S110" s="51">
        <v>0</v>
      </c>
      <c r="T110" s="50" t="s">
        <v>269</v>
      </c>
      <c r="U110" s="49" t="s">
        <v>343</v>
      </c>
      <c r="V110" s="48" t="s">
        <v>342</v>
      </c>
      <c r="W110" s="48" t="s">
        <v>342</v>
      </c>
    </row>
    <row r="111" spans="1:23">
      <c r="A111" s="40" t="s">
        <v>598</v>
      </c>
      <c r="B111" s="40" t="s">
        <v>586</v>
      </c>
      <c r="C111" s="39" t="s">
        <v>590</v>
      </c>
      <c r="D111" s="47" t="s">
        <v>338</v>
      </c>
      <c r="E111" s="40" t="s">
        <v>589</v>
      </c>
      <c r="F111" s="39" t="s">
        <v>588</v>
      </c>
      <c r="G111" s="42">
        <v>0</v>
      </c>
      <c r="H111" s="42">
        <v>76.760000000000005</v>
      </c>
      <c r="I111" s="41">
        <v>24350</v>
      </c>
      <c r="J111" s="41">
        <v>1</v>
      </c>
      <c r="K111" s="41">
        <v>24350</v>
      </c>
      <c r="L111" s="70">
        <v>25610</v>
      </c>
      <c r="M111" s="69" t="s">
        <v>362</v>
      </c>
      <c r="N111" s="68" t="s">
        <v>440</v>
      </c>
      <c r="O111" s="67">
        <v>-0.23</v>
      </c>
      <c r="P111" s="41">
        <v>1260</v>
      </c>
      <c r="Q111" s="42">
        <v>5.17</v>
      </c>
      <c r="R111" s="41">
        <v>-60</v>
      </c>
      <c r="S111" s="41">
        <v>10</v>
      </c>
      <c r="T111" s="40" t="s">
        <v>269</v>
      </c>
      <c r="U111" s="39" t="s">
        <v>343</v>
      </c>
      <c r="V111" s="38" t="s">
        <v>342</v>
      </c>
      <c r="W111" s="38" t="s">
        <v>342</v>
      </c>
    </row>
    <row r="112" spans="1:23">
      <c r="A112" s="50" t="s">
        <v>597</v>
      </c>
      <c r="B112" s="50" t="s">
        <v>586</v>
      </c>
      <c r="C112" s="49" t="s">
        <v>585</v>
      </c>
      <c r="D112" s="57" t="s">
        <v>338</v>
      </c>
      <c r="E112" s="50" t="s">
        <v>584</v>
      </c>
      <c r="F112" s="49" t="s">
        <v>583</v>
      </c>
      <c r="G112" s="52">
        <v>0</v>
      </c>
      <c r="H112" s="52">
        <v>23.23</v>
      </c>
      <c r="I112" s="51">
        <v>8160</v>
      </c>
      <c r="J112" s="51">
        <v>1</v>
      </c>
      <c r="K112" s="51">
        <v>8160</v>
      </c>
      <c r="L112" s="76">
        <v>7750</v>
      </c>
      <c r="M112" s="75" t="s">
        <v>367</v>
      </c>
      <c r="N112" s="74" t="s">
        <v>527</v>
      </c>
      <c r="O112" s="73">
        <v>0.26</v>
      </c>
      <c r="P112" s="51">
        <v>-410</v>
      </c>
      <c r="Q112" s="52">
        <v>-5.0199999999999996</v>
      </c>
      <c r="R112" s="51">
        <v>20</v>
      </c>
      <c r="S112" s="51">
        <v>5</v>
      </c>
      <c r="T112" s="50" t="s">
        <v>269</v>
      </c>
      <c r="U112" s="49" t="s">
        <v>343</v>
      </c>
      <c r="V112" s="48" t="s">
        <v>342</v>
      </c>
      <c r="W112" s="48" t="s">
        <v>342</v>
      </c>
    </row>
    <row r="113" spans="1:23">
      <c r="A113" s="40" t="s">
        <v>596</v>
      </c>
      <c r="B113" s="40" t="s">
        <v>345</v>
      </c>
      <c r="C113" s="39" t="s">
        <v>318</v>
      </c>
      <c r="D113" s="47" t="s">
        <v>338</v>
      </c>
      <c r="E113" s="40" t="s">
        <v>319</v>
      </c>
      <c r="F113" s="39" t="s">
        <v>344</v>
      </c>
      <c r="G113" s="42">
        <v>16.39</v>
      </c>
      <c r="H113" s="42">
        <v>100</v>
      </c>
      <c r="I113" s="41">
        <v>2500000000</v>
      </c>
      <c r="J113" s="41">
        <v>2500000000</v>
      </c>
      <c r="K113" s="41">
        <v>10000</v>
      </c>
      <c r="L113" s="46">
        <v>9471.67</v>
      </c>
      <c r="M113" s="45" t="s">
        <v>269</v>
      </c>
      <c r="N113" s="44" t="s">
        <v>342</v>
      </c>
      <c r="O113" s="43">
        <v>0</v>
      </c>
      <c r="P113" s="41">
        <v>-132082500</v>
      </c>
      <c r="Q113" s="42">
        <v>-5.28</v>
      </c>
      <c r="R113" s="41">
        <v>0</v>
      </c>
      <c r="S113" s="41">
        <v>0</v>
      </c>
      <c r="T113" s="40" t="s">
        <v>269</v>
      </c>
      <c r="U113" s="39" t="s">
        <v>343</v>
      </c>
      <c r="V113" s="38" t="s">
        <v>342</v>
      </c>
      <c r="W113" s="38" t="s">
        <v>342</v>
      </c>
    </row>
    <row r="114" spans="1:23">
      <c r="A114" s="113" t="s">
        <v>341</v>
      </c>
      <c r="B114" s="114"/>
      <c r="C114" s="115"/>
      <c r="D114" s="35" t="s">
        <v>269</v>
      </c>
      <c r="E114" s="35" t="s">
        <v>269</v>
      </c>
      <c r="F114" s="35" t="s">
        <v>269</v>
      </c>
      <c r="G114" s="37">
        <v>186.43</v>
      </c>
      <c r="H114" s="37">
        <v>700</v>
      </c>
      <c r="I114" s="36">
        <v>6330562169</v>
      </c>
      <c r="J114" s="36">
        <v>5484247424</v>
      </c>
      <c r="K114" s="35" t="s">
        <v>269</v>
      </c>
      <c r="L114" s="35" t="s">
        <v>269</v>
      </c>
      <c r="M114" s="116" t="s">
        <v>269</v>
      </c>
      <c r="N114" s="117"/>
      <c r="O114" s="35" t="s">
        <v>269</v>
      </c>
      <c r="P114" s="36">
        <v>487664792</v>
      </c>
      <c r="Q114" s="37">
        <v>463.63</v>
      </c>
      <c r="R114" s="35" t="s">
        <v>269</v>
      </c>
      <c r="S114" s="36">
        <v>137904591</v>
      </c>
      <c r="T114" s="35" t="s">
        <v>269</v>
      </c>
      <c r="U114" s="35" t="s">
        <v>269</v>
      </c>
      <c r="V114" s="35" t="s">
        <v>269</v>
      </c>
      <c r="W114" s="35" t="s">
        <v>269</v>
      </c>
    </row>
  </sheetData>
  <mergeCells count="24">
    <mergeCell ref="J1:J2"/>
    <mergeCell ref="K1:K2"/>
    <mergeCell ref="L1:L2"/>
    <mergeCell ref="A1:A2"/>
    <mergeCell ref="B1:B2"/>
    <mergeCell ref="C1:C2"/>
    <mergeCell ref="D1:D2"/>
    <mergeCell ref="E1:E2"/>
    <mergeCell ref="T1:T2"/>
    <mergeCell ref="U1:U2"/>
    <mergeCell ref="V1:V2"/>
    <mergeCell ref="W1:W2"/>
    <mergeCell ref="A114:C114"/>
    <mergeCell ref="M114:N114"/>
    <mergeCell ref="M1:N2"/>
    <mergeCell ref="O1:O2"/>
    <mergeCell ref="P1:P2"/>
    <mergeCell ref="Q1:Q2"/>
    <mergeCell ref="F1:F2"/>
    <mergeCell ref="R1:R2"/>
    <mergeCell ref="S1:S2"/>
    <mergeCell ref="G1:G2"/>
    <mergeCell ref="H1:H2"/>
    <mergeCell ref="I1:I2"/>
  </mergeCells>
  <phoneticPr fontId="1" type="noConversion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W110"/>
  <sheetViews>
    <sheetView topLeftCell="A84" workbookViewId="0">
      <selection activeCell="C106" sqref="C106"/>
    </sheetView>
  </sheetViews>
  <sheetFormatPr defaultRowHeight="16.5"/>
  <cols>
    <col min="1" max="1" width="3.75" bestFit="1" customWidth="1"/>
    <col min="2" max="2" width="7.5" bestFit="1" customWidth="1"/>
    <col min="3" max="3" width="10.625" bestFit="1" customWidth="1"/>
    <col min="4" max="4" width="4.125" bestFit="1" customWidth="1"/>
    <col min="5" max="5" width="11.625" bestFit="1" customWidth="1"/>
    <col min="6" max="6" width="18.75" bestFit="1" customWidth="1"/>
    <col min="7" max="7" width="10.5" bestFit="1" customWidth="1"/>
    <col min="8" max="8" width="13.875" bestFit="1" customWidth="1"/>
    <col min="9" max="10" width="13" bestFit="1" customWidth="1"/>
    <col min="11" max="11" width="10.25" bestFit="1" customWidth="1"/>
    <col min="12" max="12" width="8.25" bestFit="1" customWidth="1"/>
    <col min="13" max="13" width="2.75" bestFit="1" customWidth="1"/>
    <col min="14" max="14" width="5.75" bestFit="1" customWidth="1"/>
    <col min="15" max="15" width="6" bestFit="1" customWidth="1"/>
    <col min="16" max="16" width="11.375" bestFit="1" customWidth="1"/>
    <col min="17" max="17" width="9.75" bestFit="1" customWidth="1"/>
    <col min="18" max="19" width="11.375" bestFit="1" customWidth="1"/>
    <col min="20" max="20" width="4.75" bestFit="1" customWidth="1"/>
    <col min="21" max="22" width="7.5" bestFit="1" customWidth="1"/>
    <col min="23" max="23" width="4.5" bestFit="1" customWidth="1"/>
  </cols>
  <sheetData>
    <row r="1" spans="1:23">
      <c r="A1" s="111" t="s">
        <v>576</v>
      </c>
      <c r="B1" s="111" t="s">
        <v>575</v>
      </c>
      <c r="C1" s="111" t="s">
        <v>574</v>
      </c>
      <c r="D1" s="111" t="s">
        <v>573</v>
      </c>
      <c r="E1" s="111" t="s">
        <v>572</v>
      </c>
      <c r="F1" s="111" t="s">
        <v>571</v>
      </c>
      <c r="G1" s="111" t="s">
        <v>570</v>
      </c>
      <c r="H1" s="111" t="s">
        <v>569</v>
      </c>
      <c r="I1" s="111" t="s">
        <v>568</v>
      </c>
      <c r="J1" s="111" t="s">
        <v>567</v>
      </c>
      <c r="K1" s="111" t="s">
        <v>566</v>
      </c>
      <c r="L1" s="111" t="s">
        <v>565</v>
      </c>
      <c r="M1" s="118" t="s">
        <v>564</v>
      </c>
      <c r="N1" s="119"/>
      <c r="O1" s="111" t="s">
        <v>563</v>
      </c>
      <c r="P1" s="111" t="s">
        <v>562</v>
      </c>
      <c r="Q1" s="111" t="s">
        <v>561</v>
      </c>
      <c r="R1" s="111" t="s">
        <v>560</v>
      </c>
      <c r="S1" s="111" t="s">
        <v>559</v>
      </c>
      <c r="T1" s="111" t="s">
        <v>558</v>
      </c>
      <c r="U1" s="111" t="s">
        <v>557</v>
      </c>
      <c r="V1" s="111" t="s">
        <v>556</v>
      </c>
      <c r="W1" s="111" t="s">
        <v>555</v>
      </c>
    </row>
    <row r="2" spans="1:23">
      <c r="A2" s="112"/>
      <c r="B2" s="112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20"/>
      <c r="N2" s="121"/>
      <c r="O2" s="112"/>
      <c r="P2" s="112"/>
      <c r="Q2" s="112"/>
      <c r="R2" s="112"/>
      <c r="S2" s="112"/>
      <c r="T2" s="112"/>
      <c r="U2" s="112"/>
      <c r="V2" s="112"/>
      <c r="W2" s="112"/>
    </row>
    <row r="3" spans="1:23">
      <c r="A3" s="81" t="s">
        <v>554</v>
      </c>
      <c r="B3" s="81" t="s">
        <v>399</v>
      </c>
      <c r="C3" s="80" t="s">
        <v>625</v>
      </c>
      <c r="D3" s="89" t="s">
        <v>338</v>
      </c>
      <c r="E3" s="81" t="s">
        <v>0</v>
      </c>
      <c r="F3" s="80" t="s">
        <v>1</v>
      </c>
      <c r="G3" s="83">
        <v>2.79</v>
      </c>
      <c r="H3" s="83">
        <v>3.77</v>
      </c>
      <c r="I3" s="82">
        <v>311131390</v>
      </c>
      <c r="J3" s="82">
        <v>3873</v>
      </c>
      <c r="K3" s="88">
        <v>80333.429999999993</v>
      </c>
      <c r="L3" s="87">
        <v>83400</v>
      </c>
      <c r="M3" s="86" t="s">
        <v>362</v>
      </c>
      <c r="N3" s="85" t="s">
        <v>414</v>
      </c>
      <c r="O3" s="84">
        <v>-0.24</v>
      </c>
      <c r="P3" s="82">
        <v>11876810</v>
      </c>
      <c r="Q3" s="83">
        <v>3.82</v>
      </c>
      <c r="R3" s="82">
        <v>-774600</v>
      </c>
      <c r="S3" s="82">
        <v>1481238</v>
      </c>
      <c r="T3" s="81" t="s">
        <v>269</v>
      </c>
      <c r="U3" s="80" t="s">
        <v>343</v>
      </c>
      <c r="V3" s="79" t="s">
        <v>342</v>
      </c>
      <c r="W3" s="79" t="s">
        <v>342</v>
      </c>
    </row>
    <row r="4" spans="1:23">
      <c r="A4" s="50" t="s">
        <v>553</v>
      </c>
      <c r="B4" s="50" t="s">
        <v>399</v>
      </c>
      <c r="C4" s="49" t="s">
        <v>625</v>
      </c>
      <c r="D4" s="57" t="s">
        <v>338</v>
      </c>
      <c r="E4" s="50" t="s">
        <v>4</v>
      </c>
      <c r="F4" s="49" t="s">
        <v>5</v>
      </c>
      <c r="G4" s="52">
        <v>2.15</v>
      </c>
      <c r="H4" s="52">
        <v>2.9</v>
      </c>
      <c r="I4" s="51">
        <v>236415020</v>
      </c>
      <c r="J4" s="51">
        <v>6416</v>
      </c>
      <c r="K4" s="56">
        <v>36847.730000000003</v>
      </c>
      <c r="L4" s="62">
        <v>38850</v>
      </c>
      <c r="M4" s="61" t="s">
        <v>362</v>
      </c>
      <c r="N4" s="60" t="s">
        <v>453</v>
      </c>
      <c r="O4" s="59">
        <v>-0.13</v>
      </c>
      <c r="P4" s="51">
        <v>12846580</v>
      </c>
      <c r="Q4" s="52">
        <v>5.43</v>
      </c>
      <c r="R4" s="51">
        <v>-320800</v>
      </c>
      <c r="S4" s="51">
        <v>1057224</v>
      </c>
      <c r="T4" s="50" t="s">
        <v>269</v>
      </c>
      <c r="U4" s="49" t="s">
        <v>343</v>
      </c>
      <c r="V4" s="48" t="s">
        <v>342</v>
      </c>
      <c r="W4" s="48" t="s">
        <v>342</v>
      </c>
    </row>
    <row r="5" spans="1:23">
      <c r="A5" s="40" t="s">
        <v>552</v>
      </c>
      <c r="B5" s="40" t="s">
        <v>399</v>
      </c>
      <c r="C5" s="39" t="s">
        <v>625</v>
      </c>
      <c r="D5" s="47" t="s">
        <v>338</v>
      </c>
      <c r="E5" s="40" t="s">
        <v>324</v>
      </c>
      <c r="F5" s="39" t="s">
        <v>325</v>
      </c>
      <c r="G5" s="42">
        <v>1.06</v>
      </c>
      <c r="H5" s="42">
        <v>1.43</v>
      </c>
      <c r="I5" s="41">
        <v>128766630</v>
      </c>
      <c r="J5" s="41">
        <v>465</v>
      </c>
      <c r="K5" s="46">
        <v>276917.48</v>
      </c>
      <c r="L5" s="70">
        <v>264000</v>
      </c>
      <c r="M5" s="69" t="s">
        <v>362</v>
      </c>
      <c r="N5" s="68" t="s">
        <v>398</v>
      </c>
      <c r="O5" s="67">
        <v>-0.75</v>
      </c>
      <c r="P5" s="41">
        <v>-6006630</v>
      </c>
      <c r="Q5" s="42">
        <v>-4.66</v>
      </c>
      <c r="R5" s="41">
        <v>-930000</v>
      </c>
      <c r="S5" s="41">
        <v>128630</v>
      </c>
      <c r="T5" s="40" t="s">
        <v>269</v>
      </c>
      <c r="U5" s="39" t="s">
        <v>343</v>
      </c>
      <c r="V5" s="38" t="s">
        <v>342</v>
      </c>
      <c r="W5" s="38" t="s">
        <v>342</v>
      </c>
    </row>
    <row r="6" spans="1:23">
      <c r="A6" s="50" t="s">
        <v>551</v>
      </c>
      <c r="B6" s="50" t="s">
        <v>399</v>
      </c>
      <c r="C6" s="49" t="s">
        <v>625</v>
      </c>
      <c r="D6" s="57" t="s">
        <v>338</v>
      </c>
      <c r="E6" s="50" t="s">
        <v>6</v>
      </c>
      <c r="F6" s="49" t="s">
        <v>7</v>
      </c>
      <c r="G6" s="52">
        <v>3.41</v>
      </c>
      <c r="H6" s="52">
        <v>4.6100000000000003</v>
      </c>
      <c r="I6" s="51">
        <v>418243576</v>
      </c>
      <c r="J6" s="51">
        <v>11491</v>
      </c>
      <c r="K6" s="56">
        <v>36397.49</v>
      </c>
      <c r="L6" s="62">
        <v>34400</v>
      </c>
      <c r="M6" s="61" t="s">
        <v>362</v>
      </c>
      <c r="N6" s="60" t="s">
        <v>401</v>
      </c>
      <c r="O6" s="59">
        <v>-0.43</v>
      </c>
      <c r="P6" s="51">
        <v>-22953176</v>
      </c>
      <c r="Q6" s="52">
        <v>-5.49</v>
      </c>
      <c r="R6" s="51">
        <v>-1723650</v>
      </c>
      <c r="S6" s="51">
        <v>1004024</v>
      </c>
      <c r="T6" s="50" t="s">
        <v>269</v>
      </c>
      <c r="U6" s="49" t="s">
        <v>343</v>
      </c>
      <c r="V6" s="48" t="s">
        <v>342</v>
      </c>
      <c r="W6" s="48" t="s">
        <v>342</v>
      </c>
    </row>
    <row r="7" spans="1:23">
      <c r="A7" s="40" t="s">
        <v>550</v>
      </c>
      <c r="B7" s="40" t="s">
        <v>399</v>
      </c>
      <c r="C7" s="39" t="s">
        <v>625</v>
      </c>
      <c r="D7" s="47" t="s">
        <v>338</v>
      </c>
      <c r="E7" s="40" t="s">
        <v>314</v>
      </c>
      <c r="F7" s="39" t="s">
        <v>315</v>
      </c>
      <c r="G7" s="42">
        <v>2.15</v>
      </c>
      <c r="H7" s="42">
        <v>2.91</v>
      </c>
      <c r="I7" s="41">
        <v>237377810</v>
      </c>
      <c r="J7" s="41">
        <v>21001</v>
      </c>
      <c r="K7" s="46">
        <v>11303.17</v>
      </c>
      <c r="L7" s="70">
        <v>11900</v>
      </c>
      <c r="M7" s="69" t="s">
        <v>362</v>
      </c>
      <c r="N7" s="68" t="s">
        <v>443</v>
      </c>
      <c r="O7" s="67">
        <v>-2.06</v>
      </c>
      <c r="P7" s="41">
        <v>12534090</v>
      </c>
      <c r="Q7" s="42">
        <v>5.28</v>
      </c>
      <c r="R7" s="41">
        <v>-5250250</v>
      </c>
      <c r="S7" s="41">
        <v>183360</v>
      </c>
      <c r="T7" s="40" t="s">
        <v>269</v>
      </c>
      <c r="U7" s="39" t="s">
        <v>343</v>
      </c>
      <c r="V7" s="38" t="s">
        <v>342</v>
      </c>
      <c r="W7" s="38" t="s">
        <v>342</v>
      </c>
    </row>
    <row r="8" spans="1:23">
      <c r="A8" s="50" t="s">
        <v>549</v>
      </c>
      <c r="B8" s="50" t="s">
        <v>399</v>
      </c>
      <c r="C8" s="49" t="s">
        <v>625</v>
      </c>
      <c r="D8" s="57" t="s">
        <v>338</v>
      </c>
      <c r="E8" s="50" t="s">
        <v>284</v>
      </c>
      <c r="F8" s="49" t="s">
        <v>285</v>
      </c>
      <c r="G8" s="52">
        <v>2.1</v>
      </c>
      <c r="H8" s="52">
        <v>2.83</v>
      </c>
      <c r="I8" s="51">
        <v>264827010</v>
      </c>
      <c r="J8" s="51">
        <v>3774</v>
      </c>
      <c r="K8" s="56">
        <v>70171.44</v>
      </c>
      <c r="L8" s="51">
        <v>64400</v>
      </c>
      <c r="M8" s="55" t="s">
        <v>269</v>
      </c>
      <c r="N8" s="54" t="s">
        <v>342</v>
      </c>
      <c r="O8" s="53">
        <v>0</v>
      </c>
      <c r="P8" s="51">
        <v>-21781410</v>
      </c>
      <c r="Q8" s="52">
        <v>-8.2200000000000006</v>
      </c>
      <c r="R8" s="51">
        <v>0</v>
      </c>
      <c r="S8" s="51">
        <v>741308</v>
      </c>
      <c r="T8" s="50" t="s">
        <v>269</v>
      </c>
      <c r="U8" s="49" t="s">
        <v>343</v>
      </c>
      <c r="V8" s="48" t="s">
        <v>342</v>
      </c>
      <c r="W8" s="48" t="s">
        <v>342</v>
      </c>
    </row>
    <row r="9" spans="1:23">
      <c r="A9" s="40" t="s">
        <v>548</v>
      </c>
      <c r="B9" s="40" t="s">
        <v>399</v>
      </c>
      <c r="C9" s="39" t="s">
        <v>625</v>
      </c>
      <c r="D9" s="47" t="s">
        <v>338</v>
      </c>
      <c r="E9" s="40" t="s">
        <v>14</v>
      </c>
      <c r="F9" s="39" t="s">
        <v>15</v>
      </c>
      <c r="G9" s="42">
        <v>1.1100000000000001</v>
      </c>
      <c r="H9" s="42">
        <v>1.5</v>
      </c>
      <c r="I9" s="41">
        <v>122587823</v>
      </c>
      <c r="J9" s="41">
        <v>966</v>
      </c>
      <c r="K9" s="46">
        <v>126902.51</v>
      </c>
      <c r="L9" s="66">
        <v>133500</v>
      </c>
      <c r="M9" s="65" t="s">
        <v>367</v>
      </c>
      <c r="N9" s="64" t="s">
        <v>382</v>
      </c>
      <c r="O9" s="63">
        <v>1.1399999999999999</v>
      </c>
      <c r="P9" s="41">
        <v>6373177</v>
      </c>
      <c r="Q9" s="42">
        <v>5.2</v>
      </c>
      <c r="R9" s="41">
        <v>1449000</v>
      </c>
      <c r="S9" s="41">
        <v>2266408</v>
      </c>
      <c r="T9" s="40" t="s">
        <v>269</v>
      </c>
      <c r="U9" s="39" t="s">
        <v>343</v>
      </c>
      <c r="V9" s="38" t="s">
        <v>342</v>
      </c>
      <c r="W9" s="38" t="s">
        <v>342</v>
      </c>
    </row>
    <row r="10" spans="1:23">
      <c r="A10" s="50" t="s">
        <v>547</v>
      </c>
      <c r="B10" s="50" t="s">
        <v>399</v>
      </c>
      <c r="C10" s="49" t="s">
        <v>625</v>
      </c>
      <c r="D10" s="57" t="s">
        <v>338</v>
      </c>
      <c r="E10" s="50" t="s">
        <v>16</v>
      </c>
      <c r="F10" s="49" t="s">
        <v>17</v>
      </c>
      <c r="G10" s="52">
        <v>2.2000000000000002</v>
      </c>
      <c r="H10" s="52">
        <v>2.97</v>
      </c>
      <c r="I10" s="51">
        <v>235744157</v>
      </c>
      <c r="J10" s="51">
        <v>1147</v>
      </c>
      <c r="K10" s="56">
        <v>205531.09</v>
      </c>
      <c r="L10" s="62">
        <v>222500</v>
      </c>
      <c r="M10" s="61" t="s">
        <v>362</v>
      </c>
      <c r="N10" s="60" t="s">
        <v>398</v>
      </c>
      <c r="O10" s="59">
        <v>-0.89</v>
      </c>
      <c r="P10" s="51">
        <v>19463343</v>
      </c>
      <c r="Q10" s="52">
        <v>8.26</v>
      </c>
      <c r="R10" s="51">
        <v>-2294000</v>
      </c>
      <c r="S10" s="51">
        <v>2564760</v>
      </c>
      <c r="T10" s="50" t="s">
        <v>269</v>
      </c>
      <c r="U10" s="49" t="s">
        <v>343</v>
      </c>
      <c r="V10" s="48" t="s">
        <v>342</v>
      </c>
      <c r="W10" s="48" t="s">
        <v>342</v>
      </c>
    </row>
    <row r="11" spans="1:23">
      <c r="A11" s="40" t="s">
        <v>546</v>
      </c>
      <c r="B11" s="40" t="s">
        <v>399</v>
      </c>
      <c r="C11" s="39" t="s">
        <v>625</v>
      </c>
      <c r="D11" s="47" t="s">
        <v>338</v>
      </c>
      <c r="E11" s="40" t="s">
        <v>20</v>
      </c>
      <c r="F11" s="39" t="s">
        <v>21</v>
      </c>
      <c r="G11" s="42">
        <v>5.29</v>
      </c>
      <c r="H11" s="42">
        <v>7.14</v>
      </c>
      <c r="I11" s="41">
        <v>523819530</v>
      </c>
      <c r="J11" s="41">
        <v>380</v>
      </c>
      <c r="K11" s="46">
        <v>1378472.45</v>
      </c>
      <c r="L11" s="70">
        <v>1612000</v>
      </c>
      <c r="M11" s="69" t="s">
        <v>362</v>
      </c>
      <c r="N11" s="68" t="s">
        <v>545</v>
      </c>
      <c r="O11" s="67">
        <v>-1.65</v>
      </c>
      <c r="P11" s="41">
        <v>88740470</v>
      </c>
      <c r="Q11" s="42">
        <v>16.940000000000001</v>
      </c>
      <c r="R11" s="41">
        <v>-10260000</v>
      </c>
      <c r="S11" s="41">
        <v>3595096</v>
      </c>
      <c r="T11" s="40" t="s">
        <v>269</v>
      </c>
      <c r="U11" s="39" t="s">
        <v>343</v>
      </c>
      <c r="V11" s="38" t="s">
        <v>342</v>
      </c>
      <c r="W11" s="38" t="s">
        <v>342</v>
      </c>
    </row>
    <row r="12" spans="1:23">
      <c r="A12" s="50" t="s">
        <v>366</v>
      </c>
      <c r="B12" s="50" t="s">
        <v>399</v>
      </c>
      <c r="C12" s="49" t="s">
        <v>625</v>
      </c>
      <c r="D12" s="57" t="s">
        <v>338</v>
      </c>
      <c r="E12" s="50" t="s">
        <v>286</v>
      </c>
      <c r="F12" s="49" t="s">
        <v>287</v>
      </c>
      <c r="G12" s="52">
        <v>0.55000000000000004</v>
      </c>
      <c r="H12" s="52">
        <v>0.74</v>
      </c>
      <c r="I12" s="51">
        <v>55567241</v>
      </c>
      <c r="J12" s="51">
        <v>3368</v>
      </c>
      <c r="K12" s="56">
        <v>16498.59</v>
      </c>
      <c r="L12" s="62">
        <v>18900</v>
      </c>
      <c r="M12" s="61" t="s">
        <v>362</v>
      </c>
      <c r="N12" s="60" t="s">
        <v>453</v>
      </c>
      <c r="O12" s="59">
        <v>-0.26</v>
      </c>
      <c r="P12" s="51">
        <v>8087959</v>
      </c>
      <c r="Q12" s="52">
        <v>14.56</v>
      </c>
      <c r="R12" s="51">
        <v>-168400</v>
      </c>
      <c r="S12" s="51">
        <v>1022462</v>
      </c>
      <c r="T12" s="50" t="s">
        <v>269</v>
      </c>
      <c r="U12" s="49" t="s">
        <v>343</v>
      </c>
      <c r="V12" s="48" t="s">
        <v>342</v>
      </c>
      <c r="W12" s="48" t="s">
        <v>342</v>
      </c>
    </row>
    <row r="13" spans="1:23">
      <c r="A13" s="40" t="s">
        <v>544</v>
      </c>
      <c r="B13" s="40" t="s">
        <v>399</v>
      </c>
      <c r="C13" s="39" t="s">
        <v>625</v>
      </c>
      <c r="D13" s="47" t="s">
        <v>338</v>
      </c>
      <c r="E13" s="40" t="s">
        <v>543</v>
      </c>
      <c r="F13" s="39" t="s">
        <v>542</v>
      </c>
      <c r="G13" s="42">
        <v>2.02</v>
      </c>
      <c r="H13" s="42">
        <v>2.73</v>
      </c>
      <c r="I13" s="41">
        <v>218518385</v>
      </c>
      <c r="J13" s="41">
        <v>7928</v>
      </c>
      <c r="K13" s="46">
        <v>27562.86</v>
      </c>
      <c r="L13" s="70">
        <v>29600</v>
      </c>
      <c r="M13" s="69" t="s">
        <v>362</v>
      </c>
      <c r="N13" s="68" t="s">
        <v>453</v>
      </c>
      <c r="O13" s="67">
        <v>-0.17</v>
      </c>
      <c r="P13" s="41">
        <v>16150415</v>
      </c>
      <c r="Q13" s="42">
        <v>7.39</v>
      </c>
      <c r="R13" s="41">
        <v>-396400</v>
      </c>
      <c r="S13" s="41">
        <v>1606648</v>
      </c>
      <c r="T13" s="40" t="s">
        <v>269</v>
      </c>
      <c r="U13" s="39" t="s">
        <v>343</v>
      </c>
      <c r="V13" s="38" t="s">
        <v>342</v>
      </c>
      <c r="W13" s="38" t="s">
        <v>342</v>
      </c>
    </row>
    <row r="14" spans="1:23">
      <c r="A14" s="50" t="s">
        <v>541</v>
      </c>
      <c r="B14" s="50" t="s">
        <v>399</v>
      </c>
      <c r="C14" s="49" t="s">
        <v>625</v>
      </c>
      <c r="D14" s="57" t="s">
        <v>338</v>
      </c>
      <c r="E14" s="50" t="s">
        <v>303</v>
      </c>
      <c r="F14" s="49" t="s">
        <v>304</v>
      </c>
      <c r="G14" s="52">
        <v>0</v>
      </c>
      <c r="H14" s="52">
        <v>0</v>
      </c>
      <c r="I14" s="51">
        <v>2781714</v>
      </c>
      <c r="J14" s="51">
        <v>0</v>
      </c>
      <c r="K14" s="51">
        <v>0</v>
      </c>
      <c r="L14" s="62">
        <v>1365</v>
      </c>
      <c r="M14" s="61" t="s">
        <v>362</v>
      </c>
      <c r="N14" s="60" t="s">
        <v>527</v>
      </c>
      <c r="O14" s="59">
        <v>-1.44</v>
      </c>
      <c r="P14" s="51">
        <v>-2781714</v>
      </c>
      <c r="Q14" s="52">
        <v>-5.29</v>
      </c>
      <c r="R14" s="51">
        <v>179060</v>
      </c>
      <c r="S14" s="51">
        <v>99720</v>
      </c>
      <c r="T14" s="50" t="s">
        <v>269</v>
      </c>
      <c r="U14" s="49" t="s">
        <v>343</v>
      </c>
      <c r="V14" s="48" t="s">
        <v>342</v>
      </c>
      <c r="W14" s="48" t="s">
        <v>342</v>
      </c>
    </row>
    <row r="15" spans="1:23">
      <c r="A15" s="40" t="s">
        <v>539</v>
      </c>
      <c r="B15" s="40" t="s">
        <v>399</v>
      </c>
      <c r="C15" s="39" t="s">
        <v>625</v>
      </c>
      <c r="D15" s="47" t="s">
        <v>338</v>
      </c>
      <c r="E15" s="40" t="s">
        <v>24</v>
      </c>
      <c r="F15" s="39" t="s">
        <v>25</v>
      </c>
      <c r="G15" s="42">
        <v>1.72</v>
      </c>
      <c r="H15" s="42">
        <v>2.3199999999999998</v>
      </c>
      <c r="I15" s="41">
        <v>188779980</v>
      </c>
      <c r="J15" s="41">
        <v>2976</v>
      </c>
      <c r="K15" s="46">
        <v>63434.13</v>
      </c>
      <c r="L15" s="66">
        <v>67000</v>
      </c>
      <c r="M15" s="65" t="s">
        <v>367</v>
      </c>
      <c r="N15" s="64" t="s">
        <v>540</v>
      </c>
      <c r="O15" s="63">
        <v>1.36</v>
      </c>
      <c r="P15" s="41">
        <v>10612020</v>
      </c>
      <c r="Q15" s="42">
        <v>5.62</v>
      </c>
      <c r="R15" s="41">
        <v>2678400</v>
      </c>
      <c r="S15" s="41">
        <v>966112</v>
      </c>
      <c r="T15" s="40" t="s">
        <v>269</v>
      </c>
      <c r="U15" s="39" t="s">
        <v>343</v>
      </c>
      <c r="V15" s="38" t="s">
        <v>342</v>
      </c>
      <c r="W15" s="38" t="s">
        <v>342</v>
      </c>
    </row>
    <row r="16" spans="1:23">
      <c r="A16" s="50" t="s">
        <v>538</v>
      </c>
      <c r="B16" s="50" t="s">
        <v>399</v>
      </c>
      <c r="C16" s="49" t="s">
        <v>625</v>
      </c>
      <c r="D16" s="57" t="s">
        <v>338</v>
      </c>
      <c r="E16" s="50" t="s">
        <v>28</v>
      </c>
      <c r="F16" s="49" t="s">
        <v>29</v>
      </c>
      <c r="G16" s="52">
        <v>1.25</v>
      </c>
      <c r="H16" s="52">
        <v>1.69</v>
      </c>
      <c r="I16" s="51">
        <v>100144965</v>
      </c>
      <c r="J16" s="51">
        <v>2530</v>
      </c>
      <c r="K16" s="56">
        <v>39582.99</v>
      </c>
      <c r="L16" s="62">
        <v>57400</v>
      </c>
      <c r="M16" s="61" t="s">
        <v>362</v>
      </c>
      <c r="N16" s="60" t="s">
        <v>355</v>
      </c>
      <c r="O16" s="59">
        <v>-0.17</v>
      </c>
      <c r="P16" s="51">
        <v>45077035</v>
      </c>
      <c r="Q16" s="52">
        <v>45.01</v>
      </c>
      <c r="R16" s="51">
        <v>-253000</v>
      </c>
      <c r="S16" s="51">
        <v>664882</v>
      </c>
      <c r="T16" s="50" t="s">
        <v>269</v>
      </c>
      <c r="U16" s="49" t="s">
        <v>343</v>
      </c>
      <c r="V16" s="48" t="s">
        <v>342</v>
      </c>
      <c r="W16" s="48" t="s">
        <v>342</v>
      </c>
    </row>
    <row r="17" spans="1:23">
      <c r="A17" s="40" t="s">
        <v>537</v>
      </c>
      <c r="B17" s="40" t="s">
        <v>399</v>
      </c>
      <c r="C17" s="39" t="s">
        <v>625</v>
      </c>
      <c r="D17" s="47" t="s">
        <v>338</v>
      </c>
      <c r="E17" s="40" t="s">
        <v>30</v>
      </c>
      <c r="F17" s="39" t="s">
        <v>31</v>
      </c>
      <c r="G17" s="42">
        <v>1.05</v>
      </c>
      <c r="H17" s="42">
        <v>1.41</v>
      </c>
      <c r="I17" s="41">
        <v>129030706</v>
      </c>
      <c r="J17" s="41">
        <v>248</v>
      </c>
      <c r="K17" s="58">
        <v>520285.1</v>
      </c>
      <c r="L17" s="66">
        <v>490000</v>
      </c>
      <c r="M17" s="65" t="s">
        <v>367</v>
      </c>
      <c r="N17" s="64" t="s">
        <v>451</v>
      </c>
      <c r="O17" s="63">
        <v>0.82</v>
      </c>
      <c r="P17" s="41">
        <v>-7510706</v>
      </c>
      <c r="Q17" s="42">
        <v>-5.82</v>
      </c>
      <c r="R17" s="41">
        <v>992000</v>
      </c>
      <c r="S17" s="41">
        <v>2354330</v>
      </c>
      <c r="T17" s="40" t="s">
        <v>269</v>
      </c>
      <c r="U17" s="39" t="s">
        <v>343</v>
      </c>
      <c r="V17" s="38" t="s">
        <v>342</v>
      </c>
      <c r="W17" s="38" t="s">
        <v>342</v>
      </c>
    </row>
    <row r="18" spans="1:23">
      <c r="A18" s="50" t="s">
        <v>534</v>
      </c>
      <c r="B18" s="50" t="s">
        <v>399</v>
      </c>
      <c r="C18" s="49" t="s">
        <v>625</v>
      </c>
      <c r="D18" s="57" t="s">
        <v>338</v>
      </c>
      <c r="E18" s="50" t="s">
        <v>536</v>
      </c>
      <c r="F18" s="49" t="s">
        <v>535</v>
      </c>
      <c r="G18" s="52">
        <v>1.21</v>
      </c>
      <c r="H18" s="52">
        <v>1.63</v>
      </c>
      <c r="I18" s="51">
        <v>154095770</v>
      </c>
      <c r="J18" s="51">
        <v>2602</v>
      </c>
      <c r="K18" s="56">
        <v>59222.05</v>
      </c>
      <c r="L18" s="76">
        <v>53900</v>
      </c>
      <c r="M18" s="75" t="s">
        <v>367</v>
      </c>
      <c r="N18" s="74" t="s">
        <v>371</v>
      </c>
      <c r="O18" s="73">
        <v>0.56000000000000005</v>
      </c>
      <c r="P18" s="51">
        <v>-13847970</v>
      </c>
      <c r="Q18" s="52">
        <v>-8.99</v>
      </c>
      <c r="R18" s="51">
        <v>780600</v>
      </c>
      <c r="S18" s="51">
        <v>1466752</v>
      </c>
      <c r="T18" s="50" t="s">
        <v>269</v>
      </c>
      <c r="U18" s="49" t="s">
        <v>343</v>
      </c>
      <c r="V18" s="48" t="s">
        <v>342</v>
      </c>
      <c r="W18" s="48" t="s">
        <v>342</v>
      </c>
    </row>
    <row r="19" spans="1:23">
      <c r="A19" s="40" t="s">
        <v>531</v>
      </c>
      <c r="B19" s="40" t="s">
        <v>399</v>
      </c>
      <c r="C19" s="39" t="s">
        <v>625</v>
      </c>
      <c r="D19" s="47" t="s">
        <v>338</v>
      </c>
      <c r="E19" s="40" t="s">
        <v>533</v>
      </c>
      <c r="F19" s="39" t="s">
        <v>532</v>
      </c>
      <c r="G19" s="42">
        <v>1.63</v>
      </c>
      <c r="H19" s="42">
        <v>2.21</v>
      </c>
      <c r="I19" s="41">
        <v>183285474</v>
      </c>
      <c r="J19" s="41">
        <v>733</v>
      </c>
      <c r="K19" s="58">
        <v>250048.4</v>
      </c>
      <c r="L19" s="66">
        <v>258500</v>
      </c>
      <c r="M19" s="65" t="s">
        <v>367</v>
      </c>
      <c r="N19" s="64" t="s">
        <v>437</v>
      </c>
      <c r="O19" s="63">
        <v>1.97</v>
      </c>
      <c r="P19" s="41">
        <v>6195026</v>
      </c>
      <c r="Q19" s="42">
        <v>3.38</v>
      </c>
      <c r="R19" s="41">
        <v>3665000</v>
      </c>
      <c r="S19" s="41">
        <v>1420108</v>
      </c>
      <c r="T19" s="40" t="s">
        <v>269</v>
      </c>
      <c r="U19" s="39" t="s">
        <v>343</v>
      </c>
      <c r="V19" s="38" t="s">
        <v>342</v>
      </c>
      <c r="W19" s="38" t="s">
        <v>342</v>
      </c>
    </row>
    <row r="20" spans="1:23">
      <c r="A20" s="50" t="s">
        <v>530</v>
      </c>
      <c r="B20" s="50" t="s">
        <v>399</v>
      </c>
      <c r="C20" s="49" t="s">
        <v>625</v>
      </c>
      <c r="D20" s="57" t="s">
        <v>338</v>
      </c>
      <c r="E20" s="50" t="s">
        <v>272</v>
      </c>
      <c r="F20" s="49" t="s">
        <v>273</v>
      </c>
      <c r="G20" s="52">
        <v>1.1000000000000001</v>
      </c>
      <c r="H20" s="52">
        <v>1.48</v>
      </c>
      <c r="I20" s="51">
        <v>110402714</v>
      </c>
      <c r="J20" s="51">
        <v>2246</v>
      </c>
      <c r="K20" s="56">
        <v>49155.26</v>
      </c>
      <c r="L20" s="62">
        <v>56700</v>
      </c>
      <c r="M20" s="61" t="s">
        <v>362</v>
      </c>
      <c r="N20" s="60" t="s">
        <v>528</v>
      </c>
      <c r="O20" s="59">
        <v>-2.74</v>
      </c>
      <c r="P20" s="51">
        <v>16945486</v>
      </c>
      <c r="Q20" s="52">
        <v>15.35</v>
      </c>
      <c r="R20" s="51">
        <v>-3593600</v>
      </c>
      <c r="S20" s="51">
        <v>182654</v>
      </c>
      <c r="T20" s="50" t="s">
        <v>269</v>
      </c>
      <c r="U20" s="49" t="s">
        <v>343</v>
      </c>
      <c r="V20" s="48" t="s">
        <v>342</v>
      </c>
      <c r="W20" s="48" t="s">
        <v>342</v>
      </c>
    </row>
    <row r="21" spans="1:23">
      <c r="A21" s="40" t="s">
        <v>529</v>
      </c>
      <c r="B21" s="40" t="s">
        <v>399</v>
      </c>
      <c r="C21" s="39" t="s">
        <v>625</v>
      </c>
      <c r="D21" s="47" t="s">
        <v>338</v>
      </c>
      <c r="E21" s="40" t="s">
        <v>36</v>
      </c>
      <c r="F21" s="39" t="s">
        <v>37</v>
      </c>
      <c r="G21" s="42">
        <v>0.79</v>
      </c>
      <c r="H21" s="42">
        <v>1.07</v>
      </c>
      <c r="I21" s="41">
        <v>140729907</v>
      </c>
      <c r="J21" s="41">
        <v>1009</v>
      </c>
      <c r="K21" s="46">
        <v>139474.64000000001</v>
      </c>
      <c r="L21" s="70">
        <v>90900</v>
      </c>
      <c r="M21" s="69" t="s">
        <v>362</v>
      </c>
      <c r="N21" s="68" t="s">
        <v>391</v>
      </c>
      <c r="O21" s="67">
        <v>-0.87</v>
      </c>
      <c r="P21" s="41">
        <v>-49011807</v>
      </c>
      <c r="Q21" s="42">
        <v>-28.48</v>
      </c>
      <c r="R21" s="41">
        <v>-435400</v>
      </c>
      <c r="S21" s="41">
        <v>221680</v>
      </c>
      <c r="T21" s="40" t="s">
        <v>269</v>
      </c>
      <c r="U21" s="39" t="s">
        <v>343</v>
      </c>
      <c r="V21" s="38" t="s">
        <v>342</v>
      </c>
      <c r="W21" s="38" t="s">
        <v>342</v>
      </c>
    </row>
    <row r="22" spans="1:23">
      <c r="A22" s="50" t="s">
        <v>527</v>
      </c>
      <c r="B22" s="50" t="s">
        <v>399</v>
      </c>
      <c r="C22" s="49" t="s">
        <v>625</v>
      </c>
      <c r="D22" s="57" t="s">
        <v>338</v>
      </c>
      <c r="E22" s="50" t="s">
        <v>258</v>
      </c>
      <c r="F22" s="49" t="s">
        <v>259</v>
      </c>
      <c r="G22" s="52">
        <v>3.55</v>
      </c>
      <c r="H22" s="52">
        <v>4.79</v>
      </c>
      <c r="I22" s="51">
        <v>361651130</v>
      </c>
      <c r="J22" s="51">
        <v>5830</v>
      </c>
      <c r="K22" s="56">
        <v>62032.78</v>
      </c>
      <c r="L22" s="76">
        <v>70500</v>
      </c>
      <c r="M22" s="75" t="s">
        <v>367</v>
      </c>
      <c r="N22" s="74" t="s">
        <v>528</v>
      </c>
      <c r="O22" s="73">
        <v>2.3199999999999998</v>
      </c>
      <c r="P22" s="51">
        <v>49363870</v>
      </c>
      <c r="Q22" s="52">
        <v>13.65</v>
      </c>
      <c r="R22" s="51">
        <v>9328000</v>
      </c>
      <c r="S22" s="51">
        <v>538520</v>
      </c>
      <c r="T22" s="50" t="s">
        <v>269</v>
      </c>
      <c r="U22" s="49" t="s">
        <v>343</v>
      </c>
      <c r="V22" s="48" t="s">
        <v>342</v>
      </c>
      <c r="W22" s="48" t="s">
        <v>342</v>
      </c>
    </row>
    <row r="23" spans="1:23">
      <c r="A23" s="40" t="s">
        <v>526</v>
      </c>
      <c r="B23" s="40" t="s">
        <v>399</v>
      </c>
      <c r="C23" s="39" t="s">
        <v>625</v>
      </c>
      <c r="D23" s="47" t="s">
        <v>338</v>
      </c>
      <c r="E23" s="40" t="s">
        <v>328</v>
      </c>
      <c r="F23" s="39" t="s">
        <v>329</v>
      </c>
      <c r="G23" s="42">
        <v>1.34</v>
      </c>
      <c r="H23" s="42">
        <v>1.81</v>
      </c>
      <c r="I23" s="41">
        <v>158217698</v>
      </c>
      <c r="J23" s="41">
        <v>27858</v>
      </c>
      <c r="K23" s="46">
        <v>5679.43</v>
      </c>
      <c r="L23" s="70">
        <v>5590</v>
      </c>
      <c r="M23" s="69" t="s">
        <v>362</v>
      </c>
      <c r="N23" s="68" t="s">
        <v>355</v>
      </c>
      <c r="O23" s="67">
        <v>-1.76</v>
      </c>
      <c r="P23" s="41">
        <v>-2491478</v>
      </c>
      <c r="Q23" s="42">
        <v>-1.57</v>
      </c>
      <c r="R23" s="41">
        <v>-2785800</v>
      </c>
      <c r="S23" s="41">
        <v>243495</v>
      </c>
      <c r="T23" s="40" t="s">
        <v>269</v>
      </c>
      <c r="U23" s="39" t="s">
        <v>343</v>
      </c>
      <c r="V23" s="38" t="s">
        <v>342</v>
      </c>
      <c r="W23" s="38" t="s">
        <v>342</v>
      </c>
    </row>
    <row r="24" spans="1:23">
      <c r="A24" s="50" t="s">
        <v>523</v>
      </c>
      <c r="B24" s="50" t="s">
        <v>399</v>
      </c>
      <c r="C24" s="49" t="s">
        <v>625</v>
      </c>
      <c r="D24" s="57" t="s">
        <v>338</v>
      </c>
      <c r="E24" s="50" t="s">
        <v>525</v>
      </c>
      <c r="F24" s="49" t="s">
        <v>524</v>
      </c>
      <c r="G24" s="52">
        <v>0.89</v>
      </c>
      <c r="H24" s="52">
        <v>1.21</v>
      </c>
      <c r="I24" s="51">
        <v>107463090</v>
      </c>
      <c r="J24" s="51">
        <v>2729</v>
      </c>
      <c r="K24" s="56">
        <v>39378.19</v>
      </c>
      <c r="L24" s="62">
        <v>38050</v>
      </c>
      <c r="M24" s="61" t="s">
        <v>362</v>
      </c>
      <c r="N24" s="60" t="s">
        <v>414</v>
      </c>
      <c r="O24" s="59">
        <v>-0.52</v>
      </c>
      <c r="P24" s="51">
        <v>-3624640</v>
      </c>
      <c r="Q24" s="52">
        <v>-2.77</v>
      </c>
      <c r="R24" s="51">
        <v>-545800</v>
      </c>
      <c r="S24" s="51">
        <v>878058</v>
      </c>
      <c r="T24" s="50" t="s">
        <v>269</v>
      </c>
      <c r="U24" s="49" t="s">
        <v>343</v>
      </c>
      <c r="V24" s="48" t="s">
        <v>342</v>
      </c>
      <c r="W24" s="48" t="s">
        <v>342</v>
      </c>
    </row>
    <row r="25" spans="1:23">
      <c r="A25" s="40" t="s">
        <v>520</v>
      </c>
      <c r="B25" s="40" t="s">
        <v>399</v>
      </c>
      <c r="C25" s="39" t="s">
        <v>625</v>
      </c>
      <c r="D25" s="47" t="s">
        <v>338</v>
      </c>
      <c r="E25" s="40" t="s">
        <v>522</v>
      </c>
      <c r="F25" s="39" t="s">
        <v>521</v>
      </c>
      <c r="G25" s="42">
        <v>2.39</v>
      </c>
      <c r="H25" s="42">
        <v>3.23</v>
      </c>
      <c r="I25" s="41">
        <v>262981840</v>
      </c>
      <c r="J25" s="41">
        <v>23795</v>
      </c>
      <c r="K25" s="46">
        <v>11051.98</v>
      </c>
      <c r="L25" s="70">
        <v>11650</v>
      </c>
      <c r="M25" s="69" t="s">
        <v>362</v>
      </c>
      <c r="N25" s="68" t="s">
        <v>355</v>
      </c>
      <c r="O25" s="67">
        <v>-0.85</v>
      </c>
      <c r="P25" s="41">
        <v>14229910</v>
      </c>
      <c r="Q25" s="42">
        <v>5.41</v>
      </c>
      <c r="R25" s="41">
        <v>-2379500</v>
      </c>
      <c r="S25" s="41">
        <v>176490</v>
      </c>
      <c r="T25" s="40" t="s">
        <v>269</v>
      </c>
      <c r="U25" s="39" t="s">
        <v>343</v>
      </c>
      <c r="V25" s="38" t="s">
        <v>342</v>
      </c>
      <c r="W25" s="38" t="s">
        <v>342</v>
      </c>
    </row>
    <row r="26" spans="1:23">
      <c r="A26" s="50" t="s">
        <v>516</v>
      </c>
      <c r="B26" s="50" t="s">
        <v>399</v>
      </c>
      <c r="C26" s="49" t="s">
        <v>625</v>
      </c>
      <c r="D26" s="57" t="s">
        <v>338</v>
      </c>
      <c r="E26" s="50" t="s">
        <v>519</v>
      </c>
      <c r="F26" s="49" t="s">
        <v>518</v>
      </c>
      <c r="G26" s="52">
        <v>1.32</v>
      </c>
      <c r="H26" s="52">
        <v>1.79</v>
      </c>
      <c r="I26" s="51">
        <v>154628830</v>
      </c>
      <c r="J26" s="51">
        <v>2017</v>
      </c>
      <c r="K26" s="56">
        <v>76662.78</v>
      </c>
      <c r="L26" s="76">
        <v>76200</v>
      </c>
      <c r="M26" s="75" t="s">
        <v>367</v>
      </c>
      <c r="N26" s="74" t="s">
        <v>517</v>
      </c>
      <c r="O26" s="73">
        <v>5.39</v>
      </c>
      <c r="P26" s="51">
        <v>-933430</v>
      </c>
      <c r="Q26" s="52">
        <v>-0.6</v>
      </c>
      <c r="R26" s="51">
        <v>7866300</v>
      </c>
      <c r="S26" s="51">
        <v>103230</v>
      </c>
      <c r="T26" s="50" t="s">
        <v>269</v>
      </c>
      <c r="U26" s="49" t="s">
        <v>343</v>
      </c>
      <c r="V26" s="48" t="s">
        <v>342</v>
      </c>
      <c r="W26" s="48" t="s">
        <v>342</v>
      </c>
    </row>
    <row r="27" spans="1:23">
      <c r="A27" s="40" t="s">
        <v>512</v>
      </c>
      <c r="B27" s="40" t="s">
        <v>399</v>
      </c>
      <c r="C27" s="39" t="s">
        <v>625</v>
      </c>
      <c r="D27" s="47" t="s">
        <v>338</v>
      </c>
      <c r="E27" s="40" t="s">
        <v>515</v>
      </c>
      <c r="F27" s="39" t="s">
        <v>514</v>
      </c>
      <c r="G27" s="42">
        <v>1.36</v>
      </c>
      <c r="H27" s="42">
        <v>1.83</v>
      </c>
      <c r="I27" s="41">
        <v>160942350</v>
      </c>
      <c r="J27" s="41">
        <v>1003</v>
      </c>
      <c r="K27" s="46">
        <v>160460.97</v>
      </c>
      <c r="L27" s="66">
        <v>157000</v>
      </c>
      <c r="M27" s="65" t="s">
        <v>367</v>
      </c>
      <c r="N27" s="64" t="s">
        <v>513</v>
      </c>
      <c r="O27" s="63">
        <v>4.67</v>
      </c>
      <c r="P27" s="41">
        <v>-3471350</v>
      </c>
      <c r="Q27" s="42">
        <v>-2.16</v>
      </c>
      <c r="R27" s="41">
        <v>7021000</v>
      </c>
      <c r="S27" s="41">
        <v>259344</v>
      </c>
      <c r="T27" s="40" t="s">
        <v>269</v>
      </c>
      <c r="U27" s="39" t="s">
        <v>343</v>
      </c>
      <c r="V27" s="38" t="s">
        <v>342</v>
      </c>
      <c r="W27" s="38" t="s">
        <v>342</v>
      </c>
    </row>
    <row r="28" spans="1:23">
      <c r="A28" s="50" t="s">
        <v>511</v>
      </c>
      <c r="B28" s="50" t="s">
        <v>399</v>
      </c>
      <c r="C28" s="49" t="s">
        <v>625</v>
      </c>
      <c r="D28" s="57" t="s">
        <v>338</v>
      </c>
      <c r="E28" s="50" t="s">
        <v>48</v>
      </c>
      <c r="F28" s="49" t="s">
        <v>49</v>
      </c>
      <c r="G28" s="52">
        <v>2.76</v>
      </c>
      <c r="H28" s="52">
        <v>3.73</v>
      </c>
      <c r="I28" s="51">
        <v>309937820</v>
      </c>
      <c r="J28" s="51">
        <v>10495</v>
      </c>
      <c r="K28" s="56">
        <v>29531.95</v>
      </c>
      <c r="L28" s="62">
        <v>30500</v>
      </c>
      <c r="M28" s="61" t="s">
        <v>362</v>
      </c>
      <c r="N28" s="60" t="s">
        <v>371</v>
      </c>
      <c r="O28" s="59">
        <v>-0.97</v>
      </c>
      <c r="P28" s="51">
        <v>10159680</v>
      </c>
      <c r="Q28" s="52">
        <v>3.28</v>
      </c>
      <c r="R28" s="51">
        <v>-3148500</v>
      </c>
      <c r="S28" s="51">
        <v>2365540</v>
      </c>
      <c r="T28" s="50" t="s">
        <v>269</v>
      </c>
      <c r="U28" s="49" t="s">
        <v>343</v>
      </c>
      <c r="V28" s="48" t="s">
        <v>342</v>
      </c>
      <c r="W28" s="48" t="s">
        <v>342</v>
      </c>
    </row>
    <row r="29" spans="1:23">
      <c r="A29" s="40" t="s">
        <v>510</v>
      </c>
      <c r="B29" s="40" t="s">
        <v>399</v>
      </c>
      <c r="C29" s="39" t="s">
        <v>625</v>
      </c>
      <c r="D29" s="47" t="s">
        <v>338</v>
      </c>
      <c r="E29" s="40" t="s">
        <v>52</v>
      </c>
      <c r="F29" s="39" t="s">
        <v>53</v>
      </c>
      <c r="G29" s="42">
        <v>2.15</v>
      </c>
      <c r="H29" s="42">
        <v>2.91</v>
      </c>
      <c r="I29" s="41">
        <v>255828512</v>
      </c>
      <c r="J29" s="41">
        <v>1171</v>
      </c>
      <c r="K29" s="46">
        <v>218470.12</v>
      </c>
      <c r="L29" s="70">
        <v>213000</v>
      </c>
      <c r="M29" s="69" t="s">
        <v>362</v>
      </c>
      <c r="N29" s="68" t="s">
        <v>384</v>
      </c>
      <c r="O29" s="67">
        <v>-0.47</v>
      </c>
      <c r="P29" s="41">
        <v>-6405512</v>
      </c>
      <c r="Q29" s="42">
        <v>-2.5</v>
      </c>
      <c r="R29" s="41">
        <v>-1171000</v>
      </c>
      <c r="S29" s="41">
        <v>3037108</v>
      </c>
      <c r="T29" s="40" t="s">
        <v>269</v>
      </c>
      <c r="U29" s="39" t="s">
        <v>343</v>
      </c>
      <c r="V29" s="38" t="s">
        <v>342</v>
      </c>
      <c r="W29" s="38" t="s">
        <v>342</v>
      </c>
    </row>
    <row r="30" spans="1:23">
      <c r="A30" s="50" t="s">
        <v>507</v>
      </c>
      <c r="B30" s="50" t="s">
        <v>399</v>
      </c>
      <c r="C30" s="49" t="s">
        <v>625</v>
      </c>
      <c r="D30" s="57" t="s">
        <v>338</v>
      </c>
      <c r="E30" s="50" t="s">
        <v>248</v>
      </c>
      <c r="F30" s="49" t="s">
        <v>249</v>
      </c>
      <c r="G30" s="52">
        <v>0</v>
      </c>
      <c r="H30" s="52">
        <v>0</v>
      </c>
      <c r="I30" s="51">
        <v>8831210</v>
      </c>
      <c r="J30" s="51">
        <v>0</v>
      </c>
      <c r="K30" s="51">
        <v>0</v>
      </c>
      <c r="L30" s="76">
        <v>30500</v>
      </c>
      <c r="M30" s="75" t="s">
        <v>367</v>
      </c>
      <c r="N30" s="74" t="s">
        <v>453</v>
      </c>
      <c r="O30" s="73">
        <v>0.16</v>
      </c>
      <c r="P30" s="51">
        <v>-8831210</v>
      </c>
      <c r="Q30" s="52">
        <v>-15.08</v>
      </c>
      <c r="R30" s="51">
        <v>0</v>
      </c>
      <c r="S30" s="51">
        <v>181040</v>
      </c>
      <c r="T30" s="50" t="s">
        <v>269</v>
      </c>
      <c r="U30" s="49" t="s">
        <v>343</v>
      </c>
      <c r="V30" s="48" t="s">
        <v>342</v>
      </c>
      <c r="W30" s="48" t="s">
        <v>342</v>
      </c>
    </row>
    <row r="31" spans="1:23">
      <c r="A31" s="40" t="s">
        <v>504</v>
      </c>
      <c r="B31" s="40" t="s">
        <v>399</v>
      </c>
      <c r="C31" s="39" t="s">
        <v>625</v>
      </c>
      <c r="D31" s="47" t="s">
        <v>338</v>
      </c>
      <c r="E31" s="40" t="s">
        <v>509</v>
      </c>
      <c r="F31" s="39" t="s">
        <v>508</v>
      </c>
      <c r="G31" s="42">
        <v>0.56999999999999995</v>
      </c>
      <c r="H31" s="42">
        <v>0.77</v>
      </c>
      <c r="I31" s="41">
        <v>64032000</v>
      </c>
      <c r="J31" s="41">
        <v>868</v>
      </c>
      <c r="K31" s="46">
        <v>73769.59</v>
      </c>
      <c r="L31" s="70">
        <v>76100</v>
      </c>
      <c r="M31" s="69" t="s">
        <v>362</v>
      </c>
      <c r="N31" s="68" t="s">
        <v>355</v>
      </c>
      <c r="O31" s="67">
        <v>-0.13</v>
      </c>
      <c r="P31" s="41">
        <v>2022800</v>
      </c>
      <c r="Q31" s="42">
        <v>3.16</v>
      </c>
      <c r="R31" s="41">
        <v>-86800</v>
      </c>
      <c r="S31" s="41">
        <v>19200</v>
      </c>
      <c r="T31" s="40" t="s">
        <v>269</v>
      </c>
      <c r="U31" s="39" t="s">
        <v>343</v>
      </c>
      <c r="V31" s="38" t="s">
        <v>342</v>
      </c>
      <c r="W31" s="38" t="s">
        <v>342</v>
      </c>
    </row>
    <row r="32" spans="1:23">
      <c r="A32" s="50" t="s">
        <v>501</v>
      </c>
      <c r="B32" s="50" t="s">
        <v>399</v>
      </c>
      <c r="C32" s="49" t="s">
        <v>625</v>
      </c>
      <c r="D32" s="57" t="s">
        <v>338</v>
      </c>
      <c r="E32" s="50" t="s">
        <v>506</v>
      </c>
      <c r="F32" s="49" t="s">
        <v>505</v>
      </c>
      <c r="G32" s="52">
        <v>0</v>
      </c>
      <c r="H32" s="52">
        <v>0</v>
      </c>
      <c r="I32" s="51">
        <v>13670605</v>
      </c>
      <c r="J32" s="51">
        <v>0</v>
      </c>
      <c r="K32" s="51">
        <v>0</v>
      </c>
      <c r="L32" s="62">
        <v>33150</v>
      </c>
      <c r="M32" s="61" t="s">
        <v>362</v>
      </c>
      <c r="N32" s="60" t="s">
        <v>423</v>
      </c>
      <c r="O32" s="59">
        <v>-1.78</v>
      </c>
      <c r="P32" s="51">
        <v>-13670605</v>
      </c>
      <c r="Q32" s="52">
        <v>-13.91</v>
      </c>
      <c r="R32" s="51">
        <v>-2292900</v>
      </c>
      <c r="S32" s="51">
        <v>551218</v>
      </c>
      <c r="T32" s="50" t="s">
        <v>269</v>
      </c>
      <c r="U32" s="49" t="s">
        <v>343</v>
      </c>
      <c r="V32" s="48" t="s">
        <v>342</v>
      </c>
      <c r="W32" s="48" t="s">
        <v>342</v>
      </c>
    </row>
    <row r="33" spans="1:23">
      <c r="A33" s="40" t="s">
        <v>500</v>
      </c>
      <c r="B33" s="40" t="s">
        <v>399</v>
      </c>
      <c r="C33" s="39" t="s">
        <v>625</v>
      </c>
      <c r="D33" s="47" t="s">
        <v>338</v>
      </c>
      <c r="E33" s="40" t="s">
        <v>503</v>
      </c>
      <c r="F33" s="39" t="s">
        <v>502</v>
      </c>
      <c r="G33" s="42">
        <v>0.56000000000000005</v>
      </c>
      <c r="H33" s="42">
        <v>0.75</v>
      </c>
      <c r="I33" s="41">
        <v>64416850</v>
      </c>
      <c r="J33" s="41">
        <v>360</v>
      </c>
      <c r="K33" s="46">
        <v>178935.69</v>
      </c>
      <c r="L33" s="70">
        <v>180000</v>
      </c>
      <c r="M33" s="69" t="s">
        <v>362</v>
      </c>
      <c r="N33" s="68" t="s">
        <v>451</v>
      </c>
      <c r="O33" s="67">
        <v>-2.17</v>
      </c>
      <c r="P33" s="41">
        <v>383150</v>
      </c>
      <c r="Q33" s="42">
        <v>0.59</v>
      </c>
      <c r="R33" s="41">
        <v>-1440000</v>
      </c>
      <c r="S33" s="41">
        <v>838324</v>
      </c>
      <c r="T33" s="40" t="s">
        <v>269</v>
      </c>
      <c r="U33" s="39" t="s">
        <v>343</v>
      </c>
      <c r="V33" s="38" t="s">
        <v>342</v>
      </c>
      <c r="W33" s="38" t="s">
        <v>342</v>
      </c>
    </row>
    <row r="34" spans="1:23">
      <c r="A34" s="50" t="s">
        <v>499</v>
      </c>
      <c r="B34" s="50" t="s">
        <v>399</v>
      </c>
      <c r="C34" s="49" t="s">
        <v>625</v>
      </c>
      <c r="D34" s="57" t="s">
        <v>338</v>
      </c>
      <c r="E34" s="50" t="s">
        <v>76</v>
      </c>
      <c r="F34" s="49" t="s">
        <v>77</v>
      </c>
      <c r="G34" s="52">
        <v>1.75</v>
      </c>
      <c r="H34" s="52">
        <v>2.36</v>
      </c>
      <c r="I34" s="51">
        <v>192774800</v>
      </c>
      <c r="J34" s="51">
        <v>7122</v>
      </c>
      <c r="K34" s="56">
        <v>27067.51</v>
      </c>
      <c r="L34" s="62">
        <v>28500</v>
      </c>
      <c r="M34" s="61" t="s">
        <v>362</v>
      </c>
      <c r="N34" s="60" t="s">
        <v>428</v>
      </c>
      <c r="O34" s="59">
        <v>-1.72</v>
      </c>
      <c r="P34" s="51">
        <v>10202200</v>
      </c>
      <c r="Q34" s="52">
        <v>5.29</v>
      </c>
      <c r="R34" s="51">
        <v>-3561000</v>
      </c>
      <c r="S34" s="51">
        <v>1551148</v>
      </c>
      <c r="T34" s="50" t="s">
        <v>269</v>
      </c>
      <c r="U34" s="49" t="s">
        <v>343</v>
      </c>
      <c r="V34" s="48" t="s">
        <v>342</v>
      </c>
      <c r="W34" s="48" t="s">
        <v>342</v>
      </c>
    </row>
    <row r="35" spans="1:23">
      <c r="A35" s="40" t="s">
        <v>495</v>
      </c>
      <c r="B35" s="40" t="s">
        <v>399</v>
      </c>
      <c r="C35" s="39" t="s">
        <v>625</v>
      </c>
      <c r="D35" s="47" t="s">
        <v>338</v>
      </c>
      <c r="E35" s="40" t="s">
        <v>78</v>
      </c>
      <c r="F35" s="39" t="s">
        <v>79</v>
      </c>
      <c r="G35" s="42">
        <v>0.53</v>
      </c>
      <c r="H35" s="42">
        <v>0.72</v>
      </c>
      <c r="I35" s="41">
        <v>63693320</v>
      </c>
      <c r="J35" s="41">
        <v>6740</v>
      </c>
      <c r="K35" s="46">
        <v>9450.0499999999993</v>
      </c>
      <c r="L35" s="41">
        <v>9260</v>
      </c>
      <c r="M35" s="45" t="s">
        <v>269</v>
      </c>
      <c r="N35" s="44" t="s">
        <v>342</v>
      </c>
      <c r="O35" s="43">
        <v>0</v>
      </c>
      <c r="P35" s="41">
        <v>-1280920</v>
      </c>
      <c r="Q35" s="42">
        <v>-2.0099999999999998</v>
      </c>
      <c r="R35" s="41">
        <v>0</v>
      </c>
      <c r="S35" s="41">
        <v>408766</v>
      </c>
      <c r="T35" s="40" t="s">
        <v>269</v>
      </c>
      <c r="U35" s="39" t="s">
        <v>343</v>
      </c>
      <c r="V35" s="38" t="s">
        <v>342</v>
      </c>
      <c r="W35" s="38" t="s">
        <v>342</v>
      </c>
    </row>
    <row r="36" spans="1:23">
      <c r="A36" s="50" t="s">
        <v>492</v>
      </c>
      <c r="B36" s="50" t="s">
        <v>399</v>
      </c>
      <c r="C36" s="49" t="s">
        <v>625</v>
      </c>
      <c r="D36" s="57" t="s">
        <v>338</v>
      </c>
      <c r="E36" s="50" t="s">
        <v>498</v>
      </c>
      <c r="F36" s="49" t="s">
        <v>497</v>
      </c>
      <c r="G36" s="52">
        <v>0</v>
      </c>
      <c r="H36" s="52">
        <v>0</v>
      </c>
      <c r="I36" s="51">
        <v>6988040</v>
      </c>
      <c r="J36" s="51">
        <v>0</v>
      </c>
      <c r="K36" s="51">
        <v>0</v>
      </c>
      <c r="L36" s="62">
        <v>19850</v>
      </c>
      <c r="M36" s="61" t="s">
        <v>362</v>
      </c>
      <c r="N36" s="60" t="s">
        <v>496</v>
      </c>
      <c r="O36" s="59">
        <v>-4.57</v>
      </c>
      <c r="P36" s="51">
        <v>-6988040</v>
      </c>
      <c r="Q36" s="52">
        <v>-5.48</v>
      </c>
      <c r="R36" s="51">
        <v>-3998950</v>
      </c>
      <c r="S36" s="51">
        <v>127490</v>
      </c>
      <c r="T36" s="50" t="s">
        <v>269</v>
      </c>
      <c r="U36" s="49" t="s">
        <v>343</v>
      </c>
      <c r="V36" s="48" t="s">
        <v>342</v>
      </c>
      <c r="W36" s="48" t="s">
        <v>342</v>
      </c>
    </row>
    <row r="37" spans="1:23">
      <c r="A37" s="40" t="s">
        <v>491</v>
      </c>
      <c r="B37" s="40" t="s">
        <v>399</v>
      </c>
      <c r="C37" s="39" t="s">
        <v>625</v>
      </c>
      <c r="D37" s="47" t="s">
        <v>338</v>
      </c>
      <c r="E37" s="40" t="s">
        <v>494</v>
      </c>
      <c r="F37" s="39" t="s">
        <v>493</v>
      </c>
      <c r="G37" s="42">
        <v>2.65</v>
      </c>
      <c r="H37" s="42">
        <v>3.58</v>
      </c>
      <c r="I37" s="41">
        <v>316331926</v>
      </c>
      <c r="J37" s="41">
        <v>2138</v>
      </c>
      <c r="K37" s="46">
        <v>147956.93</v>
      </c>
      <c r="L37" s="66">
        <v>143500</v>
      </c>
      <c r="M37" s="65" t="s">
        <v>367</v>
      </c>
      <c r="N37" s="64" t="s">
        <v>384</v>
      </c>
      <c r="O37" s="63">
        <v>0.7</v>
      </c>
      <c r="P37" s="41">
        <v>-9528926</v>
      </c>
      <c r="Q37" s="42">
        <v>-3.01</v>
      </c>
      <c r="R37" s="41">
        <v>2138000</v>
      </c>
      <c r="S37" s="41">
        <v>1366556</v>
      </c>
      <c r="T37" s="40" t="s">
        <v>269</v>
      </c>
      <c r="U37" s="39" t="s">
        <v>343</v>
      </c>
      <c r="V37" s="38" t="s">
        <v>342</v>
      </c>
      <c r="W37" s="38" t="s">
        <v>342</v>
      </c>
    </row>
    <row r="38" spans="1:23">
      <c r="A38" s="50" t="s">
        <v>490</v>
      </c>
      <c r="B38" s="50" t="s">
        <v>399</v>
      </c>
      <c r="C38" s="49" t="s">
        <v>625</v>
      </c>
      <c r="D38" s="57" t="s">
        <v>338</v>
      </c>
      <c r="E38" s="50" t="s">
        <v>265</v>
      </c>
      <c r="F38" s="49" t="s">
        <v>266</v>
      </c>
      <c r="G38" s="52">
        <v>2.81</v>
      </c>
      <c r="H38" s="52">
        <v>3.79</v>
      </c>
      <c r="I38" s="51">
        <v>310947970</v>
      </c>
      <c r="J38" s="51">
        <v>78125</v>
      </c>
      <c r="K38" s="56">
        <v>3980.13</v>
      </c>
      <c r="L38" s="62">
        <v>4165</v>
      </c>
      <c r="M38" s="61" t="s">
        <v>362</v>
      </c>
      <c r="N38" s="60" t="s">
        <v>414</v>
      </c>
      <c r="O38" s="59">
        <v>-4.58</v>
      </c>
      <c r="P38" s="51">
        <v>14442655</v>
      </c>
      <c r="Q38" s="52">
        <v>4.6399999999999997</v>
      </c>
      <c r="R38" s="51">
        <v>-15625000</v>
      </c>
      <c r="S38" s="51">
        <v>273180</v>
      </c>
      <c r="T38" s="50" t="s">
        <v>269</v>
      </c>
      <c r="U38" s="49" t="s">
        <v>343</v>
      </c>
      <c r="V38" s="48" t="s">
        <v>342</v>
      </c>
      <c r="W38" s="48" t="s">
        <v>342</v>
      </c>
    </row>
    <row r="39" spans="1:23">
      <c r="A39" s="40" t="s">
        <v>489</v>
      </c>
      <c r="B39" s="40" t="s">
        <v>399</v>
      </c>
      <c r="C39" s="39" t="s">
        <v>625</v>
      </c>
      <c r="D39" s="47" t="s">
        <v>338</v>
      </c>
      <c r="E39" s="40" t="s">
        <v>88</v>
      </c>
      <c r="F39" s="39" t="s">
        <v>89</v>
      </c>
      <c r="G39" s="42">
        <v>1.41</v>
      </c>
      <c r="H39" s="42">
        <v>1.9</v>
      </c>
      <c r="I39" s="41">
        <v>151561860</v>
      </c>
      <c r="J39" s="41">
        <v>5024</v>
      </c>
      <c r="K39" s="46">
        <v>30167.57</v>
      </c>
      <c r="L39" s="66">
        <v>32500</v>
      </c>
      <c r="M39" s="65" t="s">
        <v>367</v>
      </c>
      <c r="N39" s="64" t="s">
        <v>355</v>
      </c>
      <c r="O39" s="63">
        <v>0.31</v>
      </c>
      <c r="P39" s="41">
        <v>11718140</v>
      </c>
      <c r="Q39" s="42">
        <v>7.73</v>
      </c>
      <c r="R39" s="41">
        <v>502400</v>
      </c>
      <c r="S39" s="41">
        <v>817402</v>
      </c>
      <c r="T39" s="40" t="s">
        <v>269</v>
      </c>
      <c r="U39" s="39" t="s">
        <v>343</v>
      </c>
      <c r="V39" s="38" t="s">
        <v>342</v>
      </c>
      <c r="W39" s="38" t="s">
        <v>342</v>
      </c>
    </row>
    <row r="40" spans="1:23">
      <c r="A40" s="50" t="s">
        <v>485</v>
      </c>
      <c r="B40" s="50" t="s">
        <v>399</v>
      </c>
      <c r="C40" s="49" t="s">
        <v>625</v>
      </c>
      <c r="D40" s="57" t="s">
        <v>338</v>
      </c>
      <c r="E40" s="50" t="s">
        <v>252</v>
      </c>
      <c r="F40" s="49" t="s">
        <v>253</v>
      </c>
      <c r="G40" s="52">
        <v>3.95</v>
      </c>
      <c r="H40" s="52">
        <v>5.33</v>
      </c>
      <c r="I40" s="51">
        <v>419934675</v>
      </c>
      <c r="J40" s="51">
        <v>12243</v>
      </c>
      <c r="K40" s="56">
        <v>34299.980000000003</v>
      </c>
      <c r="L40" s="62">
        <v>37350</v>
      </c>
      <c r="M40" s="61" t="s">
        <v>362</v>
      </c>
      <c r="N40" s="60" t="s">
        <v>419</v>
      </c>
      <c r="O40" s="59">
        <v>-1.97</v>
      </c>
      <c r="P40" s="51">
        <v>37341375</v>
      </c>
      <c r="Q40" s="52">
        <v>8.89</v>
      </c>
      <c r="R40" s="51">
        <v>-9182250</v>
      </c>
      <c r="S40" s="51">
        <v>542524</v>
      </c>
      <c r="T40" s="50" t="s">
        <v>269</v>
      </c>
      <c r="U40" s="49" t="s">
        <v>343</v>
      </c>
      <c r="V40" s="48" t="s">
        <v>342</v>
      </c>
      <c r="W40" s="48" t="s">
        <v>342</v>
      </c>
    </row>
    <row r="41" spans="1:23">
      <c r="A41" s="40" t="s">
        <v>484</v>
      </c>
      <c r="B41" s="40" t="s">
        <v>399</v>
      </c>
      <c r="C41" s="39" t="s">
        <v>625</v>
      </c>
      <c r="D41" s="47" t="s">
        <v>338</v>
      </c>
      <c r="E41" s="40" t="s">
        <v>488</v>
      </c>
      <c r="F41" s="39" t="s">
        <v>487</v>
      </c>
      <c r="G41" s="42">
        <v>1.49</v>
      </c>
      <c r="H41" s="42">
        <v>2.0099999999999998</v>
      </c>
      <c r="I41" s="41">
        <v>170756679</v>
      </c>
      <c r="J41" s="41">
        <v>6405</v>
      </c>
      <c r="K41" s="58">
        <v>26659.9</v>
      </c>
      <c r="L41" s="66">
        <v>27000</v>
      </c>
      <c r="M41" s="65" t="s">
        <v>367</v>
      </c>
      <c r="N41" s="64" t="s">
        <v>486</v>
      </c>
      <c r="O41" s="63">
        <v>2.08</v>
      </c>
      <c r="P41" s="41">
        <v>2178321</v>
      </c>
      <c r="Q41" s="42">
        <v>1.28</v>
      </c>
      <c r="R41" s="41">
        <v>3522750</v>
      </c>
      <c r="S41" s="41">
        <v>1376028</v>
      </c>
      <c r="T41" s="40" t="s">
        <v>269</v>
      </c>
      <c r="U41" s="39" t="s">
        <v>343</v>
      </c>
      <c r="V41" s="38" t="s">
        <v>342</v>
      </c>
      <c r="W41" s="38" t="s">
        <v>342</v>
      </c>
    </row>
    <row r="42" spans="1:23">
      <c r="A42" s="50" t="s">
        <v>482</v>
      </c>
      <c r="B42" s="50" t="s">
        <v>399</v>
      </c>
      <c r="C42" s="49" t="s">
        <v>625</v>
      </c>
      <c r="D42" s="57" t="s">
        <v>338</v>
      </c>
      <c r="E42" s="50" t="s">
        <v>334</v>
      </c>
      <c r="F42" s="49" t="s">
        <v>335</v>
      </c>
      <c r="G42" s="52">
        <v>0.56000000000000005</v>
      </c>
      <c r="H42" s="52">
        <v>0.75</v>
      </c>
      <c r="I42" s="51">
        <v>65539450</v>
      </c>
      <c r="J42" s="51">
        <v>992</v>
      </c>
      <c r="K42" s="56">
        <v>66067.990000000005</v>
      </c>
      <c r="L42" s="62">
        <v>65400</v>
      </c>
      <c r="M42" s="61" t="s">
        <v>362</v>
      </c>
      <c r="N42" s="60" t="s">
        <v>423</v>
      </c>
      <c r="O42" s="59">
        <v>-0.91</v>
      </c>
      <c r="P42" s="51">
        <v>-662650</v>
      </c>
      <c r="Q42" s="52">
        <v>-1.01</v>
      </c>
      <c r="R42" s="51">
        <v>-595200</v>
      </c>
      <c r="S42" s="51">
        <v>32750</v>
      </c>
      <c r="T42" s="50" t="s">
        <v>269</v>
      </c>
      <c r="U42" s="49" t="s">
        <v>343</v>
      </c>
      <c r="V42" s="48" t="s">
        <v>342</v>
      </c>
      <c r="W42" s="48" t="s">
        <v>342</v>
      </c>
    </row>
    <row r="43" spans="1:23">
      <c r="A43" s="40" t="s">
        <v>480</v>
      </c>
      <c r="B43" s="40" t="s">
        <v>399</v>
      </c>
      <c r="C43" s="39" t="s">
        <v>625</v>
      </c>
      <c r="D43" s="47" t="s">
        <v>338</v>
      </c>
      <c r="E43" s="40" t="s">
        <v>100</v>
      </c>
      <c r="F43" s="39" t="s">
        <v>101</v>
      </c>
      <c r="G43" s="42">
        <v>1.24</v>
      </c>
      <c r="H43" s="42">
        <v>1.67</v>
      </c>
      <c r="I43" s="41">
        <v>128475100</v>
      </c>
      <c r="J43" s="41">
        <v>342</v>
      </c>
      <c r="K43" s="46">
        <v>375658.19</v>
      </c>
      <c r="L43" s="70">
        <v>420300</v>
      </c>
      <c r="M43" s="69" t="s">
        <v>362</v>
      </c>
      <c r="N43" s="68" t="s">
        <v>483</v>
      </c>
      <c r="O43" s="67">
        <v>-2.2999999999999998</v>
      </c>
      <c r="P43" s="41">
        <v>15267500</v>
      </c>
      <c r="Q43" s="42">
        <v>11.88</v>
      </c>
      <c r="R43" s="41">
        <v>-3385800</v>
      </c>
      <c r="S43" s="41">
        <v>1906692</v>
      </c>
      <c r="T43" s="40" t="s">
        <v>269</v>
      </c>
      <c r="U43" s="39" t="s">
        <v>343</v>
      </c>
      <c r="V43" s="38" t="s">
        <v>342</v>
      </c>
      <c r="W43" s="38" t="s">
        <v>342</v>
      </c>
    </row>
    <row r="44" spans="1:23">
      <c r="A44" s="50" t="s">
        <v>478</v>
      </c>
      <c r="B44" s="50" t="s">
        <v>399</v>
      </c>
      <c r="C44" s="49" t="s">
        <v>625</v>
      </c>
      <c r="D44" s="57" t="s">
        <v>338</v>
      </c>
      <c r="E44" s="50" t="s">
        <v>290</v>
      </c>
      <c r="F44" s="49" t="s">
        <v>291</v>
      </c>
      <c r="G44" s="52">
        <v>0.57999999999999996</v>
      </c>
      <c r="H44" s="52">
        <v>0.79</v>
      </c>
      <c r="I44" s="51">
        <v>61432873</v>
      </c>
      <c r="J44" s="51">
        <v>957</v>
      </c>
      <c r="K44" s="56">
        <v>64193.18</v>
      </c>
      <c r="L44" s="62">
        <v>71100</v>
      </c>
      <c r="M44" s="61" t="s">
        <v>362</v>
      </c>
      <c r="N44" s="60" t="s">
        <v>481</v>
      </c>
      <c r="O44" s="59">
        <v>-2.6</v>
      </c>
      <c r="P44" s="51">
        <v>6609827</v>
      </c>
      <c r="Q44" s="52">
        <v>10.76</v>
      </c>
      <c r="R44" s="51">
        <v>-1818300</v>
      </c>
      <c r="S44" s="51">
        <v>378720</v>
      </c>
      <c r="T44" s="50" t="s">
        <v>269</v>
      </c>
      <c r="U44" s="49" t="s">
        <v>343</v>
      </c>
      <c r="V44" s="48" t="s">
        <v>342</v>
      </c>
      <c r="W44" s="48" t="s">
        <v>342</v>
      </c>
    </row>
    <row r="45" spans="1:23">
      <c r="A45" s="40" t="s">
        <v>361</v>
      </c>
      <c r="B45" s="40" t="s">
        <v>399</v>
      </c>
      <c r="C45" s="39" t="s">
        <v>625</v>
      </c>
      <c r="D45" s="47" t="s">
        <v>338</v>
      </c>
      <c r="E45" s="40" t="s">
        <v>336</v>
      </c>
      <c r="F45" s="39" t="s">
        <v>337</v>
      </c>
      <c r="G45" s="42">
        <v>0.8</v>
      </c>
      <c r="H45" s="42">
        <v>1.08</v>
      </c>
      <c r="I45" s="41">
        <v>97868790</v>
      </c>
      <c r="J45" s="41">
        <v>3774</v>
      </c>
      <c r="K45" s="46">
        <v>25932.38</v>
      </c>
      <c r="L45" s="70">
        <v>24550</v>
      </c>
      <c r="M45" s="69" t="s">
        <v>362</v>
      </c>
      <c r="N45" s="68" t="s">
        <v>479</v>
      </c>
      <c r="O45" s="67">
        <v>-1.8</v>
      </c>
      <c r="P45" s="41">
        <v>-5217090</v>
      </c>
      <c r="Q45" s="42">
        <v>-4.04</v>
      </c>
      <c r="R45" s="41">
        <v>-1951100</v>
      </c>
      <c r="S45" s="41">
        <v>117390</v>
      </c>
      <c r="T45" s="40" t="s">
        <v>269</v>
      </c>
      <c r="U45" s="39" t="s">
        <v>343</v>
      </c>
      <c r="V45" s="38" t="s">
        <v>342</v>
      </c>
      <c r="W45" s="38" t="s">
        <v>342</v>
      </c>
    </row>
    <row r="46" spans="1:23">
      <c r="A46" s="50" t="s">
        <v>473</v>
      </c>
      <c r="B46" s="50" t="s">
        <v>399</v>
      </c>
      <c r="C46" s="49" t="s">
        <v>668</v>
      </c>
      <c r="D46" s="77" t="s">
        <v>339</v>
      </c>
      <c r="E46" s="50" t="s">
        <v>477</v>
      </c>
      <c r="F46" s="49" t="s">
        <v>476</v>
      </c>
      <c r="G46" s="52">
        <v>0.59</v>
      </c>
      <c r="H46" s="52">
        <v>1.05</v>
      </c>
      <c r="I46" s="51">
        <v>-64168366</v>
      </c>
      <c r="J46" s="51">
        <v>-580</v>
      </c>
      <c r="K46" s="56">
        <v>110635.11</v>
      </c>
      <c r="L46" s="62">
        <v>118000</v>
      </c>
      <c r="M46" s="61" t="s">
        <v>362</v>
      </c>
      <c r="N46" s="60" t="s">
        <v>382</v>
      </c>
      <c r="O46" s="59">
        <v>-1.26</v>
      </c>
      <c r="P46" s="51">
        <v>-4271634</v>
      </c>
      <c r="Q46" s="52">
        <v>-6.66</v>
      </c>
      <c r="R46" s="51">
        <v>870000</v>
      </c>
      <c r="S46" s="51">
        <v>1609894</v>
      </c>
      <c r="T46" s="50" t="s">
        <v>269</v>
      </c>
      <c r="U46" s="49" t="s">
        <v>343</v>
      </c>
      <c r="V46" s="48" t="s">
        <v>342</v>
      </c>
      <c r="W46" s="48" t="s">
        <v>342</v>
      </c>
    </row>
    <row r="47" spans="1:23">
      <c r="A47" s="40" t="s">
        <v>471</v>
      </c>
      <c r="B47" s="40" t="s">
        <v>399</v>
      </c>
      <c r="C47" s="39" t="s">
        <v>668</v>
      </c>
      <c r="D47" s="72" t="s">
        <v>339</v>
      </c>
      <c r="E47" s="40" t="s">
        <v>475</v>
      </c>
      <c r="F47" s="39" t="s">
        <v>474</v>
      </c>
      <c r="G47" s="42">
        <v>1.1200000000000001</v>
      </c>
      <c r="H47" s="42">
        <v>2.0099999999999998</v>
      </c>
      <c r="I47" s="41">
        <v>-135222625</v>
      </c>
      <c r="J47" s="41">
        <v>-682</v>
      </c>
      <c r="K47" s="46">
        <v>198273.64</v>
      </c>
      <c r="L47" s="70">
        <v>191000</v>
      </c>
      <c r="M47" s="69" t="s">
        <v>362</v>
      </c>
      <c r="N47" s="68" t="s">
        <v>382</v>
      </c>
      <c r="O47" s="67">
        <v>-0.78</v>
      </c>
      <c r="P47" s="41">
        <v>4960625</v>
      </c>
      <c r="Q47" s="42">
        <v>3.67</v>
      </c>
      <c r="R47" s="41">
        <v>1023000</v>
      </c>
      <c r="S47" s="41">
        <v>1086772</v>
      </c>
      <c r="T47" s="40" t="s">
        <v>269</v>
      </c>
      <c r="U47" s="39" t="s">
        <v>343</v>
      </c>
      <c r="V47" s="38" t="s">
        <v>342</v>
      </c>
      <c r="W47" s="38" t="s">
        <v>342</v>
      </c>
    </row>
    <row r="48" spans="1:23">
      <c r="A48" s="50" t="s">
        <v>469</v>
      </c>
      <c r="B48" s="50" t="s">
        <v>399</v>
      </c>
      <c r="C48" s="49" t="s">
        <v>668</v>
      </c>
      <c r="D48" s="77" t="s">
        <v>339</v>
      </c>
      <c r="E48" s="50" t="s">
        <v>293</v>
      </c>
      <c r="F48" s="49" t="s">
        <v>294</v>
      </c>
      <c r="G48" s="52">
        <v>2.2400000000000002</v>
      </c>
      <c r="H48" s="52">
        <v>4</v>
      </c>
      <c r="I48" s="51">
        <v>-230017936</v>
      </c>
      <c r="J48" s="51">
        <v>-3666</v>
      </c>
      <c r="K48" s="56">
        <v>62743.57</v>
      </c>
      <c r="L48" s="76">
        <v>70700</v>
      </c>
      <c r="M48" s="75" t="s">
        <v>367</v>
      </c>
      <c r="N48" s="74" t="s">
        <v>472</v>
      </c>
      <c r="O48" s="73">
        <v>2.61</v>
      </c>
      <c r="P48" s="51">
        <v>-29168264</v>
      </c>
      <c r="Q48" s="52">
        <v>-12.68</v>
      </c>
      <c r="R48" s="51">
        <v>-6598800</v>
      </c>
      <c r="S48" s="51">
        <v>1255280</v>
      </c>
      <c r="T48" s="50" t="s">
        <v>269</v>
      </c>
      <c r="U48" s="49" t="s">
        <v>343</v>
      </c>
      <c r="V48" s="48" t="s">
        <v>342</v>
      </c>
      <c r="W48" s="48" t="s">
        <v>342</v>
      </c>
    </row>
    <row r="49" spans="1:23">
      <c r="A49" s="40" t="s">
        <v>466</v>
      </c>
      <c r="B49" s="40" t="s">
        <v>399</v>
      </c>
      <c r="C49" s="39" t="s">
        <v>668</v>
      </c>
      <c r="D49" s="72" t="s">
        <v>339</v>
      </c>
      <c r="E49" s="40" t="s">
        <v>8</v>
      </c>
      <c r="F49" s="39" t="s">
        <v>9</v>
      </c>
      <c r="G49" s="42">
        <v>1.29</v>
      </c>
      <c r="H49" s="42">
        <v>2.31</v>
      </c>
      <c r="I49" s="41">
        <v>-178765119</v>
      </c>
      <c r="J49" s="41">
        <v>-205</v>
      </c>
      <c r="K49" s="46">
        <v>872024.97</v>
      </c>
      <c r="L49" s="66">
        <v>729000</v>
      </c>
      <c r="M49" s="65" t="s">
        <v>367</v>
      </c>
      <c r="N49" s="64" t="s">
        <v>470</v>
      </c>
      <c r="O49" s="63">
        <v>2.39</v>
      </c>
      <c r="P49" s="41">
        <v>29320119</v>
      </c>
      <c r="Q49" s="42">
        <v>16.399999999999999</v>
      </c>
      <c r="R49" s="41">
        <v>-3485000</v>
      </c>
      <c r="S49" s="41">
        <v>1076254</v>
      </c>
      <c r="T49" s="40" t="s">
        <v>269</v>
      </c>
      <c r="U49" s="39" t="s">
        <v>343</v>
      </c>
      <c r="V49" s="38" t="s">
        <v>342</v>
      </c>
      <c r="W49" s="38" t="s">
        <v>342</v>
      </c>
    </row>
    <row r="50" spans="1:23">
      <c r="A50" s="50" t="s">
        <v>464</v>
      </c>
      <c r="B50" s="50" t="s">
        <v>399</v>
      </c>
      <c r="C50" s="49" t="s">
        <v>668</v>
      </c>
      <c r="D50" s="77" t="s">
        <v>339</v>
      </c>
      <c r="E50" s="50" t="s">
        <v>468</v>
      </c>
      <c r="F50" s="49" t="s">
        <v>467</v>
      </c>
      <c r="G50" s="52">
        <v>1.1299999999999999</v>
      </c>
      <c r="H50" s="52">
        <v>2.0299999999999998</v>
      </c>
      <c r="I50" s="51">
        <v>-153784618</v>
      </c>
      <c r="J50" s="51">
        <v>-4659</v>
      </c>
      <c r="K50" s="56">
        <v>33008.07</v>
      </c>
      <c r="L50" s="76">
        <v>28300</v>
      </c>
      <c r="M50" s="75" t="s">
        <v>367</v>
      </c>
      <c r="N50" s="74" t="s">
        <v>414</v>
      </c>
      <c r="O50" s="73">
        <v>0.71</v>
      </c>
      <c r="P50" s="51">
        <v>21934918</v>
      </c>
      <c r="Q50" s="52">
        <v>14.26</v>
      </c>
      <c r="R50" s="51">
        <v>-931800</v>
      </c>
      <c r="S50" s="51">
        <v>840406</v>
      </c>
      <c r="T50" s="50" t="s">
        <v>269</v>
      </c>
      <c r="U50" s="49" t="s">
        <v>343</v>
      </c>
      <c r="V50" s="48" t="s">
        <v>342</v>
      </c>
      <c r="W50" s="48" t="s">
        <v>342</v>
      </c>
    </row>
    <row r="51" spans="1:23">
      <c r="A51" s="40" t="s">
        <v>461</v>
      </c>
      <c r="B51" s="40" t="s">
        <v>399</v>
      </c>
      <c r="C51" s="39" t="s">
        <v>668</v>
      </c>
      <c r="D51" s="72" t="s">
        <v>339</v>
      </c>
      <c r="E51" s="40" t="s">
        <v>288</v>
      </c>
      <c r="F51" s="39" t="s">
        <v>289</v>
      </c>
      <c r="G51" s="42">
        <v>1.66</v>
      </c>
      <c r="H51" s="42">
        <v>2.97</v>
      </c>
      <c r="I51" s="41">
        <v>-186124070</v>
      </c>
      <c r="J51" s="41">
        <v>-980</v>
      </c>
      <c r="K51" s="46">
        <v>189922.52</v>
      </c>
      <c r="L51" s="66">
        <v>196500</v>
      </c>
      <c r="M51" s="65" t="s">
        <v>367</v>
      </c>
      <c r="N51" s="64" t="s">
        <v>465</v>
      </c>
      <c r="O51" s="63">
        <v>8.86</v>
      </c>
      <c r="P51" s="41">
        <v>-6445930</v>
      </c>
      <c r="Q51" s="42">
        <v>-3.46</v>
      </c>
      <c r="R51" s="41">
        <v>-15680000</v>
      </c>
      <c r="S51" s="41">
        <v>1354034</v>
      </c>
      <c r="T51" s="40" t="s">
        <v>269</v>
      </c>
      <c r="U51" s="39" t="s">
        <v>343</v>
      </c>
      <c r="V51" s="38" t="s">
        <v>342</v>
      </c>
      <c r="W51" s="38" t="s">
        <v>342</v>
      </c>
    </row>
    <row r="52" spans="1:23">
      <c r="A52" s="50" t="s">
        <v>453</v>
      </c>
      <c r="B52" s="50" t="s">
        <v>399</v>
      </c>
      <c r="C52" s="49" t="s">
        <v>668</v>
      </c>
      <c r="D52" s="77" t="s">
        <v>339</v>
      </c>
      <c r="E52" s="50" t="s">
        <v>463</v>
      </c>
      <c r="F52" s="49" t="s">
        <v>462</v>
      </c>
      <c r="G52" s="52">
        <v>1.57</v>
      </c>
      <c r="H52" s="52">
        <v>2.82</v>
      </c>
      <c r="I52" s="51">
        <v>-183788540</v>
      </c>
      <c r="J52" s="51">
        <v>-600</v>
      </c>
      <c r="K52" s="56">
        <v>306314.23</v>
      </c>
      <c r="L52" s="51">
        <v>304000</v>
      </c>
      <c r="M52" s="55" t="s">
        <v>269</v>
      </c>
      <c r="N52" s="54" t="s">
        <v>342</v>
      </c>
      <c r="O52" s="53">
        <v>0</v>
      </c>
      <c r="P52" s="51">
        <v>1388540</v>
      </c>
      <c r="Q52" s="52">
        <v>0.76</v>
      </c>
      <c r="R52" s="51">
        <v>0</v>
      </c>
      <c r="S52" s="51">
        <v>1865276</v>
      </c>
      <c r="T52" s="50" t="s">
        <v>269</v>
      </c>
      <c r="U52" s="49" t="s">
        <v>343</v>
      </c>
      <c r="V52" s="48" t="s">
        <v>342</v>
      </c>
      <c r="W52" s="48" t="s">
        <v>342</v>
      </c>
    </row>
    <row r="53" spans="1:23">
      <c r="A53" s="40" t="s">
        <v>459</v>
      </c>
      <c r="B53" s="40" t="s">
        <v>399</v>
      </c>
      <c r="C53" s="39" t="s">
        <v>668</v>
      </c>
      <c r="D53" s="72" t="s">
        <v>339</v>
      </c>
      <c r="E53" s="40" t="s">
        <v>301</v>
      </c>
      <c r="F53" s="39" t="s">
        <v>302</v>
      </c>
      <c r="G53" s="42">
        <v>1.1299999999999999</v>
      </c>
      <c r="H53" s="42">
        <v>2.02</v>
      </c>
      <c r="I53" s="41">
        <v>-129781824</v>
      </c>
      <c r="J53" s="41">
        <v>-690</v>
      </c>
      <c r="K53" s="58">
        <v>188089.60000000001</v>
      </c>
      <c r="L53" s="66">
        <v>189500</v>
      </c>
      <c r="M53" s="65" t="s">
        <v>367</v>
      </c>
      <c r="N53" s="64" t="s">
        <v>460</v>
      </c>
      <c r="O53" s="63">
        <v>1.61</v>
      </c>
      <c r="P53" s="41">
        <v>-973176</v>
      </c>
      <c r="Q53" s="42">
        <v>-0.75</v>
      </c>
      <c r="R53" s="41">
        <v>-2070000</v>
      </c>
      <c r="S53" s="41">
        <v>642808</v>
      </c>
      <c r="T53" s="40" t="s">
        <v>269</v>
      </c>
      <c r="U53" s="39" t="s">
        <v>343</v>
      </c>
      <c r="V53" s="38" t="s">
        <v>342</v>
      </c>
      <c r="W53" s="38" t="s">
        <v>342</v>
      </c>
    </row>
    <row r="54" spans="1:23">
      <c r="A54" s="50" t="s">
        <v>457</v>
      </c>
      <c r="B54" s="50" t="s">
        <v>399</v>
      </c>
      <c r="C54" s="49" t="s">
        <v>668</v>
      </c>
      <c r="D54" s="77" t="s">
        <v>339</v>
      </c>
      <c r="E54" s="50" t="s">
        <v>129</v>
      </c>
      <c r="F54" s="49" t="s">
        <v>130</v>
      </c>
      <c r="G54" s="52">
        <v>1.82</v>
      </c>
      <c r="H54" s="52">
        <v>3.26</v>
      </c>
      <c r="I54" s="51">
        <v>-217852699</v>
      </c>
      <c r="J54" s="51">
        <v>-3235</v>
      </c>
      <c r="K54" s="56">
        <v>67342.41</v>
      </c>
      <c r="L54" s="76">
        <v>65200</v>
      </c>
      <c r="M54" s="75" t="s">
        <v>367</v>
      </c>
      <c r="N54" s="74" t="s">
        <v>428</v>
      </c>
      <c r="O54" s="73">
        <v>0.77</v>
      </c>
      <c r="P54" s="51">
        <v>6930699</v>
      </c>
      <c r="Q54" s="52">
        <v>3.18</v>
      </c>
      <c r="R54" s="51">
        <v>-1617500</v>
      </c>
      <c r="S54" s="51">
        <v>790696</v>
      </c>
      <c r="T54" s="50" t="s">
        <v>269</v>
      </c>
      <c r="U54" s="49" t="s">
        <v>343</v>
      </c>
      <c r="V54" s="48" t="s">
        <v>342</v>
      </c>
      <c r="W54" s="48" t="s">
        <v>342</v>
      </c>
    </row>
    <row r="55" spans="1:23">
      <c r="A55" s="40" t="s">
        <v>456</v>
      </c>
      <c r="B55" s="40" t="s">
        <v>399</v>
      </c>
      <c r="C55" s="39" t="s">
        <v>668</v>
      </c>
      <c r="D55" s="72" t="s">
        <v>339</v>
      </c>
      <c r="E55" s="40" t="s">
        <v>320</v>
      </c>
      <c r="F55" s="39" t="s">
        <v>321</v>
      </c>
      <c r="G55" s="42">
        <v>0.99</v>
      </c>
      <c r="H55" s="42">
        <v>1.77</v>
      </c>
      <c r="I55" s="41">
        <v>-113418370</v>
      </c>
      <c r="J55" s="41">
        <v>-967</v>
      </c>
      <c r="K55" s="58">
        <v>117288.9</v>
      </c>
      <c r="L55" s="70">
        <v>119000</v>
      </c>
      <c r="M55" s="69" t="s">
        <v>362</v>
      </c>
      <c r="N55" s="68" t="s">
        <v>458</v>
      </c>
      <c r="O55" s="67">
        <v>-2.06</v>
      </c>
      <c r="P55" s="41">
        <v>-1654630</v>
      </c>
      <c r="Q55" s="42">
        <v>-1.46</v>
      </c>
      <c r="R55" s="41">
        <v>2417500</v>
      </c>
      <c r="S55" s="41">
        <v>4722454</v>
      </c>
      <c r="T55" s="40" t="s">
        <v>269</v>
      </c>
      <c r="U55" s="39" t="s">
        <v>343</v>
      </c>
      <c r="V55" s="38" t="s">
        <v>342</v>
      </c>
      <c r="W55" s="38" t="s">
        <v>342</v>
      </c>
    </row>
    <row r="56" spans="1:23">
      <c r="A56" s="50" t="s">
        <v>452</v>
      </c>
      <c r="B56" s="50" t="s">
        <v>399</v>
      </c>
      <c r="C56" s="49" t="s">
        <v>668</v>
      </c>
      <c r="D56" s="77" t="s">
        <v>339</v>
      </c>
      <c r="E56" s="50" t="s">
        <v>330</v>
      </c>
      <c r="F56" s="49" t="s">
        <v>331</v>
      </c>
      <c r="G56" s="52">
        <v>1.55</v>
      </c>
      <c r="H56" s="52">
        <v>2.78</v>
      </c>
      <c r="I56" s="51">
        <v>-185569846</v>
      </c>
      <c r="J56" s="51">
        <v>-860</v>
      </c>
      <c r="K56" s="56">
        <v>215778.89</v>
      </c>
      <c r="L56" s="76">
        <v>209000</v>
      </c>
      <c r="M56" s="75" t="s">
        <v>367</v>
      </c>
      <c r="N56" s="74" t="s">
        <v>389</v>
      </c>
      <c r="O56" s="73">
        <v>1.7</v>
      </c>
      <c r="P56" s="51">
        <v>5829846</v>
      </c>
      <c r="Q56" s="52">
        <v>3.14</v>
      </c>
      <c r="R56" s="51">
        <v>-3010000</v>
      </c>
      <c r="S56" s="51">
        <v>2553508</v>
      </c>
      <c r="T56" s="50" t="s">
        <v>269</v>
      </c>
      <c r="U56" s="49" t="s">
        <v>343</v>
      </c>
      <c r="V56" s="48" t="s">
        <v>342</v>
      </c>
      <c r="W56" s="48" t="s">
        <v>342</v>
      </c>
    </row>
    <row r="57" spans="1:23">
      <c r="A57" s="40" t="s">
        <v>373</v>
      </c>
      <c r="B57" s="40" t="s">
        <v>399</v>
      </c>
      <c r="C57" s="39" t="s">
        <v>668</v>
      </c>
      <c r="D57" s="72" t="s">
        <v>339</v>
      </c>
      <c r="E57" s="40" t="s">
        <v>455</v>
      </c>
      <c r="F57" s="39" t="s">
        <v>454</v>
      </c>
      <c r="G57" s="42">
        <v>0.96</v>
      </c>
      <c r="H57" s="42">
        <v>1.71</v>
      </c>
      <c r="I57" s="41">
        <v>-130661046</v>
      </c>
      <c r="J57" s="41">
        <v>-2280</v>
      </c>
      <c r="K57" s="46">
        <v>57307.48</v>
      </c>
      <c r="L57" s="66">
        <v>48750</v>
      </c>
      <c r="M57" s="65" t="s">
        <v>367</v>
      </c>
      <c r="N57" s="64" t="s">
        <v>453</v>
      </c>
      <c r="O57" s="63">
        <v>0.1</v>
      </c>
      <c r="P57" s="41">
        <v>19511046</v>
      </c>
      <c r="Q57" s="42">
        <v>14.93</v>
      </c>
      <c r="R57" s="41">
        <v>-114000</v>
      </c>
      <c r="S57" s="41">
        <v>524654</v>
      </c>
      <c r="T57" s="40" t="s">
        <v>269</v>
      </c>
      <c r="U57" s="39" t="s">
        <v>343</v>
      </c>
      <c r="V57" s="38" t="s">
        <v>342</v>
      </c>
      <c r="W57" s="38" t="s">
        <v>342</v>
      </c>
    </row>
    <row r="58" spans="1:23">
      <c r="A58" s="50" t="s">
        <v>449</v>
      </c>
      <c r="B58" s="50" t="s">
        <v>399</v>
      </c>
      <c r="C58" s="49" t="s">
        <v>668</v>
      </c>
      <c r="D58" s="77" t="s">
        <v>339</v>
      </c>
      <c r="E58" s="50" t="s">
        <v>238</v>
      </c>
      <c r="F58" s="49" t="s">
        <v>239</v>
      </c>
      <c r="G58" s="52">
        <v>1.49</v>
      </c>
      <c r="H58" s="52">
        <v>2.67</v>
      </c>
      <c r="I58" s="51">
        <v>-182692037</v>
      </c>
      <c r="J58" s="51">
        <v>-1144</v>
      </c>
      <c r="K58" s="56">
        <v>159695.84</v>
      </c>
      <c r="L58" s="62">
        <v>151000</v>
      </c>
      <c r="M58" s="61" t="s">
        <v>362</v>
      </c>
      <c r="N58" s="60" t="s">
        <v>451</v>
      </c>
      <c r="O58" s="59">
        <v>-2.58</v>
      </c>
      <c r="P58" s="51">
        <v>9948037</v>
      </c>
      <c r="Q58" s="52">
        <v>5.45</v>
      </c>
      <c r="R58" s="51">
        <v>4576000</v>
      </c>
      <c r="S58" s="51">
        <v>2004892</v>
      </c>
      <c r="T58" s="50" t="s">
        <v>269</v>
      </c>
      <c r="U58" s="49" t="s">
        <v>343</v>
      </c>
      <c r="V58" s="48" t="s">
        <v>342</v>
      </c>
      <c r="W58" s="48" t="s">
        <v>342</v>
      </c>
    </row>
    <row r="59" spans="1:23">
      <c r="A59" s="40" t="s">
        <v>447</v>
      </c>
      <c r="B59" s="40" t="s">
        <v>399</v>
      </c>
      <c r="C59" s="39" t="s">
        <v>668</v>
      </c>
      <c r="D59" s="72" t="s">
        <v>339</v>
      </c>
      <c r="E59" s="40" t="s">
        <v>300</v>
      </c>
      <c r="F59" s="39" t="s">
        <v>292</v>
      </c>
      <c r="G59" s="42">
        <v>2.15</v>
      </c>
      <c r="H59" s="42">
        <v>3.86</v>
      </c>
      <c r="I59" s="41">
        <v>-255818996</v>
      </c>
      <c r="J59" s="41">
        <v>-26030</v>
      </c>
      <c r="K59" s="46">
        <v>9827.85</v>
      </c>
      <c r="L59" s="70">
        <v>9600</v>
      </c>
      <c r="M59" s="69" t="s">
        <v>362</v>
      </c>
      <c r="N59" s="68" t="s">
        <v>450</v>
      </c>
      <c r="O59" s="67">
        <v>-3.52</v>
      </c>
      <c r="P59" s="41">
        <v>5930996</v>
      </c>
      <c r="Q59" s="42">
        <v>2.3199999999999998</v>
      </c>
      <c r="R59" s="41">
        <v>9110500</v>
      </c>
      <c r="S59" s="41">
        <v>2616664</v>
      </c>
      <c r="T59" s="40" t="s">
        <v>269</v>
      </c>
      <c r="U59" s="39" t="s">
        <v>343</v>
      </c>
      <c r="V59" s="38" t="s">
        <v>342</v>
      </c>
      <c r="W59" s="38" t="s">
        <v>342</v>
      </c>
    </row>
    <row r="60" spans="1:23">
      <c r="A60" s="50" t="s">
        <v>446</v>
      </c>
      <c r="B60" s="50" t="s">
        <v>399</v>
      </c>
      <c r="C60" s="49" t="s">
        <v>668</v>
      </c>
      <c r="D60" s="77" t="s">
        <v>339</v>
      </c>
      <c r="E60" s="50" t="s">
        <v>326</v>
      </c>
      <c r="F60" s="49" t="s">
        <v>327</v>
      </c>
      <c r="G60" s="52">
        <v>1.65</v>
      </c>
      <c r="H60" s="52">
        <v>2.95</v>
      </c>
      <c r="I60" s="51">
        <v>-191857168</v>
      </c>
      <c r="J60" s="51">
        <v>-2250</v>
      </c>
      <c r="K60" s="56">
        <v>85269.85</v>
      </c>
      <c r="L60" s="62">
        <v>85000</v>
      </c>
      <c r="M60" s="61" t="s">
        <v>362</v>
      </c>
      <c r="N60" s="60" t="s">
        <v>448</v>
      </c>
      <c r="O60" s="59">
        <v>-1.28</v>
      </c>
      <c r="P60" s="51">
        <v>607168</v>
      </c>
      <c r="Q60" s="52">
        <v>0.32</v>
      </c>
      <c r="R60" s="51">
        <v>2475000</v>
      </c>
      <c r="S60" s="51">
        <v>3210252</v>
      </c>
      <c r="T60" s="50" t="s">
        <v>269</v>
      </c>
      <c r="U60" s="49" t="s">
        <v>343</v>
      </c>
      <c r="V60" s="48" t="s">
        <v>342</v>
      </c>
      <c r="W60" s="48" t="s">
        <v>342</v>
      </c>
    </row>
    <row r="61" spans="1:23">
      <c r="A61" s="40" t="s">
        <v>442</v>
      </c>
      <c r="B61" s="40" t="s">
        <v>399</v>
      </c>
      <c r="C61" s="39" t="s">
        <v>668</v>
      </c>
      <c r="D61" s="72" t="s">
        <v>339</v>
      </c>
      <c r="E61" s="40" t="s">
        <v>332</v>
      </c>
      <c r="F61" s="39" t="s">
        <v>333</v>
      </c>
      <c r="G61" s="42">
        <v>1.58</v>
      </c>
      <c r="H61" s="42">
        <v>2.84</v>
      </c>
      <c r="I61" s="41">
        <v>-186582724</v>
      </c>
      <c r="J61" s="41">
        <v>-650</v>
      </c>
      <c r="K61" s="46">
        <v>287050.34000000003</v>
      </c>
      <c r="L61" s="66">
        <v>282500</v>
      </c>
      <c r="M61" s="65" t="s">
        <v>367</v>
      </c>
      <c r="N61" s="64" t="s">
        <v>382</v>
      </c>
      <c r="O61" s="63">
        <v>0.53</v>
      </c>
      <c r="P61" s="41">
        <v>2957724</v>
      </c>
      <c r="Q61" s="42">
        <v>1.59</v>
      </c>
      <c r="R61" s="41">
        <v>-975000</v>
      </c>
      <c r="S61" s="41">
        <v>2379726</v>
      </c>
      <c r="T61" s="40" t="s">
        <v>269</v>
      </c>
      <c r="U61" s="39" t="s">
        <v>343</v>
      </c>
      <c r="V61" s="38" t="s">
        <v>342</v>
      </c>
      <c r="W61" s="38" t="s">
        <v>342</v>
      </c>
    </row>
    <row r="62" spans="1:23">
      <c r="A62" s="50" t="s">
        <v>440</v>
      </c>
      <c r="B62" s="50" t="s">
        <v>399</v>
      </c>
      <c r="C62" s="49" t="s">
        <v>668</v>
      </c>
      <c r="D62" s="77" t="s">
        <v>339</v>
      </c>
      <c r="E62" s="50" t="s">
        <v>445</v>
      </c>
      <c r="F62" s="49" t="s">
        <v>444</v>
      </c>
      <c r="G62" s="52">
        <v>0.98</v>
      </c>
      <c r="H62" s="52">
        <v>1.76</v>
      </c>
      <c r="I62" s="51">
        <v>-127054886</v>
      </c>
      <c r="J62" s="51">
        <v>-4040</v>
      </c>
      <c r="K62" s="56">
        <v>31449.23</v>
      </c>
      <c r="L62" s="62">
        <v>28250</v>
      </c>
      <c r="M62" s="61" t="s">
        <v>362</v>
      </c>
      <c r="N62" s="60" t="s">
        <v>443</v>
      </c>
      <c r="O62" s="59">
        <v>-0.88</v>
      </c>
      <c r="P62" s="51">
        <v>12924886</v>
      </c>
      <c r="Q62" s="52">
        <v>10.17</v>
      </c>
      <c r="R62" s="51">
        <v>1010000</v>
      </c>
      <c r="S62" s="51">
        <v>1114324</v>
      </c>
      <c r="T62" s="50" t="s">
        <v>269</v>
      </c>
      <c r="U62" s="49" t="s">
        <v>343</v>
      </c>
      <c r="V62" s="48" t="s">
        <v>342</v>
      </c>
      <c r="W62" s="48" t="s">
        <v>342</v>
      </c>
    </row>
    <row r="63" spans="1:23">
      <c r="A63" s="40" t="s">
        <v>439</v>
      </c>
      <c r="B63" s="40" t="s">
        <v>399</v>
      </c>
      <c r="C63" s="39" t="s">
        <v>668</v>
      </c>
      <c r="D63" s="72" t="s">
        <v>339</v>
      </c>
      <c r="E63" s="40" t="s">
        <v>143</v>
      </c>
      <c r="F63" s="39" t="s">
        <v>144</v>
      </c>
      <c r="G63" s="42">
        <v>0.53</v>
      </c>
      <c r="H63" s="42">
        <v>0.95</v>
      </c>
      <c r="I63" s="41">
        <v>-81273854</v>
      </c>
      <c r="J63" s="41">
        <v>-6744</v>
      </c>
      <c r="K63" s="46">
        <v>12051.28</v>
      </c>
      <c r="L63" s="70">
        <v>9110</v>
      </c>
      <c r="M63" s="69" t="s">
        <v>362</v>
      </c>
      <c r="N63" s="68" t="s">
        <v>441</v>
      </c>
      <c r="O63" s="67">
        <v>-2.88</v>
      </c>
      <c r="P63" s="41">
        <v>19836014</v>
      </c>
      <c r="Q63" s="42">
        <v>24.41</v>
      </c>
      <c r="R63" s="41">
        <v>1820880</v>
      </c>
      <c r="S63" s="41">
        <v>1459495</v>
      </c>
      <c r="T63" s="40" t="s">
        <v>269</v>
      </c>
      <c r="U63" s="39" t="s">
        <v>343</v>
      </c>
      <c r="V63" s="38" t="s">
        <v>342</v>
      </c>
      <c r="W63" s="38" t="s">
        <v>342</v>
      </c>
    </row>
    <row r="64" spans="1:23">
      <c r="A64" s="50" t="s">
        <v>438</v>
      </c>
      <c r="B64" s="50" t="s">
        <v>399</v>
      </c>
      <c r="C64" s="49" t="s">
        <v>668</v>
      </c>
      <c r="D64" s="77" t="s">
        <v>339</v>
      </c>
      <c r="E64" s="50" t="s">
        <v>204</v>
      </c>
      <c r="F64" s="49" t="s">
        <v>205</v>
      </c>
      <c r="G64" s="52">
        <v>1.0900000000000001</v>
      </c>
      <c r="H64" s="52">
        <v>1.96</v>
      </c>
      <c r="I64" s="51">
        <v>-125198254</v>
      </c>
      <c r="J64" s="51">
        <v>-570</v>
      </c>
      <c r="K64" s="56">
        <v>219646.06</v>
      </c>
      <c r="L64" s="76">
        <v>222500</v>
      </c>
      <c r="M64" s="75" t="s">
        <v>367</v>
      </c>
      <c r="N64" s="74" t="s">
        <v>398</v>
      </c>
      <c r="O64" s="73">
        <v>0.91</v>
      </c>
      <c r="P64" s="51">
        <v>-1626746</v>
      </c>
      <c r="Q64" s="52">
        <v>-1.3</v>
      </c>
      <c r="R64" s="51">
        <v>-1140000</v>
      </c>
      <c r="S64" s="51">
        <v>502746</v>
      </c>
      <c r="T64" s="50" t="s">
        <v>269</v>
      </c>
      <c r="U64" s="49" t="s">
        <v>343</v>
      </c>
      <c r="V64" s="48" t="s">
        <v>342</v>
      </c>
      <c r="W64" s="48" t="s">
        <v>342</v>
      </c>
    </row>
    <row r="65" spans="1:23">
      <c r="A65" s="40" t="s">
        <v>436</v>
      </c>
      <c r="B65" s="40" t="s">
        <v>399</v>
      </c>
      <c r="C65" s="39" t="s">
        <v>668</v>
      </c>
      <c r="D65" s="72" t="s">
        <v>339</v>
      </c>
      <c r="E65" s="40" t="s">
        <v>145</v>
      </c>
      <c r="F65" s="39" t="s">
        <v>146</v>
      </c>
      <c r="G65" s="42">
        <v>1.1599999999999999</v>
      </c>
      <c r="H65" s="42">
        <v>2.08</v>
      </c>
      <c r="I65" s="41">
        <v>-134157290</v>
      </c>
      <c r="J65" s="41">
        <v>-11878</v>
      </c>
      <c r="K65" s="58">
        <v>11294.6</v>
      </c>
      <c r="L65" s="66">
        <v>11350</v>
      </c>
      <c r="M65" s="65" t="s">
        <v>367</v>
      </c>
      <c r="N65" s="64" t="s">
        <v>401</v>
      </c>
      <c r="O65" s="63">
        <v>1.34</v>
      </c>
      <c r="P65" s="41">
        <v>-658010</v>
      </c>
      <c r="Q65" s="42">
        <v>-0.49</v>
      </c>
      <c r="R65" s="41">
        <v>-1781700</v>
      </c>
      <c r="S65" s="41">
        <v>1219260</v>
      </c>
      <c r="T65" s="40" t="s">
        <v>269</v>
      </c>
      <c r="U65" s="39" t="s">
        <v>343</v>
      </c>
      <c r="V65" s="38" t="s">
        <v>342</v>
      </c>
      <c r="W65" s="38" t="s">
        <v>342</v>
      </c>
    </row>
    <row r="66" spans="1:23">
      <c r="A66" s="50" t="s">
        <v>435</v>
      </c>
      <c r="B66" s="50" t="s">
        <v>399</v>
      </c>
      <c r="C66" s="49" t="s">
        <v>668</v>
      </c>
      <c r="D66" s="77" t="s">
        <v>339</v>
      </c>
      <c r="E66" s="50" t="s">
        <v>274</v>
      </c>
      <c r="F66" s="49" t="s">
        <v>275</v>
      </c>
      <c r="G66" s="52">
        <v>2.1800000000000002</v>
      </c>
      <c r="H66" s="52">
        <v>3.9</v>
      </c>
      <c r="I66" s="51">
        <v>-246975734</v>
      </c>
      <c r="J66" s="51">
        <v>-1210</v>
      </c>
      <c r="K66" s="56">
        <v>204112.18</v>
      </c>
      <c r="L66" s="76">
        <v>208500</v>
      </c>
      <c r="M66" s="75" t="s">
        <v>367</v>
      </c>
      <c r="N66" s="74" t="s">
        <v>437</v>
      </c>
      <c r="O66" s="73">
        <v>2.46</v>
      </c>
      <c r="P66" s="51">
        <v>-5309266</v>
      </c>
      <c r="Q66" s="52">
        <v>-2.15</v>
      </c>
      <c r="R66" s="51">
        <v>-6050000</v>
      </c>
      <c r="S66" s="51">
        <v>1084338</v>
      </c>
      <c r="T66" s="50" t="s">
        <v>269</v>
      </c>
      <c r="U66" s="49" t="s">
        <v>343</v>
      </c>
      <c r="V66" s="48" t="s">
        <v>342</v>
      </c>
      <c r="W66" s="48" t="s">
        <v>342</v>
      </c>
    </row>
    <row r="67" spans="1:23">
      <c r="A67" s="40" t="s">
        <v>434</v>
      </c>
      <c r="B67" s="40" t="s">
        <v>399</v>
      </c>
      <c r="C67" s="39" t="s">
        <v>668</v>
      </c>
      <c r="D67" s="72" t="s">
        <v>339</v>
      </c>
      <c r="E67" s="40" t="s">
        <v>147</v>
      </c>
      <c r="F67" s="39" t="s">
        <v>148</v>
      </c>
      <c r="G67" s="42">
        <v>1.74</v>
      </c>
      <c r="H67" s="42">
        <v>3.11</v>
      </c>
      <c r="I67" s="41">
        <v>-191049264</v>
      </c>
      <c r="J67" s="41">
        <v>-961</v>
      </c>
      <c r="K67" s="46">
        <v>198802.56</v>
      </c>
      <c r="L67" s="41">
        <v>209500</v>
      </c>
      <c r="M67" s="45" t="s">
        <v>269</v>
      </c>
      <c r="N67" s="44" t="s">
        <v>342</v>
      </c>
      <c r="O67" s="43">
        <v>0</v>
      </c>
      <c r="P67" s="41">
        <v>-10280236</v>
      </c>
      <c r="Q67" s="42">
        <v>-5.38</v>
      </c>
      <c r="R67" s="41">
        <v>0</v>
      </c>
      <c r="S67" s="41">
        <v>3619038</v>
      </c>
      <c r="T67" s="40" t="s">
        <v>269</v>
      </c>
      <c r="U67" s="39" t="s">
        <v>343</v>
      </c>
      <c r="V67" s="38" t="s">
        <v>342</v>
      </c>
      <c r="W67" s="38" t="s">
        <v>342</v>
      </c>
    </row>
    <row r="68" spans="1:23">
      <c r="A68" s="50" t="s">
        <v>433</v>
      </c>
      <c r="B68" s="50" t="s">
        <v>399</v>
      </c>
      <c r="C68" s="49" t="s">
        <v>668</v>
      </c>
      <c r="D68" s="77" t="s">
        <v>339</v>
      </c>
      <c r="E68" s="50" t="s">
        <v>153</v>
      </c>
      <c r="F68" s="49" t="s">
        <v>154</v>
      </c>
      <c r="G68" s="52">
        <v>1.96</v>
      </c>
      <c r="H68" s="52">
        <v>3.52</v>
      </c>
      <c r="I68" s="51">
        <v>-258059950</v>
      </c>
      <c r="J68" s="51">
        <v>-2810</v>
      </c>
      <c r="K68" s="56">
        <v>91836.28</v>
      </c>
      <c r="L68" s="51">
        <v>81000</v>
      </c>
      <c r="M68" s="55" t="s">
        <v>269</v>
      </c>
      <c r="N68" s="54" t="s">
        <v>342</v>
      </c>
      <c r="O68" s="53">
        <v>0</v>
      </c>
      <c r="P68" s="51">
        <v>30449950</v>
      </c>
      <c r="Q68" s="52">
        <v>11.8</v>
      </c>
      <c r="R68" s="51">
        <v>0</v>
      </c>
      <c r="S68" s="51">
        <v>2282871</v>
      </c>
      <c r="T68" s="50" t="s">
        <v>269</v>
      </c>
      <c r="U68" s="49" t="s">
        <v>343</v>
      </c>
      <c r="V68" s="48" t="s">
        <v>342</v>
      </c>
      <c r="W68" s="48" t="s">
        <v>342</v>
      </c>
    </row>
    <row r="69" spans="1:23">
      <c r="A69" s="40" t="s">
        <v>430</v>
      </c>
      <c r="B69" s="40" t="s">
        <v>399</v>
      </c>
      <c r="C69" s="39" t="s">
        <v>668</v>
      </c>
      <c r="D69" s="72" t="s">
        <v>339</v>
      </c>
      <c r="E69" s="40" t="s">
        <v>310</v>
      </c>
      <c r="F69" s="39" t="s">
        <v>311</v>
      </c>
      <c r="G69" s="42">
        <v>0.95</v>
      </c>
      <c r="H69" s="42">
        <v>1.7</v>
      </c>
      <c r="I69" s="41">
        <v>-121514828</v>
      </c>
      <c r="J69" s="41">
        <v>-7320</v>
      </c>
      <c r="K69" s="46">
        <v>16600.39</v>
      </c>
      <c r="L69" s="70">
        <v>15100</v>
      </c>
      <c r="M69" s="69" t="s">
        <v>362</v>
      </c>
      <c r="N69" s="68" t="s">
        <v>371</v>
      </c>
      <c r="O69" s="67">
        <v>-1.95</v>
      </c>
      <c r="P69" s="41">
        <v>10982828</v>
      </c>
      <c r="Q69" s="42">
        <v>9.0399999999999991</v>
      </c>
      <c r="R69" s="41">
        <v>2196000</v>
      </c>
      <c r="S69" s="41">
        <v>1032359</v>
      </c>
      <c r="T69" s="40" t="s">
        <v>269</v>
      </c>
      <c r="U69" s="39" t="s">
        <v>343</v>
      </c>
      <c r="V69" s="38" t="s">
        <v>342</v>
      </c>
      <c r="W69" s="38" t="s">
        <v>342</v>
      </c>
    </row>
    <row r="70" spans="1:23">
      <c r="A70" s="50" t="s">
        <v>429</v>
      </c>
      <c r="B70" s="50" t="s">
        <v>399</v>
      </c>
      <c r="C70" s="49" t="s">
        <v>668</v>
      </c>
      <c r="D70" s="77" t="s">
        <v>339</v>
      </c>
      <c r="E70" s="50" t="s">
        <v>432</v>
      </c>
      <c r="F70" s="49" t="s">
        <v>431</v>
      </c>
      <c r="G70" s="52">
        <v>1.8</v>
      </c>
      <c r="H70" s="52">
        <v>3.23</v>
      </c>
      <c r="I70" s="51">
        <v>-208214926</v>
      </c>
      <c r="J70" s="51">
        <v>-8777</v>
      </c>
      <c r="K70" s="56">
        <v>23722.79</v>
      </c>
      <c r="L70" s="62">
        <v>23850</v>
      </c>
      <c r="M70" s="61" t="s">
        <v>362</v>
      </c>
      <c r="N70" s="60" t="s">
        <v>401</v>
      </c>
      <c r="O70" s="59">
        <v>-0.62</v>
      </c>
      <c r="P70" s="51">
        <v>-1116524</v>
      </c>
      <c r="Q70" s="52">
        <v>-0.54</v>
      </c>
      <c r="R70" s="51">
        <v>1316550</v>
      </c>
      <c r="S70" s="51">
        <v>1855720</v>
      </c>
      <c r="T70" s="50" t="s">
        <v>269</v>
      </c>
      <c r="U70" s="49" t="s">
        <v>343</v>
      </c>
      <c r="V70" s="48" t="s">
        <v>342</v>
      </c>
      <c r="W70" s="48" t="s">
        <v>342</v>
      </c>
    </row>
    <row r="71" spans="1:23">
      <c r="A71" s="40" t="s">
        <v>427</v>
      </c>
      <c r="B71" s="40" t="s">
        <v>399</v>
      </c>
      <c r="C71" s="39" t="s">
        <v>668</v>
      </c>
      <c r="D71" s="72" t="s">
        <v>339</v>
      </c>
      <c r="E71" s="40" t="s">
        <v>261</v>
      </c>
      <c r="F71" s="39" t="s">
        <v>262</v>
      </c>
      <c r="G71" s="42">
        <v>0.57999999999999996</v>
      </c>
      <c r="H71" s="42">
        <v>1.04</v>
      </c>
      <c r="I71" s="41">
        <v>-74527823</v>
      </c>
      <c r="J71" s="41">
        <v>-1018</v>
      </c>
      <c r="K71" s="46">
        <v>73210.039999999994</v>
      </c>
      <c r="L71" s="66">
        <v>66200</v>
      </c>
      <c r="M71" s="65" t="s">
        <v>367</v>
      </c>
      <c r="N71" s="64" t="s">
        <v>384</v>
      </c>
      <c r="O71" s="63">
        <v>1.53</v>
      </c>
      <c r="P71" s="41">
        <v>7136223</v>
      </c>
      <c r="Q71" s="42">
        <v>9.58</v>
      </c>
      <c r="R71" s="41">
        <v>-1018000</v>
      </c>
      <c r="S71" s="41">
        <v>1058272</v>
      </c>
      <c r="T71" s="40" t="s">
        <v>269</v>
      </c>
      <c r="U71" s="39" t="s">
        <v>343</v>
      </c>
      <c r="V71" s="38" t="s">
        <v>342</v>
      </c>
      <c r="W71" s="38" t="s">
        <v>342</v>
      </c>
    </row>
    <row r="72" spans="1:23">
      <c r="A72" s="50" t="s">
        <v>375</v>
      </c>
      <c r="B72" s="50" t="s">
        <v>399</v>
      </c>
      <c r="C72" s="49" t="s">
        <v>668</v>
      </c>
      <c r="D72" s="77" t="s">
        <v>339</v>
      </c>
      <c r="E72" s="50" t="s">
        <v>163</v>
      </c>
      <c r="F72" s="49" t="s">
        <v>164</v>
      </c>
      <c r="G72" s="52">
        <v>0.53</v>
      </c>
      <c r="H72" s="52">
        <v>0.95</v>
      </c>
      <c r="I72" s="51">
        <v>-59868104</v>
      </c>
      <c r="J72" s="51">
        <v>-230</v>
      </c>
      <c r="K72" s="78">
        <v>260296.1</v>
      </c>
      <c r="L72" s="76">
        <v>268500</v>
      </c>
      <c r="M72" s="75" t="s">
        <v>367</v>
      </c>
      <c r="N72" s="74" t="s">
        <v>428</v>
      </c>
      <c r="O72" s="73">
        <v>0.19</v>
      </c>
      <c r="P72" s="51">
        <v>-1886896</v>
      </c>
      <c r="Q72" s="52">
        <v>-3.15</v>
      </c>
      <c r="R72" s="51">
        <v>-115000</v>
      </c>
      <c r="S72" s="51">
        <v>3047214</v>
      </c>
      <c r="T72" s="50" t="s">
        <v>269</v>
      </c>
      <c r="U72" s="49" t="s">
        <v>343</v>
      </c>
      <c r="V72" s="48" t="s">
        <v>342</v>
      </c>
      <c r="W72" s="48" t="s">
        <v>342</v>
      </c>
    </row>
    <row r="73" spans="1:23">
      <c r="A73" s="40" t="s">
        <v>422</v>
      </c>
      <c r="B73" s="40" t="s">
        <v>399</v>
      </c>
      <c r="C73" s="39" t="s">
        <v>668</v>
      </c>
      <c r="D73" s="72" t="s">
        <v>339</v>
      </c>
      <c r="E73" s="40" t="s">
        <v>165</v>
      </c>
      <c r="F73" s="39" t="s">
        <v>166</v>
      </c>
      <c r="G73" s="42">
        <v>0.76</v>
      </c>
      <c r="H73" s="42">
        <v>1.36</v>
      </c>
      <c r="I73" s="41">
        <v>-80084249</v>
      </c>
      <c r="J73" s="41">
        <v>-2579</v>
      </c>
      <c r="K73" s="46">
        <v>31052.44</v>
      </c>
      <c r="L73" s="70">
        <v>34100</v>
      </c>
      <c r="M73" s="69" t="s">
        <v>362</v>
      </c>
      <c r="N73" s="68" t="s">
        <v>426</v>
      </c>
      <c r="O73" s="67">
        <v>-3.94</v>
      </c>
      <c r="P73" s="41">
        <v>-7859651</v>
      </c>
      <c r="Q73" s="42">
        <v>-9.81</v>
      </c>
      <c r="R73" s="41">
        <v>3610600</v>
      </c>
      <c r="S73" s="41">
        <v>977484</v>
      </c>
      <c r="T73" s="40" t="s">
        <v>269</v>
      </c>
      <c r="U73" s="39" t="s">
        <v>343</v>
      </c>
      <c r="V73" s="38" t="s">
        <v>342</v>
      </c>
      <c r="W73" s="38" t="s">
        <v>342</v>
      </c>
    </row>
    <row r="74" spans="1:23">
      <c r="A74" s="50" t="s">
        <v>421</v>
      </c>
      <c r="B74" s="50" t="s">
        <v>399</v>
      </c>
      <c r="C74" s="49" t="s">
        <v>668</v>
      </c>
      <c r="D74" s="77" t="s">
        <v>339</v>
      </c>
      <c r="E74" s="50" t="s">
        <v>425</v>
      </c>
      <c r="F74" s="49" t="s">
        <v>424</v>
      </c>
      <c r="G74" s="52">
        <v>1.74</v>
      </c>
      <c r="H74" s="52">
        <v>3.12</v>
      </c>
      <c r="I74" s="51">
        <v>-207159520</v>
      </c>
      <c r="J74" s="51">
        <v>-1870</v>
      </c>
      <c r="K74" s="56">
        <v>110780.49</v>
      </c>
      <c r="L74" s="62">
        <v>108000</v>
      </c>
      <c r="M74" s="61" t="s">
        <v>362</v>
      </c>
      <c r="N74" s="60" t="s">
        <v>423</v>
      </c>
      <c r="O74" s="59">
        <v>-0.55000000000000004</v>
      </c>
      <c r="P74" s="51">
        <v>5199520</v>
      </c>
      <c r="Q74" s="52">
        <v>2.5099999999999998</v>
      </c>
      <c r="R74" s="51">
        <v>1122000</v>
      </c>
      <c r="S74" s="51">
        <v>1107296</v>
      </c>
      <c r="T74" s="50" t="s">
        <v>269</v>
      </c>
      <c r="U74" s="49" t="s">
        <v>343</v>
      </c>
      <c r="V74" s="48" t="s">
        <v>342</v>
      </c>
      <c r="W74" s="48" t="s">
        <v>342</v>
      </c>
    </row>
    <row r="75" spans="1:23">
      <c r="A75" s="40" t="s">
        <v>420</v>
      </c>
      <c r="B75" s="40" t="s">
        <v>399</v>
      </c>
      <c r="C75" s="39" t="s">
        <v>668</v>
      </c>
      <c r="D75" s="72" t="s">
        <v>339</v>
      </c>
      <c r="E75" s="40" t="s">
        <v>316</v>
      </c>
      <c r="F75" s="39" t="s">
        <v>317</v>
      </c>
      <c r="G75" s="42">
        <v>0.47</v>
      </c>
      <c r="H75" s="42">
        <v>0.85</v>
      </c>
      <c r="I75" s="41">
        <v>-62850050</v>
      </c>
      <c r="J75" s="41">
        <v>-2170</v>
      </c>
      <c r="K75" s="46">
        <v>28963.16</v>
      </c>
      <c r="L75" s="66">
        <v>25500</v>
      </c>
      <c r="M75" s="65" t="s">
        <v>367</v>
      </c>
      <c r="N75" s="64" t="s">
        <v>391</v>
      </c>
      <c r="O75" s="63">
        <v>3.24</v>
      </c>
      <c r="P75" s="41">
        <v>7515050</v>
      </c>
      <c r="Q75" s="42">
        <v>11.96</v>
      </c>
      <c r="R75" s="41">
        <v>-1736000</v>
      </c>
      <c r="S75" s="41">
        <v>252300</v>
      </c>
      <c r="T75" s="40" t="s">
        <v>269</v>
      </c>
      <c r="U75" s="39" t="s">
        <v>343</v>
      </c>
      <c r="V75" s="38" t="s">
        <v>342</v>
      </c>
      <c r="W75" s="38" t="s">
        <v>342</v>
      </c>
    </row>
    <row r="76" spans="1:23">
      <c r="A76" s="50" t="s">
        <v>418</v>
      </c>
      <c r="B76" s="50" t="s">
        <v>399</v>
      </c>
      <c r="C76" s="49" t="s">
        <v>668</v>
      </c>
      <c r="D76" s="77" t="s">
        <v>339</v>
      </c>
      <c r="E76" s="50" t="s">
        <v>240</v>
      </c>
      <c r="F76" s="49" t="s">
        <v>241</v>
      </c>
      <c r="G76" s="52">
        <v>1.57</v>
      </c>
      <c r="H76" s="52">
        <v>2.81</v>
      </c>
      <c r="I76" s="51">
        <v>-190021320</v>
      </c>
      <c r="J76" s="51">
        <v>-2168</v>
      </c>
      <c r="K76" s="56">
        <v>87648.21</v>
      </c>
      <c r="L76" s="76">
        <v>83800</v>
      </c>
      <c r="M76" s="75" t="s">
        <v>367</v>
      </c>
      <c r="N76" s="74" t="s">
        <v>371</v>
      </c>
      <c r="O76" s="73">
        <v>0.36</v>
      </c>
      <c r="P76" s="51">
        <v>8342920</v>
      </c>
      <c r="Q76" s="52">
        <v>4.3899999999999997</v>
      </c>
      <c r="R76" s="51">
        <v>-650400</v>
      </c>
      <c r="S76" s="51">
        <v>1029120</v>
      </c>
      <c r="T76" s="50" t="s">
        <v>269</v>
      </c>
      <c r="U76" s="49" t="s">
        <v>343</v>
      </c>
      <c r="V76" s="48" t="s">
        <v>342</v>
      </c>
      <c r="W76" s="48" t="s">
        <v>342</v>
      </c>
    </row>
    <row r="77" spans="1:23">
      <c r="A77" s="40" t="s">
        <v>417</v>
      </c>
      <c r="B77" s="40" t="s">
        <v>399</v>
      </c>
      <c r="C77" s="39" t="s">
        <v>668</v>
      </c>
      <c r="D77" s="72" t="s">
        <v>339</v>
      </c>
      <c r="E77" s="40" t="s">
        <v>218</v>
      </c>
      <c r="F77" s="39" t="s">
        <v>219</v>
      </c>
      <c r="G77" s="42">
        <v>1.78</v>
      </c>
      <c r="H77" s="42">
        <v>3.18</v>
      </c>
      <c r="I77" s="41">
        <v>-224190858</v>
      </c>
      <c r="J77" s="41">
        <v>-8517</v>
      </c>
      <c r="K77" s="46">
        <v>26322.75</v>
      </c>
      <c r="L77" s="66">
        <v>24200</v>
      </c>
      <c r="M77" s="65" t="s">
        <v>367</v>
      </c>
      <c r="N77" s="64" t="s">
        <v>419</v>
      </c>
      <c r="O77" s="63">
        <v>3.2</v>
      </c>
      <c r="P77" s="41">
        <v>18079458</v>
      </c>
      <c r="Q77" s="42">
        <v>8.06</v>
      </c>
      <c r="R77" s="41">
        <v>-6387750</v>
      </c>
      <c r="S77" s="41">
        <v>1316058</v>
      </c>
      <c r="T77" s="40" t="s">
        <v>269</v>
      </c>
      <c r="U77" s="39" t="s">
        <v>343</v>
      </c>
      <c r="V77" s="38" t="s">
        <v>342</v>
      </c>
      <c r="W77" s="38" t="s">
        <v>342</v>
      </c>
    </row>
    <row r="78" spans="1:23">
      <c r="A78" s="50" t="s">
        <v>413</v>
      </c>
      <c r="B78" s="50" t="s">
        <v>399</v>
      </c>
      <c r="C78" s="49" t="s">
        <v>668</v>
      </c>
      <c r="D78" s="77" t="s">
        <v>339</v>
      </c>
      <c r="E78" s="50" t="s">
        <v>263</v>
      </c>
      <c r="F78" s="49" t="s">
        <v>264</v>
      </c>
      <c r="G78" s="52">
        <v>1.66</v>
      </c>
      <c r="H78" s="52">
        <v>2.97</v>
      </c>
      <c r="I78" s="51">
        <v>-199809757</v>
      </c>
      <c r="J78" s="51">
        <v>-1540</v>
      </c>
      <c r="K78" s="78">
        <v>129746.6</v>
      </c>
      <c r="L78" s="62">
        <v>125000</v>
      </c>
      <c r="M78" s="61" t="s">
        <v>362</v>
      </c>
      <c r="N78" s="60" t="s">
        <v>398</v>
      </c>
      <c r="O78" s="59">
        <v>-1.57</v>
      </c>
      <c r="P78" s="51">
        <v>7309757</v>
      </c>
      <c r="Q78" s="52">
        <v>3.66</v>
      </c>
      <c r="R78" s="51">
        <v>3080000</v>
      </c>
      <c r="S78" s="51">
        <v>802343</v>
      </c>
      <c r="T78" s="50" t="s">
        <v>269</v>
      </c>
      <c r="U78" s="49" t="s">
        <v>343</v>
      </c>
      <c r="V78" s="48" t="s">
        <v>342</v>
      </c>
      <c r="W78" s="48" t="s">
        <v>342</v>
      </c>
    </row>
    <row r="79" spans="1:23">
      <c r="A79" s="40" t="s">
        <v>412</v>
      </c>
      <c r="B79" s="40" t="s">
        <v>399</v>
      </c>
      <c r="C79" s="39" t="s">
        <v>668</v>
      </c>
      <c r="D79" s="72" t="s">
        <v>339</v>
      </c>
      <c r="E79" s="40" t="s">
        <v>416</v>
      </c>
      <c r="F79" s="39" t="s">
        <v>415</v>
      </c>
      <c r="G79" s="42">
        <v>0.56999999999999995</v>
      </c>
      <c r="H79" s="42">
        <v>1.02</v>
      </c>
      <c r="I79" s="41">
        <v>-62339999</v>
      </c>
      <c r="J79" s="41">
        <v>-3540</v>
      </c>
      <c r="K79" s="46">
        <v>17610.169999999998</v>
      </c>
      <c r="L79" s="70">
        <v>18700</v>
      </c>
      <c r="M79" s="69" t="s">
        <v>362</v>
      </c>
      <c r="N79" s="68" t="s">
        <v>414</v>
      </c>
      <c r="O79" s="67">
        <v>-1.06</v>
      </c>
      <c r="P79" s="41">
        <v>-3858001</v>
      </c>
      <c r="Q79" s="42">
        <v>-6.19</v>
      </c>
      <c r="R79" s="41">
        <v>708000</v>
      </c>
      <c r="S79" s="41">
        <v>250301</v>
      </c>
      <c r="T79" s="40" t="s">
        <v>269</v>
      </c>
      <c r="U79" s="39" t="s">
        <v>343</v>
      </c>
      <c r="V79" s="38" t="s">
        <v>342</v>
      </c>
      <c r="W79" s="38" t="s">
        <v>342</v>
      </c>
    </row>
    <row r="80" spans="1:23">
      <c r="A80" s="50" t="s">
        <v>409</v>
      </c>
      <c r="B80" s="50" t="s">
        <v>399</v>
      </c>
      <c r="C80" s="49" t="s">
        <v>668</v>
      </c>
      <c r="D80" s="77" t="s">
        <v>339</v>
      </c>
      <c r="E80" s="50" t="s">
        <v>280</v>
      </c>
      <c r="F80" s="49" t="s">
        <v>281</v>
      </c>
      <c r="G80" s="52">
        <v>2.15</v>
      </c>
      <c r="H80" s="52">
        <v>3.86</v>
      </c>
      <c r="I80" s="51">
        <v>-263051692</v>
      </c>
      <c r="J80" s="51">
        <v>-1580</v>
      </c>
      <c r="K80" s="56">
        <v>166488.41</v>
      </c>
      <c r="L80" s="76">
        <v>158000</v>
      </c>
      <c r="M80" s="75" t="s">
        <v>367</v>
      </c>
      <c r="N80" s="74" t="s">
        <v>398</v>
      </c>
      <c r="O80" s="73">
        <v>1.28</v>
      </c>
      <c r="P80" s="51">
        <v>13411692</v>
      </c>
      <c r="Q80" s="52">
        <v>5.0999999999999996</v>
      </c>
      <c r="R80" s="51">
        <v>-3160000</v>
      </c>
      <c r="S80" s="51">
        <v>1481876</v>
      </c>
      <c r="T80" s="50" t="s">
        <v>269</v>
      </c>
      <c r="U80" s="49" t="s">
        <v>343</v>
      </c>
      <c r="V80" s="48" t="s">
        <v>342</v>
      </c>
      <c r="W80" s="48" t="s">
        <v>342</v>
      </c>
    </row>
    <row r="81" spans="1:23">
      <c r="A81" s="40" t="s">
        <v>408</v>
      </c>
      <c r="B81" s="40" t="s">
        <v>399</v>
      </c>
      <c r="C81" s="39" t="s">
        <v>668</v>
      </c>
      <c r="D81" s="72" t="s">
        <v>339</v>
      </c>
      <c r="E81" s="40" t="s">
        <v>411</v>
      </c>
      <c r="F81" s="39" t="s">
        <v>410</v>
      </c>
      <c r="G81" s="42">
        <v>1.04</v>
      </c>
      <c r="H81" s="42">
        <v>1.86</v>
      </c>
      <c r="I81" s="41">
        <v>-125517610</v>
      </c>
      <c r="J81" s="41">
        <v>-1960</v>
      </c>
      <c r="K81" s="58">
        <v>64039.6</v>
      </c>
      <c r="L81" s="70">
        <v>61600</v>
      </c>
      <c r="M81" s="69" t="s">
        <v>362</v>
      </c>
      <c r="N81" s="68" t="s">
        <v>355</v>
      </c>
      <c r="O81" s="67">
        <v>-0.16</v>
      </c>
      <c r="P81" s="41">
        <v>4781610</v>
      </c>
      <c r="Q81" s="42">
        <v>3.81</v>
      </c>
      <c r="R81" s="41">
        <v>196000</v>
      </c>
      <c r="S81" s="41">
        <v>1144938</v>
      </c>
      <c r="T81" s="40" t="s">
        <v>269</v>
      </c>
      <c r="U81" s="39" t="s">
        <v>343</v>
      </c>
      <c r="V81" s="38" t="s">
        <v>342</v>
      </c>
      <c r="W81" s="38" t="s">
        <v>342</v>
      </c>
    </row>
    <row r="82" spans="1:23">
      <c r="A82" s="50" t="s">
        <v>407</v>
      </c>
      <c r="B82" s="50" t="s">
        <v>399</v>
      </c>
      <c r="C82" s="49" t="s">
        <v>668</v>
      </c>
      <c r="D82" s="77" t="s">
        <v>339</v>
      </c>
      <c r="E82" s="50" t="s">
        <v>296</v>
      </c>
      <c r="F82" s="49" t="s">
        <v>297</v>
      </c>
      <c r="G82" s="52">
        <v>1.85</v>
      </c>
      <c r="H82" s="52">
        <v>3.31</v>
      </c>
      <c r="I82" s="51">
        <v>-242687666</v>
      </c>
      <c r="J82" s="51">
        <v>-7000</v>
      </c>
      <c r="K82" s="56">
        <v>34669.67</v>
      </c>
      <c r="L82" s="62">
        <v>30650</v>
      </c>
      <c r="M82" s="61" t="s">
        <v>362</v>
      </c>
      <c r="N82" s="60" t="s">
        <v>355</v>
      </c>
      <c r="O82" s="59">
        <v>-0.33</v>
      </c>
      <c r="P82" s="51">
        <v>28137666</v>
      </c>
      <c r="Q82" s="52">
        <v>11.59</v>
      </c>
      <c r="R82" s="51">
        <v>700000</v>
      </c>
      <c r="S82" s="51">
        <v>974334</v>
      </c>
      <c r="T82" s="50" t="s">
        <v>269</v>
      </c>
      <c r="U82" s="49" t="s">
        <v>343</v>
      </c>
      <c r="V82" s="48" t="s">
        <v>342</v>
      </c>
      <c r="W82" s="48" t="s">
        <v>342</v>
      </c>
    </row>
    <row r="83" spans="1:23">
      <c r="A83" s="40" t="s">
        <v>405</v>
      </c>
      <c r="B83" s="40" t="s">
        <v>399</v>
      </c>
      <c r="C83" s="39" t="s">
        <v>668</v>
      </c>
      <c r="D83" s="72" t="s">
        <v>339</v>
      </c>
      <c r="E83" s="40" t="s">
        <v>312</v>
      </c>
      <c r="F83" s="39" t="s">
        <v>313</v>
      </c>
      <c r="G83" s="42">
        <v>0.5</v>
      </c>
      <c r="H83" s="42">
        <v>0.91</v>
      </c>
      <c r="I83" s="41">
        <v>-60988484</v>
      </c>
      <c r="J83" s="41">
        <v>-480</v>
      </c>
      <c r="K83" s="46">
        <v>127059.34</v>
      </c>
      <c r="L83" s="66">
        <v>122800</v>
      </c>
      <c r="M83" s="65" t="s">
        <v>367</v>
      </c>
      <c r="N83" s="64" t="s">
        <v>371</v>
      </c>
      <c r="O83" s="63">
        <v>0.24</v>
      </c>
      <c r="P83" s="41">
        <v>2044484</v>
      </c>
      <c r="Q83" s="42">
        <v>3.35</v>
      </c>
      <c r="R83" s="41">
        <v>-144000</v>
      </c>
      <c r="S83" s="41">
        <v>244916</v>
      </c>
      <c r="T83" s="40" t="s">
        <v>269</v>
      </c>
      <c r="U83" s="39" t="s">
        <v>343</v>
      </c>
      <c r="V83" s="38" t="s">
        <v>342</v>
      </c>
      <c r="W83" s="38" t="s">
        <v>342</v>
      </c>
    </row>
    <row r="84" spans="1:23">
      <c r="A84" s="50" t="s">
        <v>402</v>
      </c>
      <c r="B84" s="50" t="s">
        <v>399</v>
      </c>
      <c r="C84" s="49" t="s">
        <v>669</v>
      </c>
      <c r="D84" s="57" t="s">
        <v>338</v>
      </c>
      <c r="E84" s="50" t="s">
        <v>322</v>
      </c>
      <c r="F84" s="49" t="s">
        <v>323</v>
      </c>
      <c r="G84" s="52">
        <v>1.65</v>
      </c>
      <c r="H84" s="52">
        <v>2.23</v>
      </c>
      <c r="I84" s="51">
        <v>197484780</v>
      </c>
      <c r="J84" s="51">
        <v>461</v>
      </c>
      <c r="K84" s="56">
        <v>428383.47</v>
      </c>
      <c r="L84" s="62">
        <v>415000</v>
      </c>
      <c r="M84" s="61" t="s">
        <v>362</v>
      </c>
      <c r="N84" s="60" t="s">
        <v>406</v>
      </c>
      <c r="O84" s="59">
        <v>-2.12</v>
      </c>
      <c r="P84" s="51">
        <v>-6169780</v>
      </c>
      <c r="Q84" s="52">
        <v>-3.12</v>
      </c>
      <c r="R84" s="51">
        <v>-4149000</v>
      </c>
      <c r="S84" s="51">
        <v>197280</v>
      </c>
      <c r="T84" s="50" t="s">
        <v>269</v>
      </c>
      <c r="U84" s="49" t="s">
        <v>343</v>
      </c>
      <c r="V84" s="48" t="s">
        <v>342</v>
      </c>
      <c r="W84" s="48" t="s">
        <v>342</v>
      </c>
    </row>
    <row r="85" spans="1:23">
      <c r="A85" s="40" t="s">
        <v>400</v>
      </c>
      <c r="B85" s="40" t="s">
        <v>399</v>
      </c>
      <c r="C85" s="39" t="s">
        <v>669</v>
      </c>
      <c r="D85" s="47" t="s">
        <v>338</v>
      </c>
      <c r="E85" s="40" t="s">
        <v>404</v>
      </c>
      <c r="F85" s="39" t="s">
        <v>403</v>
      </c>
      <c r="G85" s="42">
        <v>4</v>
      </c>
      <c r="H85" s="42">
        <v>5.4</v>
      </c>
      <c r="I85" s="41">
        <v>495219340</v>
      </c>
      <c r="J85" s="41">
        <v>57380</v>
      </c>
      <c r="K85" s="46">
        <v>8630.52</v>
      </c>
      <c r="L85" s="70">
        <v>8070</v>
      </c>
      <c r="M85" s="69" t="s">
        <v>362</v>
      </c>
      <c r="N85" s="68" t="s">
        <v>383</v>
      </c>
      <c r="O85" s="67">
        <v>-1.1000000000000001</v>
      </c>
      <c r="P85" s="41">
        <v>-32162740</v>
      </c>
      <c r="Q85" s="42">
        <v>-6.49</v>
      </c>
      <c r="R85" s="41">
        <v>-5164200</v>
      </c>
      <c r="S85" s="41">
        <v>359990</v>
      </c>
      <c r="T85" s="40" t="s">
        <v>269</v>
      </c>
      <c r="U85" s="39" t="s">
        <v>343</v>
      </c>
      <c r="V85" s="38" t="s">
        <v>342</v>
      </c>
      <c r="W85" s="38" t="s">
        <v>342</v>
      </c>
    </row>
    <row r="86" spans="1:23">
      <c r="A86" s="50" t="s">
        <v>397</v>
      </c>
      <c r="B86" s="50" t="s">
        <v>399</v>
      </c>
      <c r="C86" s="49" t="s">
        <v>669</v>
      </c>
      <c r="D86" s="77" t="s">
        <v>339</v>
      </c>
      <c r="E86" s="50" t="s">
        <v>308</v>
      </c>
      <c r="F86" s="49" t="s">
        <v>309</v>
      </c>
      <c r="G86" s="52">
        <v>3.72</v>
      </c>
      <c r="H86" s="52">
        <v>6.66</v>
      </c>
      <c r="I86" s="51">
        <v>-453699842</v>
      </c>
      <c r="J86" s="51">
        <v>-10330</v>
      </c>
      <c r="K86" s="78">
        <v>43920.6</v>
      </c>
      <c r="L86" s="62">
        <v>41700</v>
      </c>
      <c r="M86" s="61" t="s">
        <v>362</v>
      </c>
      <c r="N86" s="60" t="s">
        <v>401</v>
      </c>
      <c r="O86" s="59">
        <v>-0.36</v>
      </c>
      <c r="P86" s="51">
        <v>22938842</v>
      </c>
      <c r="Q86" s="52">
        <v>5.0599999999999996</v>
      </c>
      <c r="R86" s="51">
        <v>1549500</v>
      </c>
      <c r="S86" s="51">
        <v>1240158</v>
      </c>
      <c r="T86" s="50" t="s">
        <v>269</v>
      </c>
      <c r="U86" s="49" t="s">
        <v>343</v>
      </c>
      <c r="V86" s="48" t="s">
        <v>342</v>
      </c>
      <c r="W86" s="48" t="s">
        <v>342</v>
      </c>
    </row>
    <row r="87" spans="1:23">
      <c r="A87" s="40" t="s">
        <v>396</v>
      </c>
      <c r="B87" s="40" t="s">
        <v>399</v>
      </c>
      <c r="C87" s="39" t="s">
        <v>669</v>
      </c>
      <c r="D87" s="72" t="s">
        <v>339</v>
      </c>
      <c r="E87" s="40" t="s">
        <v>90</v>
      </c>
      <c r="F87" s="39" t="s">
        <v>91</v>
      </c>
      <c r="G87" s="42">
        <v>1.48</v>
      </c>
      <c r="H87" s="42">
        <v>2.65</v>
      </c>
      <c r="I87" s="41">
        <v>-187391636</v>
      </c>
      <c r="J87" s="41">
        <v>-1540</v>
      </c>
      <c r="K87" s="46">
        <v>121682.88</v>
      </c>
      <c r="L87" s="70">
        <v>111500</v>
      </c>
      <c r="M87" s="69" t="s">
        <v>362</v>
      </c>
      <c r="N87" s="68" t="s">
        <v>398</v>
      </c>
      <c r="O87" s="67">
        <v>-1.76</v>
      </c>
      <c r="P87" s="41">
        <v>15681636</v>
      </c>
      <c r="Q87" s="42">
        <v>8.3699999999999992</v>
      </c>
      <c r="R87" s="41">
        <v>3080000</v>
      </c>
      <c r="S87" s="41">
        <v>494914</v>
      </c>
      <c r="T87" s="40" t="s">
        <v>269</v>
      </c>
      <c r="U87" s="39" t="s">
        <v>343</v>
      </c>
      <c r="V87" s="38" t="s">
        <v>342</v>
      </c>
      <c r="W87" s="38" t="s">
        <v>342</v>
      </c>
    </row>
    <row r="88" spans="1:23">
      <c r="A88" s="50" t="s">
        <v>394</v>
      </c>
      <c r="B88" s="50" t="s">
        <v>378</v>
      </c>
      <c r="C88" s="49" t="s">
        <v>255</v>
      </c>
      <c r="D88" s="57" t="s">
        <v>338</v>
      </c>
      <c r="E88" s="50" t="s">
        <v>298</v>
      </c>
      <c r="F88" s="49" t="s">
        <v>299</v>
      </c>
      <c r="G88" s="52">
        <v>1.1299999999999999</v>
      </c>
      <c r="H88" s="52">
        <v>15.46</v>
      </c>
      <c r="I88" s="51">
        <v>131267830</v>
      </c>
      <c r="J88" s="51">
        <v>3767</v>
      </c>
      <c r="K88" s="56">
        <v>34846.78</v>
      </c>
      <c r="L88" s="76">
        <v>34950</v>
      </c>
      <c r="M88" s="75" t="s">
        <v>367</v>
      </c>
      <c r="N88" s="74" t="s">
        <v>395</v>
      </c>
      <c r="O88" s="73">
        <v>1.1599999999999999</v>
      </c>
      <c r="P88" s="51">
        <v>388820</v>
      </c>
      <c r="Q88" s="52">
        <v>0.3</v>
      </c>
      <c r="R88" s="51">
        <v>1506800</v>
      </c>
      <c r="S88" s="51">
        <v>131130</v>
      </c>
      <c r="T88" s="50" t="s">
        <v>269</v>
      </c>
      <c r="U88" s="49" t="s">
        <v>343</v>
      </c>
      <c r="V88" s="48" t="s">
        <v>342</v>
      </c>
      <c r="W88" s="48" t="s">
        <v>342</v>
      </c>
    </row>
    <row r="89" spans="1:23">
      <c r="A89" s="40" t="s">
        <v>390</v>
      </c>
      <c r="B89" s="40" t="s">
        <v>378</v>
      </c>
      <c r="C89" s="39" t="s">
        <v>255</v>
      </c>
      <c r="D89" s="47" t="s">
        <v>338</v>
      </c>
      <c r="E89" s="40" t="s">
        <v>50</v>
      </c>
      <c r="F89" s="39" t="s">
        <v>51</v>
      </c>
      <c r="G89" s="42">
        <v>0.79</v>
      </c>
      <c r="H89" s="42">
        <v>10.8</v>
      </c>
      <c r="I89" s="41">
        <v>106215700</v>
      </c>
      <c r="J89" s="41">
        <v>4729</v>
      </c>
      <c r="K89" s="58">
        <v>22460.5</v>
      </c>
      <c r="L89" s="66">
        <v>19450</v>
      </c>
      <c r="M89" s="65" t="s">
        <v>367</v>
      </c>
      <c r="N89" s="64" t="s">
        <v>395</v>
      </c>
      <c r="O89" s="63">
        <v>2.1</v>
      </c>
      <c r="P89" s="41">
        <v>-14236650</v>
      </c>
      <c r="Q89" s="42">
        <v>-11</v>
      </c>
      <c r="R89" s="41">
        <v>1769000</v>
      </c>
      <c r="S89" s="41">
        <v>323038</v>
      </c>
      <c r="T89" s="40" t="s">
        <v>269</v>
      </c>
      <c r="U89" s="39" t="s">
        <v>343</v>
      </c>
      <c r="V89" s="38" t="s">
        <v>342</v>
      </c>
      <c r="W89" s="38" t="s">
        <v>342</v>
      </c>
    </row>
    <row r="90" spans="1:23">
      <c r="A90" s="50" t="s">
        <v>388</v>
      </c>
      <c r="B90" s="50" t="s">
        <v>378</v>
      </c>
      <c r="C90" s="49" t="s">
        <v>255</v>
      </c>
      <c r="D90" s="57" t="s">
        <v>338</v>
      </c>
      <c r="E90" s="50" t="s">
        <v>393</v>
      </c>
      <c r="F90" s="49" t="s">
        <v>392</v>
      </c>
      <c r="G90" s="52">
        <v>0.85</v>
      </c>
      <c r="H90" s="52">
        <v>11.64</v>
      </c>
      <c r="I90" s="51">
        <v>104692110</v>
      </c>
      <c r="J90" s="51">
        <v>1604</v>
      </c>
      <c r="K90" s="78">
        <v>65269.4</v>
      </c>
      <c r="L90" s="76">
        <v>61800</v>
      </c>
      <c r="M90" s="75" t="s">
        <v>367</v>
      </c>
      <c r="N90" s="74" t="s">
        <v>391</v>
      </c>
      <c r="O90" s="73">
        <v>1.31</v>
      </c>
      <c r="P90" s="51">
        <v>-5564910</v>
      </c>
      <c r="Q90" s="52">
        <v>-4.3499999999999996</v>
      </c>
      <c r="R90" s="51">
        <v>1321200</v>
      </c>
      <c r="S90" s="51">
        <v>111110</v>
      </c>
      <c r="T90" s="50" t="s">
        <v>269</v>
      </c>
      <c r="U90" s="49" t="s">
        <v>343</v>
      </c>
      <c r="V90" s="48" t="s">
        <v>342</v>
      </c>
      <c r="W90" s="48" t="s">
        <v>342</v>
      </c>
    </row>
    <row r="91" spans="1:23">
      <c r="A91" s="40" t="s">
        <v>387</v>
      </c>
      <c r="B91" s="40" t="s">
        <v>378</v>
      </c>
      <c r="C91" s="39" t="s">
        <v>255</v>
      </c>
      <c r="D91" s="47" t="s">
        <v>338</v>
      </c>
      <c r="E91" s="40" t="s">
        <v>305</v>
      </c>
      <c r="F91" s="39" t="s">
        <v>306</v>
      </c>
      <c r="G91" s="42">
        <v>0.67</v>
      </c>
      <c r="H91" s="42">
        <v>9.1199999999999992</v>
      </c>
      <c r="I91" s="41">
        <v>67640070</v>
      </c>
      <c r="J91" s="41">
        <v>300</v>
      </c>
      <c r="K91" s="58">
        <v>225466.9</v>
      </c>
      <c r="L91" s="70">
        <v>259000</v>
      </c>
      <c r="M91" s="69" t="s">
        <v>362</v>
      </c>
      <c r="N91" s="68" t="s">
        <v>389</v>
      </c>
      <c r="O91" s="67">
        <v>-1.33</v>
      </c>
      <c r="P91" s="41">
        <v>10059930</v>
      </c>
      <c r="Q91" s="42">
        <v>14.87</v>
      </c>
      <c r="R91" s="41">
        <v>-1050000</v>
      </c>
      <c r="S91" s="41">
        <v>67570</v>
      </c>
      <c r="T91" s="40" t="s">
        <v>269</v>
      </c>
      <c r="U91" s="39" t="s">
        <v>343</v>
      </c>
      <c r="V91" s="38" t="s">
        <v>342</v>
      </c>
      <c r="W91" s="38" t="s">
        <v>342</v>
      </c>
    </row>
    <row r="92" spans="1:23">
      <c r="A92" s="50" t="s">
        <v>383</v>
      </c>
      <c r="B92" s="50" t="s">
        <v>378</v>
      </c>
      <c r="C92" s="49" t="s">
        <v>254</v>
      </c>
      <c r="D92" s="57" t="s">
        <v>338</v>
      </c>
      <c r="E92" s="50" t="s">
        <v>282</v>
      </c>
      <c r="F92" s="49" t="s">
        <v>283</v>
      </c>
      <c r="G92" s="52">
        <v>1.07</v>
      </c>
      <c r="H92" s="52">
        <v>14.65</v>
      </c>
      <c r="I92" s="51">
        <v>139701860</v>
      </c>
      <c r="J92" s="51">
        <v>7128</v>
      </c>
      <c r="K92" s="56">
        <v>19599.03</v>
      </c>
      <c r="L92" s="76">
        <v>17500</v>
      </c>
      <c r="M92" s="75" t="s">
        <v>367</v>
      </c>
      <c r="N92" s="74" t="s">
        <v>371</v>
      </c>
      <c r="O92" s="73">
        <v>1.74</v>
      </c>
      <c r="P92" s="51">
        <v>-14961860</v>
      </c>
      <c r="Q92" s="52">
        <v>-10.71</v>
      </c>
      <c r="R92" s="51">
        <v>2138400</v>
      </c>
      <c r="S92" s="51">
        <v>343108</v>
      </c>
      <c r="T92" s="50" t="s">
        <v>269</v>
      </c>
      <c r="U92" s="49" t="s">
        <v>343</v>
      </c>
      <c r="V92" s="48" t="s">
        <v>342</v>
      </c>
      <c r="W92" s="48" t="s">
        <v>342</v>
      </c>
    </row>
    <row r="93" spans="1:23">
      <c r="A93" s="40" t="s">
        <v>381</v>
      </c>
      <c r="B93" s="40" t="s">
        <v>378</v>
      </c>
      <c r="C93" s="39" t="s">
        <v>254</v>
      </c>
      <c r="D93" s="47" t="s">
        <v>338</v>
      </c>
      <c r="E93" s="40" t="s">
        <v>202</v>
      </c>
      <c r="F93" s="39" t="s">
        <v>203</v>
      </c>
      <c r="G93" s="42">
        <v>1.77</v>
      </c>
      <c r="H93" s="42">
        <v>24.17</v>
      </c>
      <c r="I93" s="41">
        <v>181570880</v>
      </c>
      <c r="J93" s="41">
        <v>1376</v>
      </c>
      <c r="K93" s="46">
        <v>131955.57999999999</v>
      </c>
      <c r="L93" s="70">
        <v>149500</v>
      </c>
      <c r="M93" s="69" t="s">
        <v>362</v>
      </c>
      <c r="N93" s="68" t="s">
        <v>382</v>
      </c>
      <c r="O93" s="67">
        <v>-0.99</v>
      </c>
      <c r="P93" s="41">
        <v>24141120</v>
      </c>
      <c r="Q93" s="42">
        <v>13.3</v>
      </c>
      <c r="R93" s="41">
        <v>-2064000</v>
      </c>
      <c r="S93" s="41">
        <v>426424</v>
      </c>
      <c r="T93" s="40" t="s">
        <v>269</v>
      </c>
      <c r="U93" s="39" t="s">
        <v>343</v>
      </c>
      <c r="V93" s="38" t="s">
        <v>342</v>
      </c>
      <c r="W93" s="38" t="s">
        <v>342</v>
      </c>
    </row>
    <row r="94" spans="1:23">
      <c r="A94" s="50" t="s">
        <v>379</v>
      </c>
      <c r="B94" s="50" t="s">
        <v>378</v>
      </c>
      <c r="C94" s="49" t="s">
        <v>197</v>
      </c>
      <c r="D94" s="77" t="s">
        <v>339</v>
      </c>
      <c r="E94" s="50" t="s">
        <v>270</v>
      </c>
      <c r="F94" s="49" t="s">
        <v>271</v>
      </c>
      <c r="G94" s="52">
        <v>16.63</v>
      </c>
      <c r="H94" s="52">
        <v>100</v>
      </c>
      <c r="I94" s="51">
        <v>-1861180149</v>
      </c>
      <c r="J94" s="51">
        <v>-15</v>
      </c>
      <c r="K94" s="56">
        <v>248.16</v>
      </c>
      <c r="L94" s="90">
        <v>256.7</v>
      </c>
      <c r="M94" s="61" t="s">
        <v>362</v>
      </c>
      <c r="N94" s="60" t="s">
        <v>380</v>
      </c>
      <c r="O94" s="59">
        <v>0.27</v>
      </c>
      <c r="P94" s="51">
        <v>-64069851</v>
      </c>
      <c r="Q94" s="52">
        <v>-3.44</v>
      </c>
      <c r="R94" s="51">
        <v>5250000</v>
      </c>
      <c r="S94" s="51">
        <v>550840</v>
      </c>
      <c r="T94" s="50" t="s">
        <v>269</v>
      </c>
      <c r="U94" s="49" t="s">
        <v>343</v>
      </c>
      <c r="V94" s="48" t="s">
        <v>342</v>
      </c>
      <c r="W94" s="48" t="s">
        <v>342</v>
      </c>
    </row>
    <row r="95" spans="1:23">
      <c r="A95" s="40" t="s">
        <v>374</v>
      </c>
      <c r="B95" s="40" t="s">
        <v>378</v>
      </c>
      <c r="C95" s="39" t="s">
        <v>260</v>
      </c>
      <c r="D95" s="47" t="s">
        <v>338</v>
      </c>
      <c r="E95" s="40" t="s">
        <v>377</v>
      </c>
      <c r="F95" s="39" t="s">
        <v>376</v>
      </c>
      <c r="G95" s="42">
        <v>1.03</v>
      </c>
      <c r="H95" s="42">
        <v>14.11</v>
      </c>
      <c r="I95" s="41">
        <v>126390090</v>
      </c>
      <c r="J95" s="41">
        <v>19316</v>
      </c>
      <c r="K95" s="46">
        <v>6543.28</v>
      </c>
      <c r="L95" s="70">
        <v>6220</v>
      </c>
      <c r="M95" s="69" t="s">
        <v>362</v>
      </c>
      <c r="N95" s="68" t="s">
        <v>375</v>
      </c>
      <c r="O95" s="67">
        <v>-1.1100000000000001</v>
      </c>
      <c r="P95" s="41">
        <v>-6244570</v>
      </c>
      <c r="Q95" s="42">
        <v>-4.9400000000000004</v>
      </c>
      <c r="R95" s="41">
        <v>-1352120</v>
      </c>
      <c r="S95" s="41">
        <v>92200</v>
      </c>
      <c r="T95" s="40" t="s">
        <v>269</v>
      </c>
      <c r="U95" s="39" t="s">
        <v>343</v>
      </c>
      <c r="V95" s="38" t="s">
        <v>342</v>
      </c>
      <c r="W95" s="38" t="s">
        <v>342</v>
      </c>
    </row>
    <row r="96" spans="1:23">
      <c r="A96" s="50" t="s">
        <v>372</v>
      </c>
      <c r="B96" s="50" t="s">
        <v>349</v>
      </c>
      <c r="C96" s="49" t="s">
        <v>251</v>
      </c>
      <c r="D96" s="57" t="s">
        <v>338</v>
      </c>
      <c r="E96" s="50" t="s">
        <v>295</v>
      </c>
      <c r="F96" s="49" t="s">
        <v>307</v>
      </c>
      <c r="G96" s="52">
        <v>0.02</v>
      </c>
      <c r="H96" s="52">
        <v>0.14000000000000001</v>
      </c>
      <c r="I96" s="51">
        <v>2819960</v>
      </c>
      <c r="J96" s="51">
        <v>1276</v>
      </c>
      <c r="K96" s="51">
        <v>2210</v>
      </c>
      <c r="L96" s="62">
        <v>2335</v>
      </c>
      <c r="M96" s="61" t="s">
        <v>362</v>
      </c>
      <c r="N96" s="60" t="s">
        <v>373</v>
      </c>
      <c r="O96" s="59">
        <v>-2.2999999999999998</v>
      </c>
      <c r="P96" s="51">
        <v>159500</v>
      </c>
      <c r="Q96" s="52">
        <v>5.66</v>
      </c>
      <c r="R96" s="51">
        <v>-70180</v>
      </c>
      <c r="S96" s="51">
        <v>0</v>
      </c>
      <c r="T96" s="50" t="s">
        <v>269</v>
      </c>
      <c r="U96" s="49" t="s">
        <v>343</v>
      </c>
      <c r="V96" s="48" t="s">
        <v>342</v>
      </c>
      <c r="W96" s="48" t="s">
        <v>342</v>
      </c>
    </row>
    <row r="97" spans="1:23">
      <c r="A97" s="40" t="s">
        <v>370</v>
      </c>
      <c r="B97" s="40" t="s">
        <v>349</v>
      </c>
      <c r="C97" s="39" t="s">
        <v>251</v>
      </c>
      <c r="D97" s="47" t="s">
        <v>338</v>
      </c>
      <c r="E97" s="40" t="s">
        <v>278</v>
      </c>
      <c r="F97" s="39" t="s">
        <v>279</v>
      </c>
      <c r="G97" s="42">
        <v>0.17</v>
      </c>
      <c r="H97" s="42">
        <v>1</v>
      </c>
      <c r="I97" s="41">
        <v>11107000</v>
      </c>
      <c r="J97" s="41">
        <v>383</v>
      </c>
      <c r="K97" s="41">
        <v>29000</v>
      </c>
      <c r="L97" s="70">
        <v>53500</v>
      </c>
      <c r="M97" s="69" t="s">
        <v>362</v>
      </c>
      <c r="N97" s="68" t="s">
        <v>371</v>
      </c>
      <c r="O97" s="67">
        <v>-0.56000000000000005</v>
      </c>
      <c r="P97" s="41">
        <v>9383500</v>
      </c>
      <c r="Q97" s="42">
        <v>84.48</v>
      </c>
      <c r="R97" s="41">
        <v>-114900</v>
      </c>
      <c r="S97" s="41">
        <v>0</v>
      </c>
      <c r="T97" s="40" t="s">
        <v>269</v>
      </c>
      <c r="U97" s="39" t="s">
        <v>343</v>
      </c>
      <c r="V97" s="38" t="s">
        <v>342</v>
      </c>
      <c r="W97" s="38" t="s">
        <v>342</v>
      </c>
    </row>
    <row r="98" spans="1:23">
      <c r="A98" s="50" t="s">
        <v>365</v>
      </c>
      <c r="B98" s="50" t="s">
        <v>349</v>
      </c>
      <c r="C98" s="49" t="s">
        <v>672</v>
      </c>
      <c r="D98" s="57" t="s">
        <v>338</v>
      </c>
      <c r="E98" s="50" t="s">
        <v>369</v>
      </c>
      <c r="F98" s="49" t="s">
        <v>368</v>
      </c>
      <c r="G98" s="52">
        <v>1.79</v>
      </c>
      <c r="H98" s="52">
        <v>10.16</v>
      </c>
      <c r="I98" s="51">
        <v>74780204</v>
      </c>
      <c r="J98" s="51">
        <v>150878</v>
      </c>
      <c r="K98" s="56">
        <v>495.63</v>
      </c>
      <c r="L98" s="76">
        <v>1380</v>
      </c>
      <c r="M98" s="75" t="s">
        <v>367</v>
      </c>
      <c r="N98" s="74" t="s">
        <v>366</v>
      </c>
      <c r="O98" s="73">
        <v>0.73</v>
      </c>
      <c r="P98" s="51">
        <v>133431436</v>
      </c>
      <c r="Q98" s="52">
        <v>178.43</v>
      </c>
      <c r="R98" s="51">
        <v>1508780</v>
      </c>
      <c r="S98" s="51">
        <v>0</v>
      </c>
      <c r="T98" s="50" t="s">
        <v>269</v>
      </c>
      <c r="U98" s="49" t="s">
        <v>343</v>
      </c>
      <c r="V98" s="48" t="s">
        <v>342</v>
      </c>
      <c r="W98" s="48" t="s">
        <v>342</v>
      </c>
    </row>
    <row r="99" spans="1:23">
      <c r="A99" s="40" t="s">
        <v>360</v>
      </c>
      <c r="B99" s="40" t="s">
        <v>349</v>
      </c>
      <c r="C99" s="39" t="s">
        <v>672</v>
      </c>
      <c r="D99" s="47" t="s">
        <v>338</v>
      </c>
      <c r="E99" s="40" t="s">
        <v>364</v>
      </c>
      <c r="F99" s="39" t="s">
        <v>363</v>
      </c>
      <c r="G99" s="42">
        <v>0.06</v>
      </c>
      <c r="H99" s="42">
        <v>0.34</v>
      </c>
      <c r="I99" s="41">
        <v>10518662</v>
      </c>
      <c r="J99" s="41">
        <v>9813</v>
      </c>
      <c r="K99" s="46">
        <v>1071.9100000000001</v>
      </c>
      <c r="L99" s="70">
        <v>722</v>
      </c>
      <c r="M99" s="69" t="s">
        <v>362</v>
      </c>
      <c r="N99" s="68" t="s">
        <v>361</v>
      </c>
      <c r="O99" s="67">
        <v>5.62</v>
      </c>
      <c r="P99" s="41">
        <v>-3433676</v>
      </c>
      <c r="Q99" s="42">
        <v>-32.64</v>
      </c>
      <c r="R99" s="41">
        <v>-421959</v>
      </c>
      <c r="S99" s="41">
        <v>0</v>
      </c>
      <c r="T99" s="40" t="s">
        <v>269</v>
      </c>
      <c r="U99" s="39" t="s">
        <v>343</v>
      </c>
      <c r="V99" s="38" t="s">
        <v>342</v>
      </c>
      <c r="W99" s="38" t="s">
        <v>342</v>
      </c>
    </row>
    <row r="100" spans="1:23">
      <c r="A100" s="50" t="s">
        <v>359</v>
      </c>
      <c r="B100" s="50" t="s">
        <v>349</v>
      </c>
      <c r="C100" s="49" t="s">
        <v>672</v>
      </c>
      <c r="D100" s="57" t="s">
        <v>338</v>
      </c>
      <c r="E100" s="50" t="s">
        <v>256</v>
      </c>
      <c r="F100" s="49" t="s">
        <v>257</v>
      </c>
      <c r="G100" s="52">
        <v>4.6500000000000004</v>
      </c>
      <c r="H100" s="52">
        <v>26.31</v>
      </c>
      <c r="I100" s="51">
        <v>508714410</v>
      </c>
      <c r="J100" s="51">
        <v>500000000</v>
      </c>
      <c r="K100" s="56">
        <v>10174.290000000001</v>
      </c>
      <c r="L100" s="78">
        <v>10782.5</v>
      </c>
      <c r="M100" s="55" t="s">
        <v>269</v>
      </c>
      <c r="N100" s="54" t="s">
        <v>342</v>
      </c>
      <c r="O100" s="53">
        <v>0</v>
      </c>
      <c r="P100" s="51">
        <v>30410590</v>
      </c>
      <c r="Q100" s="52">
        <v>5.98</v>
      </c>
      <c r="R100" s="51">
        <v>0</v>
      </c>
      <c r="S100" s="51">
        <v>0</v>
      </c>
      <c r="T100" s="50" t="s">
        <v>269</v>
      </c>
      <c r="U100" s="49" t="s">
        <v>343</v>
      </c>
      <c r="V100" s="48" t="s">
        <v>342</v>
      </c>
      <c r="W100" s="48" t="s">
        <v>342</v>
      </c>
    </row>
    <row r="101" spans="1:23">
      <c r="A101" s="40" t="s">
        <v>358</v>
      </c>
      <c r="B101" s="40" t="s">
        <v>349</v>
      </c>
      <c r="C101" s="39" t="s">
        <v>672</v>
      </c>
      <c r="D101" s="47" t="s">
        <v>338</v>
      </c>
      <c r="E101" s="40" t="s">
        <v>267</v>
      </c>
      <c r="F101" s="39" t="s">
        <v>268</v>
      </c>
      <c r="G101" s="42">
        <v>3.94</v>
      </c>
      <c r="H101" s="42">
        <v>22.25</v>
      </c>
      <c r="I101" s="41">
        <v>501936939</v>
      </c>
      <c r="J101" s="41">
        <v>500000000</v>
      </c>
      <c r="K101" s="46">
        <v>10038.74</v>
      </c>
      <c r="L101" s="46">
        <v>9119.15</v>
      </c>
      <c r="M101" s="45" t="s">
        <v>269</v>
      </c>
      <c r="N101" s="44" t="s">
        <v>342</v>
      </c>
      <c r="O101" s="43">
        <v>0</v>
      </c>
      <c r="P101" s="41">
        <v>-45979439</v>
      </c>
      <c r="Q101" s="42">
        <v>-9.16</v>
      </c>
      <c r="R101" s="41">
        <v>0</v>
      </c>
      <c r="S101" s="41">
        <v>0</v>
      </c>
      <c r="T101" s="40" t="s">
        <v>269</v>
      </c>
      <c r="U101" s="39" t="s">
        <v>343</v>
      </c>
      <c r="V101" s="38" t="s">
        <v>342</v>
      </c>
      <c r="W101" s="38" t="s">
        <v>342</v>
      </c>
    </row>
    <row r="102" spans="1:23">
      <c r="A102" s="50" t="s">
        <v>355</v>
      </c>
      <c r="B102" s="50" t="s">
        <v>349</v>
      </c>
      <c r="C102" s="49" t="s">
        <v>672</v>
      </c>
      <c r="D102" s="57" t="s">
        <v>338</v>
      </c>
      <c r="E102" s="50" t="s">
        <v>357</v>
      </c>
      <c r="F102" s="49" t="s">
        <v>356</v>
      </c>
      <c r="G102" s="52">
        <v>4.21</v>
      </c>
      <c r="H102" s="52">
        <v>23.77</v>
      </c>
      <c r="I102" s="51">
        <v>506173247</v>
      </c>
      <c r="J102" s="51">
        <v>500000000</v>
      </c>
      <c r="K102" s="56">
        <v>10123.459999999999</v>
      </c>
      <c r="L102" s="56">
        <v>9742.5300000000007</v>
      </c>
      <c r="M102" s="55" t="s">
        <v>269</v>
      </c>
      <c r="N102" s="54" t="s">
        <v>342</v>
      </c>
      <c r="O102" s="53">
        <v>0</v>
      </c>
      <c r="P102" s="51">
        <v>-19046747</v>
      </c>
      <c r="Q102" s="52">
        <v>-3.76</v>
      </c>
      <c r="R102" s="51">
        <v>0</v>
      </c>
      <c r="S102" s="51">
        <v>0</v>
      </c>
      <c r="T102" s="50" t="s">
        <v>269</v>
      </c>
      <c r="U102" s="49" t="s">
        <v>343</v>
      </c>
      <c r="V102" s="48" t="s">
        <v>342</v>
      </c>
      <c r="W102" s="48" t="s">
        <v>342</v>
      </c>
    </row>
    <row r="103" spans="1:23">
      <c r="A103" s="40" t="s">
        <v>352</v>
      </c>
      <c r="B103" s="40" t="s">
        <v>349</v>
      </c>
      <c r="C103" s="39" t="s">
        <v>672</v>
      </c>
      <c r="D103" s="47" t="s">
        <v>338</v>
      </c>
      <c r="E103" s="40" t="s">
        <v>580</v>
      </c>
      <c r="F103" s="39" t="s">
        <v>579</v>
      </c>
      <c r="G103" s="42">
        <v>0</v>
      </c>
      <c r="H103" s="42">
        <v>0</v>
      </c>
      <c r="I103" s="41">
        <v>-22276317</v>
      </c>
      <c r="J103" s="41">
        <v>0</v>
      </c>
      <c r="K103" s="41">
        <v>0</v>
      </c>
      <c r="L103" s="46">
        <v>9929.8700000000008</v>
      </c>
      <c r="M103" s="45" t="s">
        <v>269</v>
      </c>
      <c r="N103" s="44" t="s">
        <v>342</v>
      </c>
      <c r="O103" s="43">
        <v>0</v>
      </c>
      <c r="P103" s="41">
        <v>22276309</v>
      </c>
      <c r="Q103" s="42">
        <v>9.6</v>
      </c>
      <c r="R103" s="41">
        <v>8</v>
      </c>
      <c r="S103" s="41">
        <v>0</v>
      </c>
      <c r="T103" s="40" t="s">
        <v>269</v>
      </c>
      <c r="U103" s="39" t="s">
        <v>343</v>
      </c>
      <c r="V103" s="38" t="s">
        <v>342</v>
      </c>
      <c r="W103" s="38" t="s">
        <v>342</v>
      </c>
    </row>
    <row r="104" spans="1:23">
      <c r="A104" s="50" t="s">
        <v>350</v>
      </c>
      <c r="B104" s="50" t="s">
        <v>349</v>
      </c>
      <c r="C104" s="49" t="s">
        <v>672</v>
      </c>
      <c r="D104" s="57" t="s">
        <v>338</v>
      </c>
      <c r="E104" s="50" t="s">
        <v>354</v>
      </c>
      <c r="F104" s="49" t="s">
        <v>353</v>
      </c>
      <c r="G104" s="52">
        <v>0.35</v>
      </c>
      <c r="H104" s="52">
        <v>2.02</v>
      </c>
      <c r="I104" s="51">
        <v>42655750</v>
      </c>
      <c r="J104" s="51">
        <v>44650000</v>
      </c>
      <c r="K104" s="56">
        <v>9553.36</v>
      </c>
      <c r="L104" s="56">
        <v>9292.81</v>
      </c>
      <c r="M104" s="55" t="s">
        <v>269</v>
      </c>
      <c r="N104" s="54" t="s">
        <v>342</v>
      </c>
      <c r="O104" s="53">
        <v>0</v>
      </c>
      <c r="P104" s="51">
        <v>-1163354</v>
      </c>
      <c r="Q104" s="52">
        <v>-2.73</v>
      </c>
      <c r="R104" s="51">
        <v>1</v>
      </c>
      <c r="S104" s="51">
        <v>0</v>
      </c>
      <c r="T104" s="50" t="s">
        <v>269</v>
      </c>
      <c r="U104" s="49" t="s">
        <v>343</v>
      </c>
      <c r="V104" s="48" t="s">
        <v>342</v>
      </c>
      <c r="W104" s="48" t="s">
        <v>342</v>
      </c>
    </row>
    <row r="105" spans="1:23">
      <c r="A105" s="40" t="s">
        <v>346</v>
      </c>
      <c r="B105" s="40" t="s">
        <v>349</v>
      </c>
      <c r="C105" s="39" t="s">
        <v>672</v>
      </c>
      <c r="D105" s="47" t="s">
        <v>338</v>
      </c>
      <c r="E105" s="40" t="s">
        <v>348</v>
      </c>
      <c r="F105" s="39" t="s">
        <v>347</v>
      </c>
      <c r="G105" s="42">
        <v>2.4700000000000002</v>
      </c>
      <c r="H105" s="42">
        <v>13.96</v>
      </c>
      <c r="I105" s="41">
        <v>300582953</v>
      </c>
      <c r="J105" s="41">
        <v>300000000</v>
      </c>
      <c r="K105" s="46">
        <v>10019.43</v>
      </c>
      <c r="L105" s="46">
        <v>9538.92</v>
      </c>
      <c r="M105" s="45" t="s">
        <v>269</v>
      </c>
      <c r="N105" s="44" t="s">
        <v>342</v>
      </c>
      <c r="O105" s="43">
        <v>0</v>
      </c>
      <c r="P105" s="41">
        <v>-14415353</v>
      </c>
      <c r="Q105" s="42">
        <v>-4.8</v>
      </c>
      <c r="R105" s="41">
        <v>0</v>
      </c>
      <c r="S105" s="41">
        <v>0</v>
      </c>
      <c r="T105" s="40" t="s">
        <v>269</v>
      </c>
      <c r="U105" s="39" t="s">
        <v>343</v>
      </c>
      <c r="V105" s="38" t="s">
        <v>342</v>
      </c>
      <c r="W105" s="38" t="s">
        <v>342</v>
      </c>
    </row>
    <row r="106" spans="1:23">
      <c r="A106" s="50" t="s">
        <v>595</v>
      </c>
      <c r="B106" s="50" t="s">
        <v>349</v>
      </c>
      <c r="C106" s="49" t="s">
        <v>672</v>
      </c>
      <c r="D106" s="57" t="s">
        <v>338</v>
      </c>
      <c r="E106" s="50" t="s">
        <v>593</v>
      </c>
      <c r="F106" s="49" t="s">
        <v>592</v>
      </c>
      <c r="G106" s="52">
        <v>0</v>
      </c>
      <c r="H106" s="52">
        <v>0</v>
      </c>
      <c r="I106" s="51">
        <v>-11623918</v>
      </c>
      <c r="J106" s="51">
        <v>0</v>
      </c>
      <c r="K106" s="51">
        <v>0</v>
      </c>
      <c r="L106" s="56">
        <v>9002.5300000000007</v>
      </c>
      <c r="M106" s="55" t="s">
        <v>269</v>
      </c>
      <c r="N106" s="54" t="s">
        <v>342</v>
      </c>
      <c r="O106" s="53">
        <v>0</v>
      </c>
      <c r="P106" s="51">
        <v>11623908</v>
      </c>
      <c r="Q106" s="52">
        <v>2.4</v>
      </c>
      <c r="R106" s="51">
        <v>10</v>
      </c>
      <c r="S106" s="51">
        <v>0</v>
      </c>
      <c r="T106" s="50" t="s">
        <v>269</v>
      </c>
      <c r="U106" s="49" t="s">
        <v>343</v>
      </c>
      <c r="V106" s="48" t="s">
        <v>342</v>
      </c>
      <c r="W106" s="48" t="s">
        <v>342</v>
      </c>
    </row>
    <row r="107" spans="1:23">
      <c r="A107" s="40" t="s">
        <v>594</v>
      </c>
      <c r="B107" s="40" t="s">
        <v>586</v>
      </c>
      <c r="C107" s="39" t="s">
        <v>590</v>
      </c>
      <c r="D107" s="47" t="s">
        <v>338</v>
      </c>
      <c r="E107" s="40" t="s">
        <v>589</v>
      </c>
      <c r="F107" s="39" t="s">
        <v>588</v>
      </c>
      <c r="G107" s="42">
        <v>0</v>
      </c>
      <c r="H107" s="42">
        <v>76.760000000000005</v>
      </c>
      <c r="I107" s="41">
        <v>24355</v>
      </c>
      <c r="J107" s="41">
        <v>1</v>
      </c>
      <c r="K107" s="41">
        <v>24355</v>
      </c>
      <c r="L107" s="70">
        <v>25610</v>
      </c>
      <c r="M107" s="69" t="s">
        <v>362</v>
      </c>
      <c r="N107" s="68" t="s">
        <v>440</v>
      </c>
      <c r="O107" s="67">
        <v>-0.23</v>
      </c>
      <c r="P107" s="41">
        <v>1255</v>
      </c>
      <c r="Q107" s="42">
        <v>5.15</v>
      </c>
      <c r="R107" s="41">
        <v>-60</v>
      </c>
      <c r="S107" s="41">
        <v>10</v>
      </c>
      <c r="T107" s="40" t="s">
        <v>269</v>
      </c>
      <c r="U107" s="39" t="s">
        <v>343</v>
      </c>
      <c r="V107" s="38" t="s">
        <v>342</v>
      </c>
      <c r="W107" s="38" t="s">
        <v>342</v>
      </c>
    </row>
    <row r="108" spans="1:23">
      <c r="A108" s="50" t="s">
        <v>591</v>
      </c>
      <c r="B108" s="50" t="s">
        <v>586</v>
      </c>
      <c r="C108" s="49" t="s">
        <v>585</v>
      </c>
      <c r="D108" s="57" t="s">
        <v>338</v>
      </c>
      <c r="E108" s="50" t="s">
        <v>584</v>
      </c>
      <c r="F108" s="49" t="s">
        <v>583</v>
      </c>
      <c r="G108" s="52">
        <v>0</v>
      </c>
      <c r="H108" s="52">
        <v>23.23</v>
      </c>
      <c r="I108" s="51">
        <v>8160</v>
      </c>
      <c r="J108" s="51">
        <v>1</v>
      </c>
      <c r="K108" s="51">
        <v>8160</v>
      </c>
      <c r="L108" s="76">
        <v>7750</v>
      </c>
      <c r="M108" s="75" t="s">
        <v>367</v>
      </c>
      <c r="N108" s="74" t="s">
        <v>527</v>
      </c>
      <c r="O108" s="73">
        <v>0.26</v>
      </c>
      <c r="P108" s="51">
        <v>-410</v>
      </c>
      <c r="Q108" s="52">
        <v>-5.0199999999999996</v>
      </c>
      <c r="R108" s="51">
        <v>20</v>
      </c>
      <c r="S108" s="51">
        <v>5</v>
      </c>
      <c r="T108" s="50" t="s">
        <v>269</v>
      </c>
      <c r="U108" s="49" t="s">
        <v>343</v>
      </c>
      <c r="V108" s="48" t="s">
        <v>342</v>
      </c>
      <c r="W108" s="48" t="s">
        <v>342</v>
      </c>
    </row>
    <row r="109" spans="1:23">
      <c r="A109" s="40" t="s">
        <v>587</v>
      </c>
      <c r="B109" s="40" t="s">
        <v>345</v>
      </c>
      <c r="C109" s="39" t="s">
        <v>318</v>
      </c>
      <c r="D109" s="47" t="s">
        <v>338</v>
      </c>
      <c r="E109" s="40" t="s">
        <v>319</v>
      </c>
      <c r="F109" s="39" t="s">
        <v>344</v>
      </c>
      <c r="G109" s="42">
        <v>18</v>
      </c>
      <c r="H109" s="42">
        <v>100</v>
      </c>
      <c r="I109" s="41">
        <v>2200000000</v>
      </c>
      <c r="J109" s="41">
        <v>2200000000</v>
      </c>
      <c r="K109" s="41">
        <v>10000</v>
      </c>
      <c r="L109" s="46">
        <v>9471.67</v>
      </c>
      <c r="M109" s="45" t="s">
        <v>269</v>
      </c>
      <c r="N109" s="44" t="s">
        <v>342</v>
      </c>
      <c r="O109" s="43">
        <v>0</v>
      </c>
      <c r="P109" s="41">
        <v>-116232600</v>
      </c>
      <c r="Q109" s="42">
        <v>-5.28</v>
      </c>
      <c r="R109" s="41">
        <v>0</v>
      </c>
      <c r="S109" s="41">
        <v>0</v>
      </c>
      <c r="T109" s="40" t="s">
        <v>269</v>
      </c>
      <c r="U109" s="39" t="s">
        <v>343</v>
      </c>
      <c r="V109" s="38" t="s">
        <v>342</v>
      </c>
      <c r="W109" s="38" t="s">
        <v>342</v>
      </c>
    </row>
    <row r="110" spans="1:23">
      <c r="A110" s="113" t="s">
        <v>341</v>
      </c>
      <c r="B110" s="114"/>
      <c r="C110" s="115"/>
      <c r="D110" s="35" t="s">
        <v>269</v>
      </c>
      <c r="E110" s="35" t="s">
        <v>269</v>
      </c>
      <c r="F110" s="35" t="s">
        <v>269</v>
      </c>
      <c r="G110" s="37">
        <v>189.63</v>
      </c>
      <c r="H110" s="37">
        <v>700</v>
      </c>
      <c r="I110" s="36">
        <v>4771787556</v>
      </c>
      <c r="J110" s="36">
        <v>4045041229</v>
      </c>
      <c r="K110" s="35" t="s">
        <v>269</v>
      </c>
      <c r="L110" s="35" t="s">
        <v>269</v>
      </c>
      <c r="M110" s="116" t="s">
        <v>269</v>
      </c>
      <c r="N110" s="117"/>
      <c r="O110" s="35" t="s">
        <v>269</v>
      </c>
      <c r="P110" s="36">
        <v>389000293</v>
      </c>
      <c r="Q110" s="37">
        <v>449.3</v>
      </c>
      <c r="R110" s="35" t="s">
        <v>269</v>
      </c>
      <c r="S110" s="36">
        <v>101845559</v>
      </c>
      <c r="T110" s="35" t="s">
        <v>269</v>
      </c>
      <c r="U110" s="35" t="s">
        <v>269</v>
      </c>
      <c r="V110" s="35" t="s">
        <v>269</v>
      </c>
      <c r="W110" s="35" t="s">
        <v>269</v>
      </c>
    </row>
  </sheetData>
  <mergeCells count="24">
    <mergeCell ref="J1:J2"/>
    <mergeCell ref="K1:K2"/>
    <mergeCell ref="L1:L2"/>
    <mergeCell ref="A1:A2"/>
    <mergeCell ref="B1:B2"/>
    <mergeCell ref="C1:C2"/>
    <mergeCell ref="D1:D2"/>
    <mergeCell ref="E1:E2"/>
    <mergeCell ref="T1:T2"/>
    <mergeCell ref="U1:U2"/>
    <mergeCell ref="V1:V2"/>
    <mergeCell ref="W1:W2"/>
    <mergeCell ref="A110:C110"/>
    <mergeCell ref="M110:N110"/>
    <mergeCell ref="M1:N2"/>
    <mergeCell ref="O1:O2"/>
    <mergeCell ref="P1:P2"/>
    <mergeCell ref="Q1:Q2"/>
    <mergeCell ref="F1:F2"/>
    <mergeCell ref="R1:R2"/>
    <mergeCell ref="S1:S2"/>
    <mergeCell ref="G1:G2"/>
    <mergeCell ref="H1:H2"/>
    <mergeCell ref="I1:I2"/>
  </mergeCells>
  <phoneticPr fontId="1" type="noConversion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111"/>
  <sheetViews>
    <sheetView topLeftCell="A77" workbookViewId="0">
      <selection activeCell="C110" sqref="C110"/>
    </sheetView>
  </sheetViews>
  <sheetFormatPr defaultRowHeight="16.5"/>
  <cols>
    <col min="1" max="1" width="3.75" bestFit="1" customWidth="1"/>
    <col min="2" max="2" width="7.5" bestFit="1" customWidth="1"/>
    <col min="3" max="3" width="10.625" bestFit="1" customWidth="1"/>
    <col min="4" max="4" width="4.125" bestFit="1" customWidth="1"/>
    <col min="5" max="5" width="11.625" bestFit="1" customWidth="1"/>
    <col min="6" max="6" width="18.75" bestFit="1" customWidth="1"/>
    <col min="7" max="7" width="10.5" bestFit="1" customWidth="1"/>
    <col min="8" max="8" width="13.875" bestFit="1" customWidth="1"/>
    <col min="9" max="10" width="13" bestFit="1" customWidth="1"/>
    <col min="11" max="11" width="10.25" bestFit="1" customWidth="1"/>
    <col min="12" max="12" width="8.25" bestFit="1" customWidth="1"/>
    <col min="13" max="13" width="2.75" bestFit="1" customWidth="1"/>
    <col min="14" max="14" width="5.75" bestFit="1" customWidth="1"/>
    <col min="15" max="15" width="6" bestFit="1" customWidth="1"/>
    <col min="16" max="16" width="11.375" bestFit="1" customWidth="1"/>
    <col min="17" max="17" width="9.75" bestFit="1" customWidth="1"/>
    <col min="18" max="18" width="11.375" bestFit="1" customWidth="1"/>
    <col min="19" max="19" width="10.5" bestFit="1" customWidth="1"/>
    <col min="20" max="20" width="4.75" bestFit="1" customWidth="1"/>
    <col min="21" max="22" width="7.5" bestFit="1" customWidth="1"/>
    <col min="23" max="23" width="4.5" bestFit="1" customWidth="1"/>
  </cols>
  <sheetData>
    <row r="1" spans="1:23">
      <c r="A1" s="111" t="s">
        <v>576</v>
      </c>
      <c r="B1" s="111" t="s">
        <v>575</v>
      </c>
      <c r="C1" s="111" t="s">
        <v>574</v>
      </c>
      <c r="D1" s="111" t="s">
        <v>573</v>
      </c>
      <c r="E1" s="111" t="s">
        <v>572</v>
      </c>
      <c r="F1" s="111" t="s">
        <v>571</v>
      </c>
      <c r="G1" s="111" t="s">
        <v>570</v>
      </c>
      <c r="H1" s="111" t="s">
        <v>569</v>
      </c>
      <c r="I1" s="111" t="s">
        <v>568</v>
      </c>
      <c r="J1" s="111" t="s">
        <v>567</v>
      </c>
      <c r="K1" s="111" t="s">
        <v>566</v>
      </c>
      <c r="L1" s="111" t="s">
        <v>565</v>
      </c>
      <c r="M1" s="118" t="s">
        <v>564</v>
      </c>
      <c r="N1" s="119"/>
      <c r="O1" s="111" t="s">
        <v>563</v>
      </c>
      <c r="P1" s="111" t="s">
        <v>562</v>
      </c>
      <c r="Q1" s="111" t="s">
        <v>561</v>
      </c>
      <c r="R1" s="111" t="s">
        <v>560</v>
      </c>
      <c r="S1" s="111" t="s">
        <v>559</v>
      </c>
      <c r="T1" s="111" t="s">
        <v>558</v>
      </c>
      <c r="U1" s="111" t="s">
        <v>557</v>
      </c>
      <c r="V1" s="111" t="s">
        <v>556</v>
      </c>
      <c r="W1" s="111" t="s">
        <v>555</v>
      </c>
    </row>
    <row r="2" spans="1:23">
      <c r="A2" s="112"/>
      <c r="B2" s="112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20"/>
      <c r="N2" s="121"/>
      <c r="O2" s="112"/>
      <c r="P2" s="112"/>
      <c r="Q2" s="112"/>
      <c r="R2" s="112"/>
      <c r="S2" s="112"/>
      <c r="T2" s="112"/>
      <c r="U2" s="112"/>
      <c r="V2" s="112"/>
      <c r="W2" s="112"/>
    </row>
    <row r="3" spans="1:23">
      <c r="A3" s="81" t="s">
        <v>554</v>
      </c>
      <c r="B3" s="81" t="s">
        <v>399</v>
      </c>
      <c r="C3" s="80" t="s">
        <v>625</v>
      </c>
      <c r="D3" s="89" t="s">
        <v>338</v>
      </c>
      <c r="E3" s="81" t="s">
        <v>0</v>
      </c>
      <c r="F3" s="80" t="s">
        <v>1</v>
      </c>
      <c r="G3" s="83">
        <v>2.54</v>
      </c>
      <c r="H3" s="83">
        <v>3.54</v>
      </c>
      <c r="I3" s="82">
        <v>299159750</v>
      </c>
      <c r="J3" s="82">
        <v>3734</v>
      </c>
      <c r="K3" s="88">
        <v>80117.77</v>
      </c>
      <c r="L3" s="87">
        <v>83400</v>
      </c>
      <c r="M3" s="86" t="s">
        <v>362</v>
      </c>
      <c r="N3" s="85" t="s">
        <v>414</v>
      </c>
      <c r="O3" s="84">
        <v>-0.24</v>
      </c>
      <c r="P3" s="82">
        <v>12255850</v>
      </c>
      <c r="Q3" s="83">
        <v>4.0999999999999996</v>
      </c>
      <c r="R3" s="82">
        <v>-746800</v>
      </c>
      <c r="S3" s="82">
        <v>1239686</v>
      </c>
      <c r="T3" s="81" t="s">
        <v>269</v>
      </c>
      <c r="U3" s="80" t="s">
        <v>343</v>
      </c>
      <c r="V3" s="79" t="s">
        <v>342</v>
      </c>
      <c r="W3" s="79" t="s">
        <v>342</v>
      </c>
    </row>
    <row r="4" spans="1:23">
      <c r="A4" s="50" t="s">
        <v>553</v>
      </c>
      <c r="B4" s="50" t="s">
        <v>399</v>
      </c>
      <c r="C4" s="49" t="s">
        <v>625</v>
      </c>
      <c r="D4" s="57" t="s">
        <v>338</v>
      </c>
      <c r="E4" s="50" t="s">
        <v>4</v>
      </c>
      <c r="F4" s="49" t="s">
        <v>5</v>
      </c>
      <c r="G4" s="52">
        <v>2</v>
      </c>
      <c r="H4" s="52">
        <v>2.79</v>
      </c>
      <c r="I4" s="51">
        <v>232867330</v>
      </c>
      <c r="J4" s="51">
        <v>6307</v>
      </c>
      <c r="K4" s="56">
        <v>36922.04</v>
      </c>
      <c r="L4" s="62">
        <v>38850</v>
      </c>
      <c r="M4" s="61" t="s">
        <v>362</v>
      </c>
      <c r="N4" s="60" t="s">
        <v>453</v>
      </c>
      <c r="O4" s="59">
        <v>-0.13</v>
      </c>
      <c r="P4" s="51">
        <v>12159620</v>
      </c>
      <c r="Q4" s="52">
        <v>5.22</v>
      </c>
      <c r="R4" s="51">
        <v>-315350</v>
      </c>
      <c r="S4" s="51">
        <v>501532</v>
      </c>
      <c r="T4" s="50" t="s">
        <v>269</v>
      </c>
      <c r="U4" s="49" t="s">
        <v>343</v>
      </c>
      <c r="V4" s="48" t="s">
        <v>342</v>
      </c>
      <c r="W4" s="48" t="s">
        <v>342</v>
      </c>
    </row>
    <row r="5" spans="1:23">
      <c r="A5" s="40" t="s">
        <v>552</v>
      </c>
      <c r="B5" s="40" t="s">
        <v>399</v>
      </c>
      <c r="C5" s="39" t="s">
        <v>625</v>
      </c>
      <c r="D5" s="47" t="s">
        <v>338</v>
      </c>
      <c r="E5" s="40" t="s">
        <v>324</v>
      </c>
      <c r="F5" s="39" t="s">
        <v>325</v>
      </c>
      <c r="G5" s="42">
        <v>0.96</v>
      </c>
      <c r="H5" s="42">
        <v>1.35</v>
      </c>
      <c r="I5" s="41">
        <v>124276930</v>
      </c>
      <c r="J5" s="41">
        <v>449</v>
      </c>
      <c r="K5" s="46">
        <v>276786.03999999998</v>
      </c>
      <c r="L5" s="70">
        <v>264000</v>
      </c>
      <c r="M5" s="69" t="s">
        <v>362</v>
      </c>
      <c r="N5" s="68" t="s">
        <v>398</v>
      </c>
      <c r="O5" s="67">
        <v>-0.75</v>
      </c>
      <c r="P5" s="41">
        <v>-5740930</v>
      </c>
      <c r="Q5" s="42">
        <v>-4.62</v>
      </c>
      <c r="R5" s="41">
        <v>-898000</v>
      </c>
      <c r="S5" s="41">
        <v>86930</v>
      </c>
      <c r="T5" s="40" t="s">
        <v>269</v>
      </c>
      <c r="U5" s="39" t="s">
        <v>343</v>
      </c>
      <c r="V5" s="38" t="s">
        <v>342</v>
      </c>
      <c r="W5" s="38" t="s">
        <v>342</v>
      </c>
    </row>
    <row r="6" spans="1:23">
      <c r="A6" s="50" t="s">
        <v>551</v>
      </c>
      <c r="B6" s="50" t="s">
        <v>399</v>
      </c>
      <c r="C6" s="49" t="s">
        <v>625</v>
      </c>
      <c r="D6" s="57" t="s">
        <v>338</v>
      </c>
      <c r="E6" s="50" t="s">
        <v>6</v>
      </c>
      <c r="F6" s="49" t="s">
        <v>7</v>
      </c>
      <c r="G6" s="52">
        <v>3.18</v>
      </c>
      <c r="H6" s="52">
        <v>4.4400000000000004</v>
      </c>
      <c r="I6" s="51">
        <v>422560546</v>
      </c>
      <c r="J6" s="51">
        <v>11327</v>
      </c>
      <c r="K6" s="78">
        <v>37305.599999999999</v>
      </c>
      <c r="L6" s="62">
        <v>34400</v>
      </c>
      <c r="M6" s="61" t="s">
        <v>362</v>
      </c>
      <c r="N6" s="60" t="s">
        <v>401</v>
      </c>
      <c r="O6" s="59">
        <v>-0.43</v>
      </c>
      <c r="P6" s="51">
        <v>-32911746</v>
      </c>
      <c r="Q6" s="52">
        <v>-7.79</v>
      </c>
      <c r="R6" s="51">
        <v>-1699050</v>
      </c>
      <c r="S6" s="51">
        <v>904286</v>
      </c>
      <c r="T6" s="50" t="s">
        <v>269</v>
      </c>
      <c r="U6" s="49" t="s">
        <v>343</v>
      </c>
      <c r="V6" s="48" t="s">
        <v>342</v>
      </c>
      <c r="W6" s="48" t="s">
        <v>342</v>
      </c>
    </row>
    <row r="7" spans="1:23">
      <c r="A7" s="40" t="s">
        <v>550</v>
      </c>
      <c r="B7" s="40" t="s">
        <v>399</v>
      </c>
      <c r="C7" s="39" t="s">
        <v>625</v>
      </c>
      <c r="D7" s="47" t="s">
        <v>338</v>
      </c>
      <c r="E7" s="40" t="s">
        <v>314</v>
      </c>
      <c r="F7" s="39" t="s">
        <v>315</v>
      </c>
      <c r="G7" s="42">
        <v>2.2200000000000002</v>
      </c>
      <c r="H7" s="42">
        <v>3.1</v>
      </c>
      <c r="I7" s="41">
        <v>260116780</v>
      </c>
      <c r="J7" s="41">
        <v>22892</v>
      </c>
      <c r="K7" s="46">
        <v>11362.78</v>
      </c>
      <c r="L7" s="70">
        <v>11900</v>
      </c>
      <c r="M7" s="69" t="s">
        <v>362</v>
      </c>
      <c r="N7" s="68" t="s">
        <v>443</v>
      </c>
      <c r="O7" s="67">
        <v>-2.06</v>
      </c>
      <c r="P7" s="41">
        <v>12298020</v>
      </c>
      <c r="Q7" s="42">
        <v>4.7300000000000004</v>
      </c>
      <c r="R7" s="41">
        <v>-4814400</v>
      </c>
      <c r="S7" s="41">
        <v>201380</v>
      </c>
      <c r="T7" s="40" t="s">
        <v>269</v>
      </c>
      <c r="U7" s="39" t="s">
        <v>343</v>
      </c>
      <c r="V7" s="38" t="s">
        <v>342</v>
      </c>
      <c r="W7" s="38" t="s">
        <v>342</v>
      </c>
    </row>
    <row r="8" spans="1:23">
      <c r="A8" s="50" t="s">
        <v>549</v>
      </c>
      <c r="B8" s="50" t="s">
        <v>399</v>
      </c>
      <c r="C8" s="49" t="s">
        <v>625</v>
      </c>
      <c r="D8" s="57" t="s">
        <v>338</v>
      </c>
      <c r="E8" s="50" t="s">
        <v>284</v>
      </c>
      <c r="F8" s="49" t="s">
        <v>285</v>
      </c>
      <c r="G8" s="52">
        <v>1.9</v>
      </c>
      <c r="H8" s="52">
        <v>2.66</v>
      </c>
      <c r="I8" s="51">
        <v>254453780</v>
      </c>
      <c r="J8" s="51">
        <v>3633</v>
      </c>
      <c r="K8" s="56">
        <v>70039.58</v>
      </c>
      <c r="L8" s="51">
        <v>64400</v>
      </c>
      <c r="M8" s="55" t="s">
        <v>269</v>
      </c>
      <c r="N8" s="54" t="s">
        <v>342</v>
      </c>
      <c r="O8" s="53">
        <v>0</v>
      </c>
      <c r="P8" s="51">
        <v>-20488580</v>
      </c>
      <c r="Q8" s="52">
        <v>-8.0500000000000007</v>
      </c>
      <c r="R8" s="51">
        <v>0</v>
      </c>
      <c r="S8" s="51">
        <v>339412</v>
      </c>
      <c r="T8" s="50" t="s">
        <v>269</v>
      </c>
      <c r="U8" s="49" t="s">
        <v>343</v>
      </c>
      <c r="V8" s="48" t="s">
        <v>342</v>
      </c>
      <c r="W8" s="48" t="s">
        <v>342</v>
      </c>
    </row>
    <row r="9" spans="1:23">
      <c r="A9" s="40" t="s">
        <v>548</v>
      </c>
      <c r="B9" s="40" t="s">
        <v>399</v>
      </c>
      <c r="C9" s="39" t="s">
        <v>625</v>
      </c>
      <c r="D9" s="47" t="s">
        <v>338</v>
      </c>
      <c r="E9" s="40" t="s">
        <v>14</v>
      </c>
      <c r="F9" s="39" t="s">
        <v>15</v>
      </c>
      <c r="G9" s="42">
        <v>1.01</v>
      </c>
      <c r="H9" s="42">
        <v>1.41</v>
      </c>
      <c r="I9" s="41">
        <v>118266085</v>
      </c>
      <c r="J9" s="41">
        <v>932</v>
      </c>
      <c r="K9" s="46">
        <v>126894.94</v>
      </c>
      <c r="L9" s="66">
        <v>133500</v>
      </c>
      <c r="M9" s="65" t="s">
        <v>367</v>
      </c>
      <c r="N9" s="64" t="s">
        <v>382</v>
      </c>
      <c r="O9" s="63">
        <v>1.1399999999999999</v>
      </c>
      <c r="P9" s="41">
        <v>6155915</v>
      </c>
      <c r="Q9" s="42">
        <v>5.21</v>
      </c>
      <c r="R9" s="41">
        <v>1398000</v>
      </c>
      <c r="S9" s="41">
        <v>1528940</v>
      </c>
      <c r="T9" s="40" t="s">
        <v>269</v>
      </c>
      <c r="U9" s="39" t="s">
        <v>343</v>
      </c>
      <c r="V9" s="38" t="s">
        <v>342</v>
      </c>
      <c r="W9" s="38" t="s">
        <v>342</v>
      </c>
    </row>
    <row r="10" spans="1:23">
      <c r="A10" s="50" t="s">
        <v>547</v>
      </c>
      <c r="B10" s="50" t="s">
        <v>399</v>
      </c>
      <c r="C10" s="49" t="s">
        <v>625</v>
      </c>
      <c r="D10" s="57" t="s">
        <v>338</v>
      </c>
      <c r="E10" s="50" t="s">
        <v>16</v>
      </c>
      <c r="F10" s="49" t="s">
        <v>17</v>
      </c>
      <c r="G10" s="52">
        <v>2.02</v>
      </c>
      <c r="H10" s="52">
        <v>2.82</v>
      </c>
      <c r="I10" s="51">
        <v>227763246</v>
      </c>
      <c r="J10" s="51">
        <v>1114</v>
      </c>
      <c r="K10" s="56">
        <v>204455.34</v>
      </c>
      <c r="L10" s="62">
        <v>222500</v>
      </c>
      <c r="M10" s="61" t="s">
        <v>362</v>
      </c>
      <c r="N10" s="60" t="s">
        <v>398</v>
      </c>
      <c r="O10" s="59">
        <v>-0.89</v>
      </c>
      <c r="P10" s="51">
        <v>20101754</v>
      </c>
      <c r="Q10" s="52">
        <v>8.83</v>
      </c>
      <c r="R10" s="51">
        <v>-2228000</v>
      </c>
      <c r="S10" s="51">
        <v>2283886</v>
      </c>
      <c r="T10" s="50" t="s">
        <v>269</v>
      </c>
      <c r="U10" s="49" t="s">
        <v>343</v>
      </c>
      <c r="V10" s="48" t="s">
        <v>342</v>
      </c>
      <c r="W10" s="48" t="s">
        <v>342</v>
      </c>
    </row>
    <row r="11" spans="1:23">
      <c r="A11" s="40" t="s">
        <v>546</v>
      </c>
      <c r="B11" s="40" t="s">
        <v>399</v>
      </c>
      <c r="C11" s="39" t="s">
        <v>625</v>
      </c>
      <c r="D11" s="47" t="s">
        <v>338</v>
      </c>
      <c r="E11" s="40" t="s">
        <v>20</v>
      </c>
      <c r="F11" s="39" t="s">
        <v>21</v>
      </c>
      <c r="G11" s="42">
        <v>4.8600000000000003</v>
      </c>
      <c r="H11" s="42">
        <v>6.79</v>
      </c>
      <c r="I11" s="41">
        <v>505324788</v>
      </c>
      <c r="J11" s="41">
        <v>370</v>
      </c>
      <c r="K11" s="46">
        <v>1365742.67</v>
      </c>
      <c r="L11" s="70">
        <v>1612000</v>
      </c>
      <c r="M11" s="69" t="s">
        <v>362</v>
      </c>
      <c r="N11" s="68" t="s">
        <v>545</v>
      </c>
      <c r="O11" s="67">
        <v>-1.65</v>
      </c>
      <c r="P11" s="41">
        <v>91115212</v>
      </c>
      <c r="Q11" s="42">
        <v>18.03</v>
      </c>
      <c r="R11" s="41">
        <v>-9990000</v>
      </c>
      <c r="S11" s="41">
        <v>2684374</v>
      </c>
      <c r="T11" s="40" t="s">
        <v>269</v>
      </c>
      <c r="U11" s="39" t="s">
        <v>343</v>
      </c>
      <c r="V11" s="38" t="s">
        <v>342</v>
      </c>
      <c r="W11" s="38" t="s">
        <v>342</v>
      </c>
    </row>
    <row r="12" spans="1:23">
      <c r="A12" s="50" t="s">
        <v>366</v>
      </c>
      <c r="B12" s="50" t="s">
        <v>399</v>
      </c>
      <c r="C12" s="49" t="s">
        <v>625</v>
      </c>
      <c r="D12" s="57" t="s">
        <v>338</v>
      </c>
      <c r="E12" s="50" t="s">
        <v>286</v>
      </c>
      <c r="F12" s="49" t="s">
        <v>287</v>
      </c>
      <c r="G12" s="52">
        <v>0.5</v>
      </c>
      <c r="H12" s="52">
        <v>0.7</v>
      </c>
      <c r="I12" s="51">
        <v>53709168</v>
      </c>
      <c r="J12" s="51">
        <v>3254</v>
      </c>
      <c r="K12" s="56">
        <v>16505.580000000002</v>
      </c>
      <c r="L12" s="62">
        <v>18900</v>
      </c>
      <c r="M12" s="61" t="s">
        <v>362</v>
      </c>
      <c r="N12" s="60" t="s">
        <v>453</v>
      </c>
      <c r="O12" s="59">
        <v>-0.26</v>
      </c>
      <c r="P12" s="51">
        <v>7791432</v>
      </c>
      <c r="Q12" s="52">
        <v>14.51</v>
      </c>
      <c r="R12" s="51">
        <v>-162700</v>
      </c>
      <c r="S12" s="51">
        <v>969672</v>
      </c>
      <c r="T12" s="50" t="s">
        <v>269</v>
      </c>
      <c r="U12" s="49" t="s">
        <v>343</v>
      </c>
      <c r="V12" s="48" t="s">
        <v>342</v>
      </c>
      <c r="W12" s="48" t="s">
        <v>342</v>
      </c>
    </row>
    <row r="13" spans="1:23">
      <c r="A13" s="40" t="s">
        <v>544</v>
      </c>
      <c r="B13" s="40" t="s">
        <v>399</v>
      </c>
      <c r="C13" s="39" t="s">
        <v>625</v>
      </c>
      <c r="D13" s="47" t="s">
        <v>338</v>
      </c>
      <c r="E13" s="40" t="s">
        <v>543</v>
      </c>
      <c r="F13" s="39" t="s">
        <v>542</v>
      </c>
      <c r="G13" s="42">
        <v>2.02</v>
      </c>
      <c r="H13" s="42">
        <v>2.82</v>
      </c>
      <c r="I13" s="41">
        <v>232816942</v>
      </c>
      <c r="J13" s="41">
        <v>8387</v>
      </c>
      <c r="K13" s="46">
        <v>27759.26</v>
      </c>
      <c r="L13" s="70">
        <v>29600</v>
      </c>
      <c r="M13" s="69" t="s">
        <v>362</v>
      </c>
      <c r="N13" s="68" t="s">
        <v>453</v>
      </c>
      <c r="O13" s="67">
        <v>-0.17</v>
      </c>
      <c r="P13" s="41">
        <v>15438258</v>
      </c>
      <c r="Q13" s="42">
        <v>6.63</v>
      </c>
      <c r="R13" s="41">
        <v>-419350</v>
      </c>
      <c r="S13" s="41">
        <v>1116216</v>
      </c>
      <c r="T13" s="40" t="s">
        <v>269</v>
      </c>
      <c r="U13" s="39" t="s">
        <v>343</v>
      </c>
      <c r="V13" s="38" t="s">
        <v>342</v>
      </c>
      <c r="W13" s="38" t="s">
        <v>342</v>
      </c>
    </row>
    <row r="14" spans="1:23">
      <c r="A14" s="50" t="s">
        <v>541</v>
      </c>
      <c r="B14" s="50" t="s">
        <v>399</v>
      </c>
      <c r="C14" s="49" t="s">
        <v>625</v>
      </c>
      <c r="D14" s="57" t="s">
        <v>338</v>
      </c>
      <c r="E14" s="50" t="s">
        <v>303</v>
      </c>
      <c r="F14" s="49" t="s">
        <v>304</v>
      </c>
      <c r="G14" s="52">
        <v>0.47</v>
      </c>
      <c r="H14" s="52">
        <v>0.65</v>
      </c>
      <c r="I14" s="51">
        <v>62261420</v>
      </c>
      <c r="J14" s="51">
        <v>42409</v>
      </c>
      <c r="K14" s="56">
        <v>1468.12</v>
      </c>
      <c r="L14" s="62">
        <v>1365</v>
      </c>
      <c r="M14" s="61" t="s">
        <v>362</v>
      </c>
      <c r="N14" s="60" t="s">
        <v>527</v>
      </c>
      <c r="O14" s="59">
        <v>-1.44</v>
      </c>
      <c r="P14" s="51">
        <v>-4373135</v>
      </c>
      <c r="Q14" s="52">
        <v>-7.02</v>
      </c>
      <c r="R14" s="51">
        <v>-848180</v>
      </c>
      <c r="S14" s="51">
        <v>58430</v>
      </c>
      <c r="T14" s="50" t="s">
        <v>269</v>
      </c>
      <c r="U14" s="49" t="s">
        <v>343</v>
      </c>
      <c r="V14" s="48" t="s">
        <v>342</v>
      </c>
      <c r="W14" s="48" t="s">
        <v>342</v>
      </c>
    </row>
    <row r="15" spans="1:23">
      <c r="A15" s="40" t="s">
        <v>539</v>
      </c>
      <c r="B15" s="40" t="s">
        <v>399</v>
      </c>
      <c r="C15" s="39" t="s">
        <v>625</v>
      </c>
      <c r="D15" s="47" t="s">
        <v>338</v>
      </c>
      <c r="E15" s="40" t="s">
        <v>24</v>
      </c>
      <c r="F15" s="39" t="s">
        <v>25</v>
      </c>
      <c r="G15" s="42">
        <v>2.0099999999999998</v>
      </c>
      <c r="H15" s="42">
        <v>2.81</v>
      </c>
      <c r="I15" s="41">
        <v>236285070</v>
      </c>
      <c r="J15" s="41">
        <v>3683</v>
      </c>
      <c r="K15" s="58">
        <v>64155.6</v>
      </c>
      <c r="L15" s="66">
        <v>67000</v>
      </c>
      <c r="M15" s="65" t="s">
        <v>367</v>
      </c>
      <c r="N15" s="64" t="s">
        <v>540</v>
      </c>
      <c r="O15" s="63">
        <v>1.36</v>
      </c>
      <c r="P15" s="41">
        <v>10475930</v>
      </c>
      <c r="Q15" s="42">
        <v>4.43</v>
      </c>
      <c r="R15" s="41">
        <v>2762400</v>
      </c>
      <c r="S15" s="41">
        <v>968318</v>
      </c>
      <c r="T15" s="40" t="s">
        <v>269</v>
      </c>
      <c r="U15" s="39" t="s">
        <v>343</v>
      </c>
      <c r="V15" s="38" t="s">
        <v>342</v>
      </c>
      <c r="W15" s="38" t="s">
        <v>342</v>
      </c>
    </row>
    <row r="16" spans="1:23">
      <c r="A16" s="50" t="s">
        <v>538</v>
      </c>
      <c r="B16" s="50" t="s">
        <v>399</v>
      </c>
      <c r="C16" s="49" t="s">
        <v>625</v>
      </c>
      <c r="D16" s="57" t="s">
        <v>338</v>
      </c>
      <c r="E16" s="50" t="s">
        <v>28</v>
      </c>
      <c r="F16" s="49" t="s">
        <v>29</v>
      </c>
      <c r="G16" s="52">
        <v>1.32</v>
      </c>
      <c r="H16" s="52">
        <v>1.84</v>
      </c>
      <c r="I16" s="51">
        <v>120924469</v>
      </c>
      <c r="J16" s="51">
        <v>2821</v>
      </c>
      <c r="K16" s="56">
        <v>42865.82</v>
      </c>
      <c r="L16" s="62">
        <v>57400</v>
      </c>
      <c r="M16" s="61" t="s">
        <v>362</v>
      </c>
      <c r="N16" s="60" t="s">
        <v>355</v>
      </c>
      <c r="O16" s="59">
        <v>-0.17</v>
      </c>
      <c r="P16" s="51">
        <v>41000931</v>
      </c>
      <c r="Q16" s="52">
        <v>33.909999999999997</v>
      </c>
      <c r="R16" s="51">
        <v>-282100</v>
      </c>
      <c r="S16" s="51">
        <v>512638</v>
      </c>
      <c r="T16" s="50" t="s">
        <v>269</v>
      </c>
      <c r="U16" s="49" t="s">
        <v>343</v>
      </c>
      <c r="V16" s="48" t="s">
        <v>342</v>
      </c>
      <c r="W16" s="48" t="s">
        <v>342</v>
      </c>
    </row>
    <row r="17" spans="1:23">
      <c r="A17" s="40" t="s">
        <v>537</v>
      </c>
      <c r="B17" s="40" t="s">
        <v>399</v>
      </c>
      <c r="C17" s="39" t="s">
        <v>625</v>
      </c>
      <c r="D17" s="47" t="s">
        <v>338</v>
      </c>
      <c r="E17" s="40" t="s">
        <v>30</v>
      </c>
      <c r="F17" s="39" t="s">
        <v>31</v>
      </c>
      <c r="G17" s="42">
        <v>0.95</v>
      </c>
      <c r="H17" s="42">
        <v>1.33</v>
      </c>
      <c r="I17" s="41">
        <v>124383467</v>
      </c>
      <c r="J17" s="41">
        <v>239</v>
      </c>
      <c r="K17" s="46">
        <v>520432.92</v>
      </c>
      <c r="L17" s="66">
        <v>490000</v>
      </c>
      <c r="M17" s="65" t="s">
        <v>367</v>
      </c>
      <c r="N17" s="64" t="s">
        <v>451</v>
      </c>
      <c r="O17" s="63">
        <v>0.82</v>
      </c>
      <c r="P17" s="41">
        <v>-7273467</v>
      </c>
      <c r="Q17" s="42">
        <v>-5.85</v>
      </c>
      <c r="R17" s="41">
        <v>956000</v>
      </c>
      <c r="S17" s="41">
        <v>2401450</v>
      </c>
      <c r="T17" s="40" t="s">
        <v>269</v>
      </c>
      <c r="U17" s="39" t="s">
        <v>343</v>
      </c>
      <c r="V17" s="38" t="s">
        <v>342</v>
      </c>
      <c r="W17" s="38" t="s">
        <v>342</v>
      </c>
    </row>
    <row r="18" spans="1:23">
      <c r="A18" s="50" t="s">
        <v>534</v>
      </c>
      <c r="B18" s="50" t="s">
        <v>399</v>
      </c>
      <c r="C18" s="49" t="s">
        <v>625</v>
      </c>
      <c r="D18" s="57" t="s">
        <v>338</v>
      </c>
      <c r="E18" s="50" t="s">
        <v>536</v>
      </c>
      <c r="F18" s="49" t="s">
        <v>535</v>
      </c>
      <c r="G18" s="52">
        <v>1.0900000000000001</v>
      </c>
      <c r="H18" s="52">
        <v>1.53</v>
      </c>
      <c r="I18" s="51">
        <v>147770080</v>
      </c>
      <c r="J18" s="51">
        <v>2498</v>
      </c>
      <c r="K18" s="56">
        <v>59155.360000000001</v>
      </c>
      <c r="L18" s="76">
        <v>53900</v>
      </c>
      <c r="M18" s="75" t="s">
        <v>367</v>
      </c>
      <c r="N18" s="74" t="s">
        <v>371</v>
      </c>
      <c r="O18" s="73">
        <v>0.56000000000000005</v>
      </c>
      <c r="P18" s="51">
        <v>-13127880</v>
      </c>
      <c r="Q18" s="52">
        <v>-8.8800000000000008</v>
      </c>
      <c r="R18" s="51">
        <v>749400</v>
      </c>
      <c r="S18" s="51">
        <v>1483352</v>
      </c>
      <c r="T18" s="50" t="s">
        <v>269</v>
      </c>
      <c r="U18" s="49" t="s">
        <v>343</v>
      </c>
      <c r="V18" s="48" t="s">
        <v>342</v>
      </c>
      <c r="W18" s="48" t="s">
        <v>342</v>
      </c>
    </row>
    <row r="19" spans="1:23">
      <c r="A19" s="40" t="s">
        <v>531</v>
      </c>
      <c r="B19" s="40" t="s">
        <v>399</v>
      </c>
      <c r="C19" s="39" t="s">
        <v>625</v>
      </c>
      <c r="D19" s="47" t="s">
        <v>338</v>
      </c>
      <c r="E19" s="40" t="s">
        <v>533</v>
      </c>
      <c r="F19" s="39" t="s">
        <v>532</v>
      </c>
      <c r="G19" s="42">
        <v>1.48</v>
      </c>
      <c r="H19" s="42">
        <v>2.06</v>
      </c>
      <c r="I19" s="41">
        <v>175664904</v>
      </c>
      <c r="J19" s="41">
        <v>702</v>
      </c>
      <c r="K19" s="46">
        <v>250234.91</v>
      </c>
      <c r="L19" s="66">
        <v>258500</v>
      </c>
      <c r="M19" s="65" t="s">
        <v>367</v>
      </c>
      <c r="N19" s="64" t="s">
        <v>437</v>
      </c>
      <c r="O19" s="63">
        <v>1.97</v>
      </c>
      <c r="P19" s="41">
        <v>5802096</v>
      </c>
      <c r="Q19" s="42">
        <v>3.3</v>
      </c>
      <c r="R19" s="41">
        <v>3510000</v>
      </c>
      <c r="S19" s="41">
        <v>1573810</v>
      </c>
      <c r="T19" s="40" t="s">
        <v>269</v>
      </c>
      <c r="U19" s="39" t="s">
        <v>343</v>
      </c>
      <c r="V19" s="38" t="s">
        <v>342</v>
      </c>
      <c r="W19" s="38" t="s">
        <v>342</v>
      </c>
    </row>
    <row r="20" spans="1:23">
      <c r="A20" s="50" t="s">
        <v>530</v>
      </c>
      <c r="B20" s="50" t="s">
        <v>399</v>
      </c>
      <c r="C20" s="49" t="s">
        <v>625</v>
      </c>
      <c r="D20" s="57" t="s">
        <v>338</v>
      </c>
      <c r="E20" s="50" t="s">
        <v>272</v>
      </c>
      <c r="F20" s="49" t="s">
        <v>273</v>
      </c>
      <c r="G20" s="52">
        <v>0.98</v>
      </c>
      <c r="H20" s="52">
        <v>1.37</v>
      </c>
      <c r="I20" s="51">
        <v>104748869</v>
      </c>
      <c r="J20" s="51">
        <v>2133</v>
      </c>
      <c r="K20" s="56">
        <v>49108.71</v>
      </c>
      <c r="L20" s="62">
        <v>56700</v>
      </c>
      <c r="M20" s="61" t="s">
        <v>362</v>
      </c>
      <c r="N20" s="60" t="s">
        <v>528</v>
      </c>
      <c r="O20" s="59">
        <v>-2.74</v>
      </c>
      <c r="P20" s="51">
        <v>16192231</v>
      </c>
      <c r="Q20" s="52">
        <v>15.46</v>
      </c>
      <c r="R20" s="51">
        <v>-3412800</v>
      </c>
      <c r="S20" s="51">
        <v>299354</v>
      </c>
      <c r="T20" s="50" t="s">
        <v>269</v>
      </c>
      <c r="U20" s="49" t="s">
        <v>343</v>
      </c>
      <c r="V20" s="48" t="s">
        <v>342</v>
      </c>
      <c r="W20" s="48" t="s">
        <v>342</v>
      </c>
    </row>
    <row r="21" spans="1:23">
      <c r="A21" s="40" t="s">
        <v>529</v>
      </c>
      <c r="B21" s="40" t="s">
        <v>399</v>
      </c>
      <c r="C21" s="39" t="s">
        <v>625</v>
      </c>
      <c r="D21" s="47" t="s">
        <v>338</v>
      </c>
      <c r="E21" s="40" t="s">
        <v>36</v>
      </c>
      <c r="F21" s="39" t="s">
        <v>37</v>
      </c>
      <c r="G21" s="42">
        <v>0.95</v>
      </c>
      <c r="H21" s="42">
        <v>1.33</v>
      </c>
      <c r="I21" s="41">
        <v>167000592</v>
      </c>
      <c r="J21" s="41">
        <v>1288</v>
      </c>
      <c r="K21" s="46">
        <v>129658.84</v>
      </c>
      <c r="L21" s="70">
        <v>90900</v>
      </c>
      <c r="M21" s="69" t="s">
        <v>362</v>
      </c>
      <c r="N21" s="68" t="s">
        <v>391</v>
      </c>
      <c r="O21" s="67">
        <v>-0.87</v>
      </c>
      <c r="P21" s="41">
        <v>-49921392</v>
      </c>
      <c r="Q21" s="42">
        <v>-29.89</v>
      </c>
      <c r="R21" s="41">
        <v>-1030400</v>
      </c>
      <c r="S21" s="41">
        <v>306398</v>
      </c>
      <c r="T21" s="40" t="s">
        <v>269</v>
      </c>
      <c r="U21" s="39" t="s">
        <v>343</v>
      </c>
      <c r="V21" s="38" t="s">
        <v>342</v>
      </c>
      <c r="W21" s="38" t="s">
        <v>342</v>
      </c>
    </row>
    <row r="22" spans="1:23">
      <c r="A22" s="50" t="s">
        <v>527</v>
      </c>
      <c r="B22" s="50" t="s">
        <v>399</v>
      </c>
      <c r="C22" s="49" t="s">
        <v>625</v>
      </c>
      <c r="D22" s="57" t="s">
        <v>338</v>
      </c>
      <c r="E22" s="50" t="s">
        <v>258</v>
      </c>
      <c r="F22" s="49" t="s">
        <v>259</v>
      </c>
      <c r="G22" s="52">
        <v>3.23</v>
      </c>
      <c r="H22" s="52">
        <v>4.51</v>
      </c>
      <c r="I22" s="51">
        <v>345533234</v>
      </c>
      <c r="J22" s="51">
        <v>5620</v>
      </c>
      <c r="K22" s="56">
        <v>61482.78</v>
      </c>
      <c r="L22" s="76">
        <v>70500</v>
      </c>
      <c r="M22" s="75" t="s">
        <v>367</v>
      </c>
      <c r="N22" s="74" t="s">
        <v>528</v>
      </c>
      <c r="O22" s="73">
        <v>2.3199999999999998</v>
      </c>
      <c r="P22" s="51">
        <v>50676766</v>
      </c>
      <c r="Q22" s="52">
        <v>14.67</v>
      </c>
      <c r="R22" s="51">
        <v>8992000</v>
      </c>
      <c r="S22" s="51">
        <v>522564</v>
      </c>
      <c r="T22" s="50" t="s">
        <v>269</v>
      </c>
      <c r="U22" s="49" t="s">
        <v>343</v>
      </c>
      <c r="V22" s="48" t="s">
        <v>342</v>
      </c>
      <c r="W22" s="48" t="s">
        <v>342</v>
      </c>
    </row>
    <row r="23" spans="1:23">
      <c r="A23" s="40" t="s">
        <v>526</v>
      </c>
      <c r="B23" s="40" t="s">
        <v>399</v>
      </c>
      <c r="C23" s="39" t="s">
        <v>625</v>
      </c>
      <c r="D23" s="47" t="s">
        <v>338</v>
      </c>
      <c r="E23" s="40" t="s">
        <v>328</v>
      </c>
      <c r="F23" s="39" t="s">
        <v>329</v>
      </c>
      <c r="G23" s="42">
        <v>1.41</v>
      </c>
      <c r="H23" s="42">
        <v>1.97</v>
      </c>
      <c r="I23" s="41">
        <v>176354520</v>
      </c>
      <c r="J23" s="41">
        <v>31048</v>
      </c>
      <c r="K23" s="46">
        <v>5680.06</v>
      </c>
      <c r="L23" s="70">
        <v>5590</v>
      </c>
      <c r="M23" s="69" t="s">
        <v>362</v>
      </c>
      <c r="N23" s="68" t="s">
        <v>355</v>
      </c>
      <c r="O23" s="67">
        <v>-1.76</v>
      </c>
      <c r="P23" s="41">
        <v>-2796200</v>
      </c>
      <c r="Q23" s="42">
        <v>-1.59</v>
      </c>
      <c r="R23" s="41">
        <v>-3104800</v>
      </c>
      <c r="S23" s="41">
        <v>153670</v>
      </c>
      <c r="T23" s="40" t="s">
        <v>269</v>
      </c>
      <c r="U23" s="39" t="s">
        <v>343</v>
      </c>
      <c r="V23" s="38" t="s">
        <v>342</v>
      </c>
      <c r="W23" s="38" t="s">
        <v>342</v>
      </c>
    </row>
    <row r="24" spans="1:23">
      <c r="A24" s="50" t="s">
        <v>523</v>
      </c>
      <c r="B24" s="50" t="s">
        <v>399</v>
      </c>
      <c r="C24" s="49" t="s">
        <v>625</v>
      </c>
      <c r="D24" s="57" t="s">
        <v>338</v>
      </c>
      <c r="E24" s="50" t="s">
        <v>525</v>
      </c>
      <c r="F24" s="49" t="s">
        <v>524</v>
      </c>
      <c r="G24" s="52">
        <v>1</v>
      </c>
      <c r="H24" s="52">
        <v>1.39</v>
      </c>
      <c r="I24" s="51">
        <v>126357030</v>
      </c>
      <c r="J24" s="51">
        <v>3227</v>
      </c>
      <c r="K24" s="56">
        <v>39156.19</v>
      </c>
      <c r="L24" s="62">
        <v>38050</v>
      </c>
      <c r="M24" s="61" t="s">
        <v>362</v>
      </c>
      <c r="N24" s="60" t="s">
        <v>414</v>
      </c>
      <c r="O24" s="59">
        <v>-0.52</v>
      </c>
      <c r="P24" s="51">
        <v>-3569680</v>
      </c>
      <c r="Q24" s="52">
        <v>-2.83</v>
      </c>
      <c r="R24" s="51">
        <v>-645400</v>
      </c>
      <c r="S24" s="51">
        <v>1077415</v>
      </c>
      <c r="T24" s="50" t="s">
        <v>269</v>
      </c>
      <c r="U24" s="49" t="s">
        <v>343</v>
      </c>
      <c r="V24" s="48" t="s">
        <v>342</v>
      </c>
      <c r="W24" s="48" t="s">
        <v>342</v>
      </c>
    </row>
    <row r="25" spans="1:23">
      <c r="A25" s="40" t="s">
        <v>520</v>
      </c>
      <c r="B25" s="40" t="s">
        <v>399</v>
      </c>
      <c r="C25" s="39" t="s">
        <v>625</v>
      </c>
      <c r="D25" s="47" t="s">
        <v>338</v>
      </c>
      <c r="E25" s="40" t="s">
        <v>522</v>
      </c>
      <c r="F25" s="39" t="s">
        <v>521</v>
      </c>
      <c r="G25" s="42">
        <v>2.19</v>
      </c>
      <c r="H25" s="42">
        <v>3.06</v>
      </c>
      <c r="I25" s="41">
        <v>255190470</v>
      </c>
      <c r="J25" s="41">
        <v>23089</v>
      </c>
      <c r="K25" s="46">
        <v>11052.47</v>
      </c>
      <c r="L25" s="70">
        <v>11650</v>
      </c>
      <c r="M25" s="69" t="s">
        <v>362</v>
      </c>
      <c r="N25" s="68" t="s">
        <v>355</v>
      </c>
      <c r="O25" s="67">
        <v>-0.85</v>
      </c>
      <c r="P25" s="41">
        <v>13796380</v>
      </c>
      <c r="Q25" s="42">
        <v>5.41</v>
      </c>
      <c r="R25" s="41">
        <v>-2308900</v>
      </c>
      <c r="S25" s="41">
        <v>193470</v>
      </c>
      <c r="T25" s="40" t="s">
        <v>269</v>
      </c>
      <c r="U25" s="39" t="s">
        <v>343</v>
      </c>
      <c r="V25" s="38" t="s">
        <v>342</v>
      </c>
      <c r="W25" s="38" t="s">
        <v>342</v>
      </c>
    </row>
    <row r="26" spans="1:23">
      <c r="A26" s="50" t="s">
        <v>516</v>
      </c>
      <c r="B26" s="50" t="s">
        <v>399</v>
      </c>
      <c r="C26" s="49" t="s">
        <v>625</v>
      </c>
      <c r="D26" s="57" t="s">
        <v>338</v>
      </c>
      <c r="E26" s="50" t="s">
        <v>519</v>
      </c>
      <c r="F26" s="49" t="s">
        <v>518</v>
      </c>
      <c r="G26" s="52">
        <v>1.21</v>
      </c>
      <c r="H26" s="52">
        <v>1.69</v>
      </c>
      <c r="I26" s="51">
        <v>149997210</v>
      </c>
      <c r="J26" s="51">
        <v>1956</v>
      </c>
      <c r="K26" s="56">
        <v>76685.69</v>
      </c>
      <c r="L26" s="76">
        <v>76200</v>
      </c>
      <c r="M26" s="75" t="s">
        <v>367</v>
      </c>
      <c r="N26" s="74" t="s">
        <v>517</v>
      </c>
      <c r="O26" s="73">
        <v>5.39</v>
      </c>
      <c r="P26" s="51">
        <v>-950010</v>
      </c>
      <c r="Q26" s="52">
        <v>-0.63</v>
      </c>
      <c r="R26" s="51">
        <v>7628400</v>
      </c>
      <c r="S26" s="51">
        <v>100010</v>
      </c>
      <c r="T26" s="50" t="s">
        <v>269</v>
      </c>
      <c r="U26" s="49" t="s">
        <v>343</v>
      </c>
      <c r="V26" s="48" t="s">
        <v>342</v>
      </c>
      <c r="W26" s="48" t="s">
        <v>342</v>
      </c>
    </row>
    <row r="27" spans="1:23">
      <c r="A27" s="40" t="s">
        <v>512</v>
      </c>
      <c r="B27" s="40" t="s">
        <v>399</v>
      </c>
      <c r="C27" s="39" t="s">
        <v>625</v>
      </c>
      <c r="D27" s="47" t="s">
        <v>338</v>
      </c>
      <c r="E27" s="40" t="s">
        <v>515</v>
      </c>
      <c r="F27" s="39" t="s">
        <v>514</v>
      </c>
      <c r="G27" s="42">
        <v>1.43</v>
      </c>
      <c r="H27" s="42">
        <v>2</v>
      </c>
      <c r="I27" s="41">
        <v>180299070</v>
      </c>
      <c r="J27" s="41">
        <v>1118</v>
      </c>
      <c r="K27" s="46">
        <v>161269.29</v>
      </c>
      <c r="L27" s="66">
        <v>157000</v>
      </c>
      <c r="M27" s="65" t="s">
        <v>367</v>
      </c>
      <c r="N27" s="64" t="s">
        <v>513</v>
      </c>
      <c r="O27" s="63">
        <v>4.67</v>
      </c>
      <c r="P27" s="41">
        <v>-4773070</v>
      </c>
      <c r="Q27" s="42">
        <v>-2.65</v>
      </c>
      <c r="R27" s="41">
        <v>7826000</v>
      </c>
      <c r="S27" s="41">
        <v>137570</v>
      </c>
      <c r="T27" s="40" t="s">
        <v>269</v>
      </c>
      <c r="U27" s="39" t="s">
        <v>343</v>
      </c>
      <c r="V27" s="38" t="s">
        <v>342</v>
      </c>
      <c r="W27" s="38" t="s">
        <v>342</v>
      </c>
    </row>
    <row r="28" spans="1:23">
      <c r="A28" s="50" t="s">
        <v>511</v>
      </c>
      <c r="B28" s="50" t="s">
        <v>399</v>
      </c>
      <c r="C28" s="49" t="s">
        <v>625</v>
      </c>
      <c r="D28" s="57" t="s">
        <v>338</v>
      </c>
      <c r="E28" s="50" t="s">
        <v>48</v>
      </c>
      <c r="F28" s="49" t="s">
        <v>49</v>
      </c>
      <c r="G28" s="52">
        <v>2.52</v>
      </c>
      <c r="H28" s="52">
        <v>3.52</v>
      </c>
      <c r="I28" s="51">
        <v>299012560</v>
      </c>
      <c r="J28" s="51">
        <v>10149</v>
      </c>
      <c r="K28" s="56">
        <v>29462.27</v>
      </c>
      <c r="L28" s="62">
        <v>30500</v>
      </c>
      <c r="M28" s="61" t="s">
        <v>362</v>
      </c>
      <c r="N28" s="60" t="s">
        <v>371</v>
      </c>
      <c r="O28" s="59">
        <v>-0.97</v>
      </c>
      <c r="P28" s="51">
        <v>10531940</v>
      </c>
      <c r="Q28" s="52">
        <v>3.52</v>
      </c>
      <c r="R28" s="51">
        <v>-3044700</v>
      </c>
      <c r="S28" s="51">
        <v>1473196</v>
      </c>
      <c r="T28" s="50" t="s">
        <v>269</v>
      </c>
      <c r="U28" s="49" t="s">
        <v>343</v>
      </c>
      <c r="V28" s="48" t="s">
        <v>342</v>
      </c>
      <c r="W28" s="48" t="s">
        <v>342</v>
      </c>
    </row>
    <row r="29" spans="1:23">
      <c r="A29" s="40" t="s">
        <v>510</v>
      </c>
      <c r="B29" s="40" t="s">
        <v>399</v>
      </c>
      <c r="C29" s="39" t="s">
        <v>625</v>
      </c>
      <c r="D29" s="47" t="s">
        <v>338</v>
      </c>
      <c r="E29" s="40" t="s">
        <v>52</v>
      </c>
      <c r="F29" s="39" t="s">
        <v>53</v>
      </c>
      <c r="G29" s="42">
        <v>1.95</v>
      </c>
      <c r="H29" s="42">
        <v>2.72</v>
      </c>
      <c r="I29" s="41">
        <v>244694957</v>
      </c>
      <c r="J29" s="41">
        <v>1124</v>
      </c>
      <c r="K29" s="46">
        <v>217700.14</v>
      </c>
      <c r="L29" s="70">
        <v>213000</v>
      </c>
      <c r="M29" s="69" t="s">
        <v>362</v>
      </c>
      <c r="N29" s="68" t="s">
        <v>384</v>
      </c>
      <c r="O29" s="67">
        <v>-0.47</v>
      </c>
      <c r="P29" s="41">
        <v>-5282957</v>
      </c>
      <c r="Q29" s="42">
        <v>-2.16</v>
      </c>
      <c r="R29" s="41">
        <v>-1124000</v>
      </c>
      <c r="S29" s="41">
        <v>2524658</v>
      </c>
      <c r="T29" s="40" t="s">
        <v>269</v>
      </c>
      <c r="U29" s="39" t="s">
        <v>343</v>
      </c>
      <c r="V29" s="38" t="s">
        <v>342</v>
      </c>
      <c r="W29" s="38" t="s">
        <v>342</v>
      </c>
    </row>
    <row r="30" spans="1:23">
      <c r="A30" s="50" t="s">
        <v>507</v>
      </c>
      <c r="B30" s="50" t="s">
        <v>399</v>
      </c>
      <c r="C30" s="49" t="s">
        <v>625</v>
      </c>
      <c r="D30" s="57" t="s">
        <v>338</v>
      </c>
      <c r="E30" s="50" t="s">
        <v>248</v>
      </c>
      <c r="F30" s="49" t="s">
        <v>249</v>
      </c>
      <c r="G30" s="52">
        <v>0.37</v>
      </c>
      <c r="H30" s="52">
        <v>0.53</v>
      </c>
      <c r="I30" s="51">
        <v>54257179</v>
      </c>
      <c r="J30" s="51">
        <v>1525</v>
      </c>
      <c r="K30" s="56">
        <v>35578.480000000003</v>
      </c>
      <c r="L30" s="76">
        <v>30500</v>
      </c>
      <c r="M30" s="75" t="s">
        <v>367</v>
      </c>
      <c r="N30" s="74" t="s">
        <v>453</v>
      </c>
      <c r="O30" s="73">
        <v>0.16</v>
      </c>
      <c r="P30" s="51">
        <v>-7744679</v>
      </c>
      <c r="Q30" s="52">
        <v>-14.27</v>
      </c>
      <c r="R30" s="51">
        <v>76250</v>
      </c>
      <c r="S30" s="51">
        <v>183642</v>
      </c>
      <c r="T30" s="50" t="s">
        <v>269</v>
      </c>
      <c r="U30" s="49" t="s">
        <v>343</v>
      </c>
      <c r="V30" s="48" t="s">
        <v>342</v>
      </c>
      <c r="W30" s="48" t="s">
        <v>342</v>
      </c>
    </row>
    <row r="31" spans="1:23">
      <c r="A31" s="40" t="s">
        <v>504</v>
      </c>
      <c r="B31" s="40" t="s">
        <v>399</v>
      </c>
      <c r="C31" s="39" t="s">
        <v>625</v>
      </c>
      <c r="D31" s="47" t="s">
        <v>338</v>
      </c>
      <c r="E31" s="40" t="s">
        <v>509</v>
      </c>
      <c r="F31" s="39" t="s">
        <v>508</v>
      </c>
      <c r="G31" s="42">
        <v>0.51</v>
      </c>
      <c r="H31" s="42">
        <v>0.72</v>
      </c>
      <c r="I31" s="41">
        <v>61719870</v>
      </c>
      <c r="J31" s="41">
        <v>836</v>
      </c>
      <c r="K31" s="58">
        <v>73827.600000000006</v>
      </c>
      <c r="L31" s="70">
        <v>76100</v>
      </c>
      <c r="M31" s="69" t="s">
        <v>362</v>
      </c>
      <c r="N31" s="68" t="s">
        <v>355</v>
      </c>
      <c r="O31" s="67">
        <v>-0.13</v>
      </c>
      <c r="P31" s="41">
        <v>1899730</v>
      </c>
      <c r="Q31" s="42">
        <v>3.08</v>
      </c>
      <c r="R31" s="41">
        <v>-83600</v>
      </c>
      <c r="S31" s="41">
        <v>43170</v>
      </c>
      <c r="T31" s="40" t="s">
        <v>269</v>
      </c>
      <c r="U31" s="39" t="s">
        <v>343</v>
      </c>
      <c r="V31" s="38" t="s">
        <v>342</v>
      </c>
      <c r="W31" s="38" t="s">
        <v>342</v>
      </c>
    </row>
    <row r="32" spans="1:23">
      <c r="A32" s="50" t="s">
        <v>501</v>
      </c>
      <c r="B32" s="50" t="s">
        <v>399</v>
      </c>
      <c r="C32" s="49" t="s">
        <v>625</v>
      </c>
      <c r="D32" s="57" t="s">
        <v>338</v>
      </c>
      <c r="E32" s="50" t="s">
        <v>506</v>
      </c>
      <c r="F32" s="49" t="s">
        <v>505</v>
      </c>
      <c r="G32" s="52">
        <v>0.94</v>
      </c>
      <c r="H32" s="52">
        <v>1.31</v>
      </c>
      <c r="I32" s="51">
        <v>138293668</v>
      </c>
      <c r="J32" s="51">
        <v>3492</v>
      </c>
      <c r="K32" s="51">
        <v>39603</v>
      </c>
      <c r="L32" s="62">
        <v>33150</v>
      </c>
      <c r="M32" s="61" t="s">
        <v>362</v>
      </c>
      <c r="N32" s="60" t="s">
        <v>423</v>
      </c>
      <c r="O32" s="59">
        <v>-1.78</v>
      </c>
      <c r="P32" s="51">
        <v>-22533868</v>
      </c>
      <c r="Q32" s="52">
        <v>-16.29</v>
      </c>
      <c r="R32" s="51">
        <v>-2095200</v>
      </c>
      <c r="S32" s="51">
        <v>378759</v>
      </c>
      <c r="T32" s="50" t="s">
        <v>269</v>
      </c>
      <c r="U32" s="49" t="s">
        <v>343</v>
      </c>
      <c r="V32" s="48" t="s">
        <v>342</v>
      </c>
      <c r="W32" s="48" t="s">
        <v>342</v>
      </c>
    </row>
    <row r="33" spans="1:23">
      <c r="A33" s="40" t="s">
        <v>500</v>
      </c>
      <c r="B33" s="40" t="s">
        <v>399</v>
      </c>
      <c r="C33" s="39" t="s">
        <v>625</v>
      </c>
      <c r="D33" s="47" t="s">
        <v>338</v>
      </c>
      <c r="E33" s="40" t="s">
        <v>503</v>
      </c>
      <c r="F33" s="39" t="s">
        <v>502</v>
      </c>
      <c r="G33" s="42">
        <v>0.51</v>
      </c>
      <c r="H33" s="42">
        <v>0.72</v>
      </c>
      <c r="I33" s="41">
        <v>62864800</v>
      </c>
      <c r="J33" s="41">
        <v>351</v>
      </c>
      <c r="K33" s="46">
        <v>179101.99</v>
      </c>
      <c r="L33" s="70">
        <v>180000</v>
      </c>
      <c r="M33" s="69" t="s">
        <v>362</v>
      </c>
      <c r="N33" s="68" t="s">
        <v>451</v>
      </c>
      <c r="O33" s="67">
        <v>-2.17</v>
      </c>
      <c r="P33" s="41">
        <v>315200</v>
      </c>
      <c r="Q33" s="42">
        <v>0.5</v>
      </c>
      <c r="R33" s="41">
        <v>-1404000</v>
      </c>
      <c r="S33" s="41">
        <v>566416</v>
      </c>
      <c r="T33" s="40" t="s">
        <v>269</v>
      </c>
      <c r="U33" s="39" t="s">
        <v>343</v>
      </c>
      <c r="V33" s="38" t="s">
        <v>342</v>
      </c>
      <c r="W33" s="38" t="s">
        <v>342</v>
      </c>
    </row>
    <row r="34" spans="1:23">
      <c r="A34" s="50" t="s">
        <v>499</v>
      </c>
      <c r="B34" s="50" t="s">
        <v>399</v>
      </c>
      <c r="C34" s="49" t="s">
        <v>625</v>
      </c>
      <c r="D34" s="57" t="s">
        <v>338</v>
      </c>
      <c r="E34" s="50" t="s">
        <v>76</v>
      </c>
      <c r="F34" s="49" t="s">
        <v>77</v>
      </c>
      <c r="G34" s="52">
        <v>1.71</v>
      </c>
      <c r="H34" s="52">
        <v>2.39</v>
      </c>
      <c r="I34" s="51">
        <v>196481130</v>
      </c>
      <c r="J34" s="51">
        <v>7359</v>
      </c>
      <c r="K34" s="56">
        <v>26699.43</v>
      </c>
      <c r="L34" s="62">
        <v>28500</v>
      </c>
      <c r="M34" s="61" t="s">
        <v>362</v>
      </c>
      <c r="N34" s="60" t="s">
        <v>428</v>
      </c>
      <c r="O34" s="59">
        <v>-1.72</v>
      </c>
      <c r="P34" s="51">
        <v>13250370</v>
      </c>
      <c r="Q34" s="52">
        <v>6.74</v>
      </c>
      <c r="R34" s="51">
        <v>-3679500</v>
      </c>
      <c r="S34" s="51">
        <v>713960</v>
      </c>
      <c r="T34" s="50" t="s">
        <v>269</v>
      </c>
      <c r="U34" s="49" t="s">
        <v>343</v>
      </c>
      <c r="V34" s="48" t="s">
        <v>342</v>
      </c>
      <c r="W34" s="48" t="s">
        <v>342</v>
      </c>
    </row>
    <row r="35" spans="1:23">
      <c r="A35" s="40" t="s">
        <v>495</v>
      </c>
      <c r="B35" s="40" t="s">
        <v>399</v>
      </c>
      <c r="C35" s="39" t="s">
        <v>625</v>
      </c>
      <c r="D35" s="47" t="s">
        <v>338</v>
      </c>
      <c r="E35" s="40" t="s">
        <v>78</v>
      </c>
      <c r="F35" s="39" t="s">
        <v>79</v>
      </c>
      <c r="G35" s="42">
        <v>0.5</v>
      </c>
      <c r="H35" s="42">
        <v>0.69</v>
      </c>
      <c r="I35" s="41">
        <v>62564340</v>
      </c>
      <c r="J35" s="41">
        <v>6620</v>
      </c>
      <c r="K35" s="46">
        <v>9450.81</v>
      </c>
      <c r="L35" s="41">
        <v>9260</v>
      </c>
      <c r="M35" s="45" t="s">
        <v>269</v>
      </c>
      <c r="N35" s="44" t="s">
        <v>342</v>
      </c>
      <c r="O35" s="43">
        <v>0</v>
      </c>
      <c r="P35" s="41">
        <v>-1263140</v>
      </c>
      <c r="Q35" s="42">
        <v>-2.02</v>
      </c>
      <c r="R35" s="41">
        <v>0</v>
      </c>
      <c r="S35" s="41">
        <v>47780</v>
      </c>
      <c r="T35" s="40" t="s">
        <v>269</v>
      </c>
      <c r="U35" s="39" t="s">
        <v>343</v>
      </c>
      <c r="V35" s="38" t="s">
        <v>342</v>
      </c>
      <c r="W35" s="38" t="s">
        <v>342</v>
      </c>
    </row>
    <row r="36" spans="1:23">
      <c r="A36" s="50" t="s">
        <v>492</v>
      </c>
      <c r="B36" s="50" t="s">
        <v>399</v>
      </c>
      <c r="C36" s="49" t="s">
        <v>625</v>
      </c>
      <c r="D36" s="57" t="s">
        <v>338</v>
      </c>
      <c r="E36" s="50" t="s">
        <v>498</v>
      </c>
      <c r="F36" s="49" t="s">
        <v>497</v>
      </c>
      <c r="G36" s="52">
        <v>0</v>
      </c>
      <c r="H36" s="52">
        <v>0</v>
      </c>
      <c r="I36" s="51">
        <v>7980820</v>
      </c>
      <c r="J36" s="51">
        <v>0</v>
      </c>
      <c r="K36" s="51">
        <v>0</v>
      </c>
      <c r="L36" s="62">
        <v>19850</v>
      </c>
      <c r="M36" s="61" t="s">
        <v>362</v>
      </c>
      <c r="N36" s="60" t="s">
        <v>496</v>
      </c>
      <c r="O36" s="59">
        <v>-4.57</v>
      </c>
      <c r="P36" s="51">
        <v>-7980820</v>
      </c>
      <c r="Q36" s="52">
        <v>-6.42</v>
      </c>
      <c r="R36" s="51">
        <v>-4953800</v>
      </c>
      <c r="S36" s="51">
        <v>124120</v>
      </c>
      <c r="T36" s="50" t="s">
        <v>269</v>
      </c>
      <c r="U36" s="49" t="s">
        <v>343</v>
      </c>
      <c r="V36" s="48" t="s">
        <v>342</v>
      </c>
      <c r="W36" s="48" t="s">
        <v>342</v>
      </c>
    </row>
    <row r="37" spans="1:23">
      <c r="A37" s="40" t="s">
        <v>491</v>
      </c>
      <c r="B37" s="40" t="s">
        <v>399</v>
      </c>
      <c r="C37" s="39" t="s">
        <v>625</v>
      </c>
      <c r="D37" s="47" t="s">
        <v>338</v>
      </c>
      <c r="E37" s="40" t="s">
        <v>494</v>
      </c>
      <c r="F37" s="39" t="s">
        <v>493</v>
      </c>
      <c r="G37" s="42">
        <v>2.42</v>
      </c>
      <c r="H37" s="42">
        <v>3.38</v>
      </c>
      <c r="I37" s="41">
        <v>306723915</v>
      </c>
      <c r="J37" s="41">
        <v>2070</v>
      </c>
      <c r="K37" s="58">
        <v>148175.79999999999</v>
      </c>
      <c r="L37" s="66">
        <v>143500</v>
      </c>
      <c r="M37" s="65" t="s">
        <v>367</v>
      </c>
      <c r="N37" s="64" t="s">
        <v>384</v>
      </c>
      <c r="O37" s="63">
        <v>0.7</v>
      </c>
      <c r="P37" s="41">
        <v>-9678915</v>
      </c>
      <c r="Q37" s="42">
        <v>-3.16</v>
      </c>
      <c r="R37" s="41">
        <v>2070000</v>
      </c>
      <c r="S37" s="41">
        <v>1483352</v>
      </c>
      <c r="T37" s="40" t="s">
        <v>269</v>
      </c>
      <c r="U37" s="39" t="s">
        <v>343</v>
      </c>
      <c r="V37" s="38" t="s">
        <v>342</v>
      </c>
      <c r="W37" s="38" t="s">
        <v>342</v>
      </c>
    </row>
    <row r="38" spans="1:23">
      <c r="A38" s="50" t="s">
        <v>490</v>
      </c>
      <c r="B38" s="50" t="s">
        <v>399</v>
      </c>
      <c r="C38" s="49" t="s">
        <v>625</v>
      </c>
      <c r="D38" s="57" t="s">
        <v>338</v>
      </c>
      <c r="E38" s="50" t="s">
        <v>265</v>
      </c>
      <c r="F38" s="49" t="s">
        <v>266</v>
      </c>
      <c r="G38" s="52">
        <v>2.54</v>
      </c>
      <c r="H38" s="52">
        <v>3.55</v>
      </c>
      <c r="I38" s="51">
        <v>290279045</v>
      </c>
      <c r="J38" s="51">
        <v>74908</v>
      </c>
      <c r="K38" s="56">
        <v>3875.14</v>
      </c>
      <c r="L38" s="62">
        <v>4165</v>
      </c>
      <c r="M38" s="61" t="s">
        <v>362</v>
      </c>
      <c r="N38" s="60" t="s">
        <v>414</v>
      </c>
      <c r="O38" s="59">
        <v>-4.58</v>
      </c>
      <c r="P38" s="51">
        <v>21712775</v>
      </c>
      <c r="Q38" s="52">
        <v>7.48</v>
      </c>
      <c r="R38" s="51">
        <v>-14981600</v>
      </c>
      <c r="S38" s="51">
        <v>260020</v>
      </c>
      <c r="T38" s="50" t="s">
        <v>269</v>
      </c>
      <c r="U38" s="49" t="s">
        <v>343</v>
      </c>
      <c r="V38" s="48" t="s">
        <v>342</v>
      </c>
      <c r="W38" s="48" t="s">
        <v>342</v>
      </c>
    </row>
    <row r="39" spans="1:23">
      <c r="A39" s="40" t="s">
        <v>489</v>
      </c>
      <c r="B39" s="40" t="s">
        <v>399</v>
      </c>
      <c r="C39" s="39" t="s">
        <v>625</v>
      </c>
      <c r="D39" s="47" t="s">
        <v>338</v>
      </c>
      <c r="E39" s="40" t="s">
        <v>88</v>
      </c>
      <c r="F39" s="39" t="s">
        <v>89</v>
      </c>
      <c r="G39" s="42">
        <v>1.28</v>
      </c>
      <c r="H39" s="42">
        <v>1.79</v>
      </c>
      <c r="I39" s="41">
        <v>148103396</v>
      </c>
      <c r="J39" s="41">
        <v>4844</v>
      </c>
      <c r="K39" s="46">
        <v>30574.61</v>
      </c>
      <c r="L39" s="66">
        <v>32500</v>
      </c>
      <c r="M39" s="65" t="s">
        <v>367</v>
      </c>
      <c r="N39" s="64" t="s">
        <v>355</v>
      </c>
      <c r="O39" s="63">
        <v>0.31</v>
      </c>
      <c r="P39" s="41">
        <v>9326604</v>
      </c>
      <c r="Q39" s="42">
        <v>6.3</v>
      </c>
      <c r="R39" s="41">
        <v>484400</v>
      </c>
      <c r="S39" s="41">
        <v>537756</v>
      </c>
      <c r="T39" s="40" t="s">
        <v>269</v>
      </c>
      <c r="U39" s="39" t="s">
        <v>343</v>
      </c>
      <c r="V39" s="38" t="s">
        <v>342</v>
      </c>
      <c r="W39" s="38" t="s">
        <v>342</v>
      </c>
    </row>
    <row r="40" spans="1:23">
      <c r="A40" s="50" t="s">
        <v>485</v>
      </c>
      <c r="B40" s="50" t="s">
        <v>399</v>
      </c>
      <c r="C40" s="49" t="s">
        <v>625</v>
      </c>
      <c r="D40" s="57" t="s">
        <v>338</v>
      </c>
      <c r="E40" s="50" t="s">
        <v>252</v>
      </c>
      <c r="F40" s="49" t="s">
        <v>253</v>
      </c>
      <c r="G40" s="52">
        <v>3.6</v>
      </c>
      <c r="H40" s="52">
        <v>5.03</v>
      </c>
      <c r="I40" s="51">
        <v>410501179</v>
      </c>
      <c r="J40" s="51">
        <v>11822</v>
      </c>
      <c r="K40" s="78">
        <v>34723.5</v>
      </c>
      <c r="L40" s="62">
        <v>37350</v>
      </c>
      <c r="M40" s="61" t="s">
        <v>362</v>
      </c>
      <c r="N40" s="60" t="s">
        <v>419</v>
      </c>
      <c r="O40" s="59">
        <v>-1.97</v>
      </c>
      <c r="P40" s="51">
        <v>31050521</v>
      </c>
      <c r="Q40" s="52">
        <v>7.56</v>
      </c>
      <c r="R40" s="51">
        <v>-8866500</v>
      </c>
      <c r="S40" s="51">
        <v>504922</v>
      </c>
      <c r="T40" s="50" t="s">
        <v>269</v>
      </c>
      <c r="U40" s="49" t="s">
        <v>343</v>
      </c>
      <c r="V40" s="48" t="s">
        <v>342</v>
      </c>
      <c r="W40" s="48" t="s">
        <v>342</v>
      </c>
    </row>
    <row r="41" spans="1:23">
      <c r="A41" s="40" t="s">
        <v>484</v>
      </c>
      <c r="B41" s="40" t="s">
        <v>399</v>
      </c>
      <c r="C41" s="39" t="s">
        <v>625</v>
      </c>
      <c r="D41" s="47" t="s">
        <v>338</v>
      </c>
      <c r="E41" s="40" t="s">
        <v>488</v>
      </c>
      <c r="F41" s="39" t="s">
        <v>487</v>
      </c>
      <c r="G41" s="42">
        <v>1.35</v>
      </c>
      <c r="H41" s="42">
        <v>1.89</v>
      </c>
      <c r="I41" s="41">
        <v>165151949</v>
      </c>
      <c r="J41" s="41">
        <v>6149</v>
      </c>
      <c r="K41" s="46">
        <v>26858.34</v>
      </c>
      <c r="L41" s="66">
        <v>27000</v>
      </c>
      <c r="M41" s="65" t="s">
        <v>367</v>
      </c>
      <c r="N41" s="64" t="s">
        <v>486</v>
      </c>
      <c r="O41" s="63">
        <v>2.08</v>
      </c>
      <c r="P41" s="41">
        <v>871051</v>
      </c>
      <c r="Q41" s="42">
        <v>0.53</v>
      </c>
      <c r="R41" s="41">
        <v>3381950</v>
      </c>
      <c r="S41" s="41">
        <v>994518</v>
      </c>
      <c r="T41" s="40" t="s">
        <v>269</v>
      </c>
      <c r="U41" s="39" t="s">
        <v>343</v>
      </c>
      <c r="V41" s="38" t="s">
        <v>342</v>
      </c>
      <c r="W41" s="38" t="s">
        <v>342</v>
      </c>
    </row>
    <row r="42" spans="1:23">
      <c r="A42" s="50" t="s">
        <v>482</v>
      </c>
      <c r="B42" s="50" t="s">
        <v>399</v>
      </c>
      <c r="C42" s="49" t="s">
        <v>625</v>
      </c>
      <c r="D42" s="57" t="s">
        <v>338</v>
      </c>
      <c r="E42" s="50" t="s">
        <v>276</v>
      </c>
      <c r="F42" s="49" t="s">
        <v>277</v>
      </c>
      <c r="G42" s="52">
        <v>0</v>
      </c>
      <c r="H42" s="52">
        <v>0</v>
      </c>
      <c r="I42" s="51">
        <v>1193465</v>
      </c>
      <c r="J42" s="51">
        <v>0</v>
      </c>
      <c r="K42" s="51">
        <v>0</v>
      </c>
      <c r="L42" s="62">
        <v>16000</v>
      </c>
      <c r="M42" s="61" t="s">
        <v>362</v>
      </c>
      <c r="N42" s="60" t="s">
        <v>371</v>
      </c>
      <c r="O42" s="59">
        <v>-1.84</v>
      </c>
      <c r="P42" s="51">
        <v>-1193465</v>
      </c>
      <c r="Q42" s="52">
        <v>-6.39</v>
      </c>
      <c r="R42" s="51">
        <v>-272250</v>
      </c>
      <c r="S42" s="51">
        <v>417003</v>
      </c>
      <c r="T42" s="50" t="s">
        <v>269</v>
      </c>
      <c r="U42" s="49" t="s">
        <v>343</v>
      </c>
      <c r="V42" s="48" t="s">
        <v>342</v>
      </c>
      <c r="W42" s="48" t="s">
        <v>342</v>
      </c>
    </row>
    <row r="43" spans="1:23">
      <c r="A43" s="40" t="s">
        <v>480</v>
      </c>
      <c r="B43" s="40" t="s">
        <v>399</v>
      </c>
      <c r="C43" s="39" t="s">
        <v>625</v>
      </c>
      <c r="D43" s="47" t="s">
        <v>338</v>
      </c>
      <c r="E43" s="40" t="s">
        <v>334</v>
      </c>
      <c r="F43" s="39" t="s">
        <v>335</v>
      </c>
      <c r="G43" s="42">
        <v>0.51</v>
      </c>
      <c r="H43" s="42">
        <v>0.71</v>
      </c>
      <c r="I43" s="41">
        <v>63228790</v>
      </c>
      <c r="J43" s="41">
        <v>957</v>
      </c>
      <c r="K43" s="46">
        <v>66069.789999999994</v>
      </c>
      <c r="L43" s="70">
        <v>65400</v>
      </c>
      <c r="M43" s="69" t="s">
        <v>362</v>
      </c>
      <c r="N43" s="68" t="s">
        <v>423</v>
      </c>
      <c r="O43" s="67">
        <v>-0.91</v>
      </c>
      <c r="P43" s="41">
        <v>-640990</v>
      </c>
      <c r="Q43" s="42">
        <v>-1.01</v>
      </c>
      <c r="R43" s="41">
        <v>-574200</v>
      </c>
      <c r="S43" s="41">
        <v>31590</v>
      </c>
      <c r="T43" s="40" t="s">
        <v>269</v>
      </c>
      <c r="U43" s="39" t="s">
        <v>343</v>
      </c>
      <c r="V43" s="38" t="s">
        <v>342</v>
      </c>
      <c r="W43" s="38" t="s">
        <v>342</v>
      </c>
    </row>
    <row r="44" spans="1:23">
      <c r="A44" s="50" t="s">
        <v>478</v>
      </c>
      <c r="B44" s="50" t="s">
        <v>399</v>
      </c>
      <c r="C44" s="49" t="s">
        <v>625</v>
      </c>
      <c r="D44" s="57" t="s">
        <v>338</v>
      </c>
      <c r="E44" s="50" t="s">
        <v>100</v>
      </c>
      <c r="F44" s="49" t="s">
        <v>101</v>
      </c>
      <c r="G44" s="52">
        <v>1.1200000000000001</v>
      </c>
      <c r="H44" s="52">
        <v>1.57</v>
      </c>
      <c r="I44" s="51">
        <v>123772540</v>
      </c>
      <c r="J44" s="51">
        <v>329</v>
      </c>
      <c r="K44" s="56">
        <v>376208.33</v>
      </c>
      <c r="L44" s="62">
        <v>420300</v>
      </c>
      <c r="M44" s="61" t="s">
        <v>362</v>
      </c>
      <c r="N44" s="60" t="s">
        <v>483</v>
      </c>
      <c r="O44" s="59">
        <v>-2.2999999999999998</v>
      </c>
      <c r="P44" s="51">
        <v>14506160</v>
      </c>
      <c r="Q44" s="52">
        <v>11.72</v>
      </c>
      <c r="R44" s="51">
        <v>-3257100</v>
      </c>
      <c r="S44" s="51">
        <v>1556838</v>
      </c>
      <c r="T44" s="50" t="s">
        <v>269</v>
      </c>
      <c r="U44" s="49" t="s">
        <v>343</v>
      </c>
      <c r="V44" s="48" t="s">
        <v>342</v>
      </c>
      <c r="W44" s="48" t="s">
        <v>342</v>
      </c>
    </row>
    <row r="45" spans="1:23">
      <c r="A45" s="40" t="s">
        <v>361</v>
      </c>
      <c r="B45" s="40" t="s">
        <v>399</v>
      </c>
      <c r="C45" s="39" t="s">
        <v>625</v>
      </c>
      <c r="D45" s="47" t="s">
        <v>338</v>
      </c>
      <c r="E45" s="40" t="s">
        <v>290</v>
      </c>
      <c r="F45" s="39" t="s">
        <v>291</v>
      </c>
      <c r="G45" s="42">
        <v>0.53</v>
      </c>
      <c r="H45" s="42">
        <v>0.74</v>
      </c>
      <c r="I45" s="41">
        <v>59214240</v>
      </c>
      <c r="J45" s="41">
        <v>922</v>
      </c>
      <c r="K45" s="46">
        <v>64223.69</v>
      </c>
      <c r="L45" s="70">
        <v>71100</v>
      </c>
      <c r="M45" s="69" t="s">
        <v>362</v>
      </c>
      <c r="N45" s="68" t="s">
        <v>481</v>
      </c>
      <c r="O45" s="67">
        <v>-2.6</v>
      </c>
      <c r="P45" s="41">
        <v>6339960</v>
      </c>
      <c r="Q45" s="42">
        <v>10.71</v>
      </c>
      <c r="R45" s="41">
        <v>-1751800</v>
      </c>
      <c r="S45" s="41">
        <v>417812</v>
      </c>
      <c r="T45" s="40" t="s">
        <v>269</v>
      </c>
      <c r="U45" s="39" t="s">
        <v>343</v>
      </c>
      <c r="V45" s="38" t="s">
        <v>342</v>
      </c>
      <c r="W45" s="38" t="s">
        <v>342</v>
      </c>
    </row>
    <row r="46" spans="1:23">
      <c r="A46" s="50" t="s">
        <v>473</v>
      </c>
      <c r="B46" s="50" t="s">
        <v>399</v>
      </c>
      <c r="C46" s="49" t="s">
        <v>625</v>
      </c>
      <c r="D46" s="57" t="s">
        <v>338</v>
      </c>
      <c r="E46" s="50" t="s">
        <v>336</v>
      </c>
      <c r="F46" s="49" t="s">
        <v>337</v>
      </c>
      <c r="G46" s="52">
        <v>0.97</v>
      </c>
      <c r="H46" s="52">
        <v>1.36</v>
      </c>
      <c r="I46" s="51">
        <v>125393250</v>
      </c>
      <c r="J46" s="51">
        <v>4885</v>
      </c>
      <c r="K46" s="56">
        <v>25669.040000000001</v>
      </c>
      <c r="L46" s="62">
        <v>24550</v>
      </c>
      <c r="M46" s="61" t="s">
        <v>362</v>
      </c>
      <c r="N46" s="60" t="s">
        <v>479</v>
      </c>
      <c r="O46" s="59">
        <v>-1.8</v>
      </c>
      <c r="P46" s="51">
        <v>-5466500</v>
      </c>
      <c r="Q46" s="52">
        <v>-4.3600000000000003</v>
      </c>
      <c r="R46" s="51">
        <v>-2198250</v>
      </c>
      <c r="S46" s="51">
        <v>125250</v>
      </c>
      <c r="T46" s="50" t="s">
        <v>269</v>
      </c>
      <c r="U46" s="49" t="s">
        <v>343</v>
      </c>
      <c r="V46" s="48" t="s">
        <v>342</v>
      </c>
      <c r="W46" s="48" t="s">
        <v>342</v>
      </c>
    </row>
    <row r="47" spans="1:23">
      <c r="A47" s="40" t="s">
        <v>471</v>
      </c>
      <c r="B47" s="40" t="s">
        <v>399</v>
      </c>
      <c r="C47" s="39" t="s">
        <v>668</v>
      </c>
      <c r="D47" s="72" t="s">
        <v>339</v>
      </c>
      <c r="E47" s="40" t="s">
        <v>477</v>
      </c>
      <c r="F47" s="39" t="s">
        <v>476</v>
      </c>
      <c r="G47" s="42">
        <v>0.53</v>
      </c>
      <c r="H47" s="42">
        <v>1.03</v>
      </c>
      <c r="I47" s="41">
        <v>-61951790</v>
      </c>
      <c r="J47" s="41">
        <v>-560</v>
      </c>
      <c r="K47" s="58">
        <v>110628.2</v>
      </c>
      <c r="L47" s="70">
        <v>118000</v>
      </c>
      <c r="M47" s="69" t="s">
        <v>362</v>
      </c>
      <c r="N47" s="68" t="s">
        <v>382</v>
      </c>
      <c r="O47" s="67">
        <v>-1.26</v>
      </c>
      <c r="P47" s="41">
        <v>-4128210</v>
      </c>
      <c r="Q47" s="42">
        <v>-6.66</v>
      </c>
      <c r="R47" s="41">
        <v>840000</v>
      </c>
      <c r="S47" s="41">
        <v>1915598</v>
      </c>
      <c r="T47" s="40" t="s">
        <v>269</v>
      </c>
      <c r="U47" s="39" t="s">
        <v>343</v>
      </c>
      <c r="V47" s="38" t="s">
        <v>342</v>
      </c>
      <c r="W47" s="38" t="s">
        <v>342</v>
      </c>
    </row>
    <row r="48" spans="1:23">
      <c r="A48" s="50" t="s">
        <v>469</v>
      </c>
      <c r="B48" s="50" t="s">
        <v>399</v>
      </c>
      <c r="C48" s="49" t="s">
        <v>668</v>
      </c>
      <c r="D48" s="77" t="s">
        <v>339</v>
      </c>
      <c r="E48" s="50" t="s">
        <v>475</v>
      </c>
      <c r="F48" s="49" t="s">
        <v>474</v>
      </c>
      <c r="G48" s="52">
        <v>1.02</v>
      </c>
      <c r="H48" s="52">
        <v>1.96</v>
      </c>
      <c r="I48" s="51">
        <v>-130727801</v>
      </c>
      <c r="J48" s="51">
        <v>-659</v>
      </c>
      <c r="K48" s="56">
        <v>198372.99</v>
      </c>
      <c r="L48" s="62">
        <v>191000</v>
      </c>
      <c r="M48" s="61" t="s">
        <v>362</v>
      </c>
      <c r="N48" s="60" t="s">
        <v>382</v>
      </c>
      <c r="O48" s="59">
        <v>-0.78</v>
      </c>
      <c r="P48" s="51">
        <v>4858801</v>
      </c>
      <c r="Q48" s="52">
        <v>3.72</v>
      </c>
      <c r="R48" s="51">
        <v>988500</v>
      </c>
      <c r="S48" s="51">
        <v>1043350</v>
      </c>
      <c r="T48" s="50" t="s">
        <v>269</v>
      </c>
      <c r="U48" s="49" t="s">
        <v>343</v>
      </c>
      <c r="V48" s="48" t="s">
        <v>342</v>
      </c>
      <c r="W48" s="48" t="s">
        <v>342</v>
      </c>
    </row>
    <row r="49" spans="1:23">
      <c r="A49" s="40" t="s">
        <v>466</v>
      </c>
      <c r="B49" s="40" t="s">
        <v>399</v>
      </c>
      <c r="C49" s="39" t="s">
        <v>668</v>
      </c>
      <c r="D49" s="72" t="s">
        <v>339</v>
      </c>
      <c r="E49" s="40" t="s">
        <v>293</v>
      </c>
      <c r="F49" s="39" t="s">
        <v>294</v>
      </c>
      <c r="G49" s="42">
        <v>2.06</v>
      </c>
      <c r="H49" s="42">
        <v>3.94</v>
      </c>
      <c r="I49" s="41">
        <v>-224361946</v>
      </c>
      <c r="J49" s="41">
        <v>-3570</v>
      </c>
      <c r="K49" s="46">
        <v>62846.48</v>
      </c>
      <c r="L49" s="66">
        <v>70700</v>
      </c>
      <c r="M49" s="65" t="s">
        <v>367</v>
      </c>
      <c r="N49" s="64" t="s">
        <v>472</v>
      </c>
      <c r="O49" s="63">
        <v>2.61</v>
      </c>
      <c r="P49" s="41">
        <v>-28037054</v>
      </c>
      <c r="Q49" s="42">
        <v>-12.5</v>
      </c>
      <c r="R49" s="41">
        <v>-6426000</v>
      </c>
      <c r="S49" s="41">
        <v>1301800</v>
      </c>
      <c r="T49" s="40" t="s">
        <v>269</v>
      </c>
      <c r="U49" s="39" t="s">
        <v>343</v>
      </c>
      <c r="V49" s="38" t="s">
        <v>342</v>
      </c>
      <c r="W49" s="38" t="s">
        <v>342</v>
      </c>
    </row>
    <row r="50" spans="1:23">
      <c r="A50" s="50" t="s">
        <v>464</v>
      </c>
      <c r="B50" s="50" t="s">
        <v>399</v>
      </c>
      <c r="C50" s="49" t="s">
        <v>668</v>
      </c>
      <c r="D50" s="77" t="s">
        <v>339</v>
      </c>
      <c r="E50" s="50" t="s">
        <v>8</v>
      </c>
      <c r="F50" s="49" t="s">
        <v>9</v>
      </c>
      <c r="G50" s="52">
        <v>1.17</v>
      </c>
      <c r="H50" s="52">
        <v>2.25</v>
      </c>
      <c r="I50" s="51">
        <v>-172734644</v>
      </c>
      <c r="J50" s="51">
        <v>-198</v>
      </c>
      <c r="K50" s="56">
        <v>872397.19</v>
      </c>
      <c r="L50" s="76">
        <v>729000</v>
      </c>
      <c r="M50" s="75" t="s">
        <v>367</v>
      </c>
      <c r="N50" s="74" t="s">
        <v>470</v>
      </c>
      <c r="O50" s="73">
        <v>2.39</v>
      </c>
      <c r="P50" s="51">
        <v>28392644</v>
      </c>
      <c r="Q50" s="52">
        <v>16.440000000000001</v>
      </c>
      <c r="R50" s="51">
        <v>-3366000</v>
      </c>
      <c r="S50" s="51">
        <v>1039486</v>
      </c>
      <c r="T50" s="50" t="s">
        <v>269</v>
      </c>
      <c r="U50" s="49" t="s">
        <v>343</v>
      </c>
      <c r="V50" s="48" t="s">
        <v>342</v>
      </c>
      <c r="W50" s="48" t="s">
        <v>342</v>
      </c>
    </row>
    <row r="51" spans="1:23">
      <c r="A51" s="40" t="s">
        <v>461</v>
      </c>
      <c r="B51" s="40" t="s">
        <v>399</v>
      </c>
      <c r="C51" s="39" t="s">
        <v>668</v>
      </c>
      <c r="D51" s="72" t="s">
        <v>339</v>
      </c>
      <c r="E51" s="40" t="s">
        <v>468</v>
      </c>
      <c r="F51" s="39" t="s">
        <v>467</v>
      </c>
      <c r="G51" s="42">
        <v>1.02</v>
      </c>
      <c r="H51" s="42">
        <v>1.97</v>
      </c>
      <c r="I51" s="41">
        <v>-147034311</v>
      </c>
      <c r="J51" s="41">
        <v>-4454</v>
      </c>
      <c r="K51" s="46">
        <v>33011.74</v>
      </c>
      <c r="L51" s="66">
        <v>28300</v>
      </c>
      <c r="M51" s="65" t="s">
        <v>367</v>
      </c>
      <c r="N51" s="64" t="s">
        <v>414</v>
      </c>
      <c r="O51" s="63">
        <v>0.71</v>
      </c>
      <c r="P51" s="41">
        <v>20986111</v>
      </c>
      <c r="Q51" s="42">
        <v>14.27</v>
      </c>
      <c r="R51" s="41">
        <v>-890800</v>
      </c>
      <c r="S51" s="41">
        <v>879420</v>
      </c>
      <c r="T51" s="40" t="s">
        <v>269</v>
      </c>
      <c r="U51" s="39" t="s">
        <v>343</v>
      </c>
      <c r="V51" s="38" t="s">
        <v>342</v>
      </c>
      <c r="W51" s="38" t="s">
        <v>342</v>
      </c>
    </row>
    <row r="52" spans="1:23">
      <c r="A52" s="50" t="s">
        <v>453</v>
      </c>
      <c r="B52" s="50" t="s">
        <v>399</v>
      </c>
      <c r="C52" s="49" t="s">
        <v>668</v>
      </c>
      <c r="D52" s="77" t="s">
        <v>339</v>
      </c>
      <c r="E52" s="50" t="s">
        <v>288</v>
      </c>
      <c r="F52" s="49" t="s">
        <v>289</v>
      </c>
      <c r="G52" s="52">
        <v>1.63</v>
      </c>
      <c r="H52" s="52">
        <v>3.13</v>
      </c>
      <c r="I52" s="51">
        <v>-193736500</v>
      </c>
      <c r="J52" s="51">
        <v>-1020</v>
      </c>
      <c r="K52" s="56">
        <v>189937.75</v>
      </c>
      <c r="L52" s="76">
        <v>196500</v>
      </c>
      <c r="M52" s="75" t="s">
        <v>367</v>
      </c>
      <c r="N52" s="74" t="s">
        <v>465</v>
      </c>
      <c r="O52" s="73">
        <v>8.86</v>
      </c>
      <c r="P52" s="51">
        <v>-6693500</v>
      </c>
      <c r="Q52" s="52">
        <v>-3.45</v>
      </c>
      <c r="R52" s="51">
        <v>-16320000</v>
      </c>
      <c r="S52" s="51">
        <v>1436910</v>
      </c>
      <c r="T52" s="50" t="s">
        <v>269</v>
      </c>
      <c r="U52" s="49" t="s">
        <v>343</v>
      </c>
      <c r="V52" s="48" t="s">
        <v>342</v>
      </c>
      <c r="W52" s="48" t="s">
        <v>342</v>
      </c>
    </row>
    <row r="53" spans="1:23">
      <c r="A53" s="40" t="s">
        <v>459</v>
      </c>
      <c r="B53" s="40" t="s">
        <v>399</v>
      </c>
      <c r="C53" s="39" t="s">
        <v>668</v>
      </c>
      <c r="D53" s="72" t="s">
        <v>339</v>
      </c>
      <c r="E53" s="40" t="s">
        <v>463</v>
      </c>
      <c r="F53" s="39" t="s">
        <v>462</v>
      </c>
      <c r="G53" s="42">
        <v>1.46</v>
      </c>
      <c r="H53" s="42">
        <v>2.8</v>
      </c>
      <c r="I53" s="41">
        <v>-180675528</v>
      </c>
      <c r="J53" s="41">
        <v>-590</v>
      </c>
      <c r="K53" s="46">
        <v>306229.71000000002</v>
      </c>
      <c r="L53" s="41">
        <v>304000</v>
      </c>
      <c r="M53" s="45" t="s">
        <v>269</v>
      </c>
      <c r="N53" s="44" t="s">
        <v>342</v>
      </c>
      <c r="O53" s="43">
        <v>0</v>
      </c>
      <c r="P53" s="41">
        <v>1315528</v>
      </c>
      <c r="Q53" s="42">
        <v>0.73</v>
      </c>
      <c r="R53" s="41">
        <v>0</v>
      </c>
      <c r="S53" s="41">
        <v>2050964</v>
      </c>
      <c r="T53" s="40" t="s">
        <v>269</v>
      </c>
      <c r="U53" s="39" t="s">
        <v>343</v>
      </c>
      <c r="V53" s="38" t="s">
        <v>342</v>
      </c>
      <c r="W53" s="38" t="s">
        <v>342</v>
      </c>
    </row>
    <row r="54" spans="1:23">
      <c r="A54" s="50" t="s">
        <v>457</v>
      </c>
      <c r="B54" s="50" t="s">
        <v>399</v>
      </c>
      <c r="C54" s="49" t="s">
        <v>668</v>
      </c>
      <c r="D54" s="77" t="s">
        <v>339</v>
      </c>
      <c r="E54" s="50" t="s">
        <v>301</v>
      </c>
      <c r="F54" s="49" t="s">
        <v>302</v>
      </c>
      <c r="G54" s="52">
        <v>1.03</v>
      </c>
      <c r="H54" s="52">
        <v>1.98</v>
      </c>
      <c r="I54" s="51">
        <v>-126187264</v>
      </c>
      <c r="J54" s="51">
        <v>-670</v>
      </c>
      <c r="K54" s="78">
        <v>188339.20000000001</v>
      </c>
      <c r="L54" s="76">
        <v>189500</v>
      </c>
      <c r="M54" s="75" t="s">
        <v>367</v>
      </c>
      <c r="N54" s="74" t="s">
        <v>460</v>
      </c>
      <c r="O54" s="73">
        <v>1.61</v>
      </c>
      <c r="P54" s="51">
        <v>-777736</v>
      </c>
      <c r="Q54" s="52">
        <v>-0.62</v>
      </c>
      <c r="R54" s="51">
        <v>-2010000</v>
      </c>
      <c r="S54" s="51">
        <v>506736</v>
      </c>
      <c r="T54" s="50" t="s">
        <v>269</v>
      </c>
      <c r="U54" s="49" t="s">
        <v>343</v>
      </c>
      <c r="V54" s="48" t="s">
        <v>342</v>
      </c>
      <c r="W54" s="48" t="s">
        <v>342</v>
      </c>
    </row>
    <row r="55" spans="1:23">
      <c r="A55" s="40" t="s">
        <v>456</v>
      </c>
      <c r="B55" s="40" t="s">
        <v>399</v>
      </c>
      <c r="C55" s="39" t="s">
        <v>668</v>
      </c>
      <c r="D55" s="72" t="s">
        <v>339</v>
      </c>
      <c r="E55" s="40" t="s">
        <v>129</v>
      </c>
      <c r="F55" s="39" t="s">
        <v>130</v>
      </c>
      <c r="G55" s="42">
        <v>1.65</v>
      </c>
      <c r="H55" s="42">
        <v>3.16</v>
      </c>
      <c r="I55" s="41">
        <v>-209920145</v>
      </c>
      <c r="J55" s="41">
        <v>-3108</v>
      </c>
      <c r="K55" s="46">
        <v>67541.87</v>
      </c>
      <c r="L55" s="66">
        <v>65200</v>
      </c>
      <c r="M55" s="65" t="s">
        <v>367</v>
      </c>
      <c r="N55" s="64" t="s">
        <v>428</v>
      </c>
      <c r="O55" s="63">
        <v>0.77</v>
      </c>
      <c r="P55" s="41">
        <v>7278545</v>
      </c>
      <c r="Q55" s="42">
        <v>3.47</v>
      </c>
      <c r="R55" s="41">
        <v>-1554000</v>
      </c>
      <c r="S55" s="41">
        <v>597496</v>
      </c>
      <c r="T55" s="40" t="s">
        <v>269</v>
      </c>
      <c r="U55" s="39" t="s">
        <v>343</v>
      </c>
      <c r="V55" s="38" t="s">
        <v>342</v>
      </c>
      <c r="W55" s="38" t="s">
        <v>342</v>
      </c>
    </row>
    <row r="56" spans="1:23">
      <c r="A56" s="50" t="s">
        <v>452</v>
      </c>
      <c r="B56" s="50" t="s">
        <v>399</v>
      </c>
      <c r="C56" s="49" t="s">
        <v>668</v>
      </c>
      <c r="D56" s="77" t="s">
        <v>339</v>
      </c>
      <c r="E56" s="50" t="s">
        <v>320</v>
      </c>
      <c r="F56" s="49" t="s">
        <v>321</v>
      </c>
      <c r="G56" s="52">
        <v>0.91</v>
      </c>
      <c r="H56" s="52">
        <v>1.74</v>
      </c>
      <c r="I56" s="51">
        <v>-109901260</v>
      </c>
      <c r="J56" s="51">
        <v>-937</v>
      </c>
      <c r="K56" s="56">
        <v>117290.57</v>
      </c>
      <c r="L56" s="62">
        <v>119000</v>
      </c>
      <c r="M56" s="61" t="s">
        <v>362</v>
      </c>
      <c r="N56" s="60" t="s">
        <v>458</v>
      </c>
      <c r="O56" s="59">
        <v>-2.06</v>
      </c>
      <c r="P56" s="51">
        <v>-1601740</v>
      </c>
      <c r="Q56" s="52">
        <v>-1.46</v>
      </c>
      <c r="R56" s="51">
        <v>2342500</v>
      </c>
      <c r="S56" s="51">
        <v>5035946</v>
      </c>
      <c r="T56" s="50" t="s">
        <v>269</v>
      </c>
      <c r="U56" s="49" t="s">
        <v>343</v>
      </c>
      <c r="V56" s="48" t="s">
        <v>342</v>
      </c>
      <c r="W56" s="48" t="s">
        <v>342</v>
      </c>
    </row>
    <row r="57" spans="1:23">
      <c r="A57" s="40" t="s">
        <v>373</v>
      </c>
      <c r="B57" s="40" t="s">
        <v>399</v>
      </c>
      <c r="C57" s="39" t="s">
        <v>668</v>
      </c>
      <c r="D57" s="72" t="s">
        <v>339</v>
      </c>
      <c r="E57" s="40" t="s">
        <v>330</v>
      </c>
      <c r="F57" s="39" t="s">
        <v>331</v>
      </c>
      <c r="G57" s="42">
        <v>1.41</v>
      </c>
      <c r="H57" s="42">
        <v>2.71</v>
      </c>
      <c r="I57" s="41">
        <v>-179107834</v>
      </c>
      <c r="J57" s="41">
        <v>-830</v>
      </c>
      <c r="K57" s="46">
        <v>215792.57</v>
      </c>
      <c r="L57" s="66">
        <v>209000</v>
      </c>
      <c r="M57" s="65" t="s">
        <v>367</v>
      </c>
      <c r="N57" s="64" t="s">
        <v>389</v>
      </c>
      <c r="O57" s="63">
        <v>1.7</v>
      </c>
      <c r="P57" s="41">
        <v>5637834</v>
      </c>
      <c r="Q57" s="42">
        <v>3.15</v>
      </c>
      <c r="R57" s="41">
        <v>-2905000</v>
      </c>
      <c r="S57" s="41">
        <v>2567142</v>
      </c>
      <c r="T57" s="40" t="s">
        <v>269</v>
      </c>
      <c r="U57" s="39" t="s">
        <v>343</v>
      </c>
      <c r="V57" s="38" t="s">
        <v>342</v>
      </c>
      <c r="W57" s="38" t="s">
        <v>342</v>
      </c>
    </row>
    <row r="58" spans="1:23">
      <c r="A58" s="50" t="s">
        <v>449</v>
      </c>
      <c r="B58" s="50" t="s">
        <v>399</v>
      </c>
      <c r="C58" s="49" t="s">
        <v>668</v>
      </c>
      <c r="D58" s="77" t="s">
        <v>339</v>
      </c>
      <c r="E58" s="50" t="s">
        <v>455</v>
      </c>
      <c r="F58" s="49" t="s">
        <v>454</v>
      </c>
      <c r="G58" s="52">
        <v>0.94</v>
      </c>
      <c r="H58" s="52">
        <v>1.81</v>
      </c>
      <c r="I58" s="51">
        <v>-136645908</v>
      </c>
      <c r="J58" s="51">
        <v>-2380</v>
      </c>
      <c r="K58" s="56">
        <v>57414.25</v>
      </c>
      <c r="L58" s="76">
        <v>48750</v>
      </c>
      <c r="M58" s="75" t="s">
        <v>367</v>
      </c>
      <c r="N58" s="74" t="s">
        <v>453</v>
      </c>
      <c r="O58" s="73">
        <v>0.1</v>
      </c>
      <c r="P58" s="51">
        <v>20620908</v>
      </c>
      <c r="Q58" s="52">
        <v>15.09</v>
      </c>
      <c r="R58" s="51">
        <v>-119000</v>
      </c>
      <c r="S58" s="51">
        <v>548692</v>
      </c>
      <c r="T58" s="50" t="s">
        <v>269</v>
      </c>
      <c r="U58" s="49" t="s">
        <v>343</v>
      </c>
      <c r="V58" s="48" t="s">
        <v>342</v>
      </c>
      <c r="W58" s="48" t="s">
        <v>342</v>
      </c>
    </row>
    <row r="59" spans="1:23">
      <c r="A59" s="40" t="s">
        <v>447</v>
      </c>
      <c r="B59" s="40" t="s">
        <v>399</v>
      </c>
      <c r="C59" s="39" t="s">
        <v>668</v>
      </c>
      <c r="D59" s="72" t="s">
        <v>339</v>
      </c>
      <c r="E59" s="40" t="s">
        <v>238</v>
      </c>
      <c r="F59" s="39" t="s">
        <v>239</v>
      </c>
      <c r="G59" s="42">
        <v>2</v>
      </c>
      <c r="H59" s="42">
        <v>3.83</v>
      </c>
      <c r="I59" s="41">
        <v>-254375847</v>
      </c>
      <c r="J59" s="41">
        <v>-1625</v>
      </c>
      <c r="K59" s="46">
        <v>156538.98000000001</v>
      </c>
      <c r="L59" s="70">
        <v>151000</v>
      </c>
      <c r="M59" s="69" t="s">
        <v>362</v>
      </c>
      <c r="N59" s="68" t="s">
        <v>451</v>
      </c>
      <c r="O59" s="67">
        <v>-2.58</v>
      </c>
      <c r="P59" s="41">
        <v>9000847</v>
      </c>
      <c r="Q59" s="42">
        <v>3.54</v>
      </c>
      <c r="R59" s="41">
        <v>4680000</v>
      </c>
      <c r="S59" s="41">
        <v>1725066</v>
      </c>
      <c r="T59" s="40" t="s">
        <v>269</v>
      </c>
      <c r="U59" s="39" t="s">
        <v>343</v>
      </c>
      <c r="V59" s="38" t="s">
        <v>342</v>
      </c>
      <c r="W59" s="38" t="s">
        <v>342</v>
      </c>
    </row>
    <row r="60" spans="1:23">
      <c r="A60" s="50" t="s">
        <v>446</v>
      </c>
      <c r="B60" s="50" t="s">
        <v>399</v>
      </c>
      <c r="C60" s="49" t="s">
        <v>668</v>
      </c>
      <c r="D60" s="77" t="s">
        <v>339</v>
      </c>
      <c r="E60" s="50" t="s">
        <v>300</v>
      </c>
      <c r="F60" s="49" t="s">
        <v>292</v>
      </c>
      <c r="G60" s="52">
        <v>1.96</v>
      </c>
      <c r="H60" s="52">
        <v>3.77</v>
      </c>
      <c r="I60" s="51">
        <v>-246959282</v>
      </c>
      <c r="J60" s="51">
        <v>-25130</v>
      </c>
      <c r="K60" s="56">
        <v>9827.27</v>
      </c>
      <c r="L60" s="62">
        <v>9600</v>
      </c>
      <c r="M60" s="61" t="s">
        <v>362</v>
      </c>
      <c r="N60" s="60" t="s">
        <v>450</v>
      </c>
      <c r="O60" s="59">
        <v>-3.52</v>
      </c>
      <c r="P60" s="51">
        <v>5711282</v>
      </c>
      <c r="Q60" s="52">
        <v>2.31</v>
      </c>
      <c r="R60" s="51">
        <v>8795500</v>
      </c>
      <c r="S60" s="51">
        <v>1898420</v>
      </c>
      <c r="T60" s="50" t="s">
        <v>269</v>
      </c>
      <c r="U60" s="49" t="s">
        <v>343</v>
      </c>
      <c r="V60" s="48" t="s">
        <v>342</v>
      </c>
      <c r="W60" s="48" t="s">
        <v>342</v>
      </c>
    </row>
    <row r="61" spans="1:23">
      <c r="A61" s="40" t="s">
        <v>442</v>
      </c>
      <c r="B61" s="40" t="s">
        <v>399</v>
      </c>
      <c r="C61" s="39" t="s">
        <v>668</v>
      </c>
      <c r="D61" s="72" t="s">
        <v>339</v>
      </c>
      <c r="E61" s="40" t="s">
        <v>326</v>
      </c>
      <c r="F61" s="39" t="s">
        <v>327</v>
      </c>
      <c r="G61" s="42">
        <v>1.51</v>
      </c>
      <c r="H61" s="42">
        <v>2.89</v>
      </c>
      <c r="I61" s="41">
        <v>-185892532</v>
      </c>
      <c r="J61" s="41">
        <v>-2180</v>
      </c>
      <c r="K61" s="58">
        <v>85271.8</v>
      </c>
      <c r="L61" s="70">
        <v>85000</v>
      </c>
      <c r="M61" s="69" t="s">
        <v>362</v>
      </c>
      <c r="N61" s="68" t="s">
        <v>448</v>
      </c>
      <c r="O61" s="67">
        <v>-1.28</v>
      </c>
      <c r="P61" s="41">
        <v>592532</v>
      </c>
      <c r="Q61" s="42">
        <v>0.32</v>
      </c>
      <c r="R61" s="41">
        <v>2398000</v>
      </c>
      <c r="S61" s="41">
        <v>3114074</v>
      </c>
      <c r="T61" s="40" t="s">
        <v>269</v>
      </c>
      <c r="U61" s="39" t="s">
        <v>343</v>
      </c>
      <c r="V61" s="38" t="s">
        <v>342</v>
      </c>
      <c r="W61" s="38" t="s">
        <v>342</v>
      </c>
    </row>
    <row r="62" spans="1:23">
      <c r="A62" s="50" t="s">
        <v>440</v>
      </c>
      <c r="B62" s="50" t="s">
        <v>399</v>
      </c>
      <c r="C62" s="49" t="s">
        <v>668</v>
      </c>
      <c r="D62" s="77" t="s">
        <v>339</v>
      </c>
      <c r="E62" s="50" t="s">
        <v>332</v>
      </c>
      <c r="F62" s="49" t="s">
        <v>333</v>
      </c>
      <c r="G62" s="52">
        <v>1.42</v>
      </c>
      <c r="H62" s="52">
        <v>2.73</v>
      </c>
      <c r="I62" s="51">
        <v>-177925976</v>
      </c>
      <c r="J62" s="51">
        <v>-620</v>
      </c>
      <c r="K62" s="56">
        <v>286977.38</v>
      </c>
      <c r="L62" s="76">
        <v>282500</v>
      </c>
      <c r="M62" s="75" t="s">
        <v>367</v>
      </c>
      <c r="N62" s="74" t="s">
        <v>382</v>
      </c>
      <c r="O62" s="73">
        <v>0.53</v>
      </c>
      <c r="P62" s="51">
        <v>2775976</v>
      </c>
      <c r="Q62" s="52">
        <v>1.56</v>
      </c>
      <c r="R62" s="51">
        <v>-930000</v>
      </c>
      <c r="S62" s="51">
        <v>2490526</v>
      </c>
      <c r="T62" s="50" t="s">
        <v>269</v>
      </c>
      <c r="U62" s="49" t="s">
        <v>343</v>
      </c>
      <c r="V62" s="48" t="s">
        <v>342</v>
      </c>
      <c r="W62" s="48" t="s">
        <v>342</v>
      </c>
    </row>
    <row r="63" spans="1:23">
      <c r="A63" s="40" t="s">
        <v>439</v>
      </c>
      <c r="B63" s="40" t="s">
        <v>399</v>
      </c>
      <c r="C63" s="39" t="s">
        <v>668</v>
      </c>
      <c r="D63" s="72" t="s">
        <v>339</v>
      </c>
      <c r="E63" s="40" t="s">
        <v>445</v>
      </c>
      <c r="F63" s="39" t="s">
        <v>444</v>
      </c>
      <c r="G63" s="42">
        <v>0.89</v>
      </c>
      <c r="H63" s="42">
        <v>1.71</v>
      </c>
      <c r="I63" s="41">
        <v>-122334026</v>
      </c>
      <c r="J63" s="41">
        <v>-3890</v>
      </c>
      <c r="K63" s="46">
        <v>31448.34</v>
      </c>
      <c r="L63" s="70">
        <v>28250</v>
      </c>
      <c r="M63" s="69" t="s">
        <v>362</v>
      </c>
      <c r="N63" s="68" t="s">
        <v>443</v>
      </c>
      <c r="O63" s="67">
        <v>-0.88</v>
      </c>
      <c r="P63" s="41">
        <v>12441526</v>
      </c>
      <c r="Q63" s="42">
        <v>10.17</v>
      </c>
      <c r="R63" s="41">
        <v>972500</v>
      </c>
      <c r="S63" s="41">
        <v>989562</v>
      </c>
      <c r="T63" s="40" t="s">
        <v>269</v>
      </c>
      <c r="U63" s="39" t="s">
        <v>343</v>
      </c>
      <c r="V63" s="38" t="s">
        <v>342</v>
      </c>
      <c r="W63" s="38" t="s">
        <v>342</v>
      </c>
    </row>
    <row r="64" spans="1:23">
      <c r="A64" s="50" t="s">
        <v>438</v>
      </c>
      <c r="B64" s="50" t="s">
        <v>399</v>
      </c>
      <c r="C64" s="49" t="s">
        <v>668</v>
      </c>
      <c r="D64" s="77" t="s">
        <v>339</v>
      </c>
      <c r="E64" s="50" t="s">
        <v>143</v>
      </c>
      <c r="F64" s="49" t="s">
        <v>144</v>
      </c>
      <c r="G64" s="52">
        <v>0.48</v>
      </c>
      <c r="H64" s="52">
        <v>0.92</v>
      </c>
      <c r="I64" s="51">
        <v>-71777033</v>
      </c>
      <c r="J64" s="51">
        <v>-6472</v>
      </c>
      <c r="K64" s="56">
        <v>11090.39</v>
      </c>
      <c r="L64" s="62">
        <v>9110</v>
      </c>
      <c r="M64" s="61" t="s">
        <v>362</v>
      </c>
      <c r="N64" s="60" t="s">
        <v>441</v>
      </c>
      <c r="O64" s="59">
        <v>-2.88</v>
      </c>
      <c r="P64" s="51">
        <v>12817113</v>
      </c>
      <c r="Q64" s="52">
        <v>17.86</v>
      </c>
      <c r="R64" s="51">
        <v>1747440</v>
      </c>
      <c r="S64" s="51">
        <v>1179245</v>
      </c>
      <c r="T64" s="50" t="s">
        <v>269</v>
      </c>
      <c r="U64" s="49" t="s">
        <v>343</v>
      </c>
      <c r="V64" s="48" t="s">
        <v>342</v>
      </c>
      <c r="W64" s="48" t="s">
        <v>342</v>
      </c>
    </row>
    <row r="65" spans="1:23">
      <c r="A65" s="40" t="s">
        <v>436</v>
      </c>
      <c r="B65" s="40" t="s">
        <v>399</v>
      </c>
      <c r="C65" s="39" t="s">
        <v>668</v>
      </c>
      <c r="D65" s="72" t="s">
        <v>339</v>
      </c>
      <c r="E65" s="40" t="s">
        <v>204</v>
      </c>
      <c r="F65" s="39" t="s">
        <v>205</v>
      </c>
      <c r="G65" s="42">
        <v>0.99</v>
      </c>
      <c r="H65" s="42">
        <v>1.91</v>
      </c>
      <c r="I65" s="41">
        <v>-120804884</v>
      </c>
      <c r="J65" s="41">
        <v>-550</v>
      </c>
      <c r="K65" s="46">
        <v>219645.24</v>
      </c>
      <c r="L65" s="66">
        <v>222500</v>
      </c>
      <c r="M65" s="65" t="s">
        <v>367</v>
      </c>
      <c r="N65" s="64" t="s">
        <v>398</v>
      </c>
      <c r="O65" s="63">
        <v>0.91</v>
      </c>
      <c r="P65" s="41">
        <v>-1570116</v>
      </c>
      <c r="Q65" s="42">
        <v>-1.3</v>
      </c>
      <c r="R65" s="41">
        <v>-1100000</v>
      </c>
      <c r="S65" s="41">
        <v>485116</v>
      </c>
      <c r="T65" s="40" t="s">
        <v>269</v>
      </c>
      <c r="U65" s="39" t="s">
        <v>343</v>
      </c>
      <c r="V65" s="38" t="s">
        <v>342</v>
      </c>
      <c r="W65" s="38" t="s">
        <v>342</v>
      </c>
    </row>
    <row r="66" spans="1:23">
      <c r="A66" s="50" t="s">
        <v>435</v>
      </c>
      <c r="B66" s="50" t="s">
        <v>399</v>
      </c>
      <c r="C66" s="49" t="s">
        <v>668</v>
      </c>
      <c r="D66" s="77" t="s">
        <v>339</v>
      </c>
      <c r="E66" s="50" t="s">
        <v>145</v>
      </c>
      <c r="F66" s="49" t="s">
        <v>146</v>
      </c>
      <c r="G66" s="52">
        <v>1.05</v>
      </c>
      <c r="H66" s="52">
        <v>2.02</v>
      </c>
      <c r="I66" s="51">
        <v>-128878203</v>
      </c>
      <c r="J66" s="51">
        <v>-11431</v>
      </c>
      <c r="K66" s="56">
        <v>11274.45</v>
      </c>
      <c r="L66" s="76">
        <v>11350</v>
      </c>
      <c r="M66" s="75" t="s">
        <v>367</v>
      </c>
      <c r="N66" s="74" t="s">
        <v>401</v>
      </c>
      <c r="O66" s="73">
        <v>1.34</v>
      </c>
      <c r="P66" s="51">
        <v>-863647</v>
      </c>
      <c r="Q66" s="52">
        <v>-0.67</v>
      </c>
      <c r="R66" s="51">
        <v>-1714650</v>
      </c>
      <c r="S66" s="51">
        <v>1393396</v>
      </c>
      <c r="T66" s="50" t="s">
        <v>269</v>
      </c>
      <c r="U66" s="49" t="s">
        <v>343</v>
      </c>
      <c r="V66" s="48" t="s">
        <v>342</v>
      </c>
      <c r="W66" s="48" t="s">
        <v>342</v>
      </c>
    </row>
    <row r="67" spans="1:23">
      <c r="A67" s="40" t="s">
        <v>434</v>
      </c>
      <c r="B67" s="40" t="s">
        <v>399</v>
      </c>
      <c r="C67" s="39" t="s">
        <v>668</v>
      </c>
      <c r="D67" s="72" t="s">
        <v>339</v>
      </c>
      <c r="E67" s="40" t="s">
        <v>274</v>
      </c>
      <c r="F67" s="39" t="s">
        <v>275</v>
      </c>
      <c r="G67" s="42">
        <v>2.2599999999999998</v>
      </c>
      <c r="H67" s="42">
        <v>4.33</v>
      </c>
      <c r="I67" s="41">
        <v>-271777586</v>
      </c>
      <c r="J67" s="41">
        <v>-1330</v>
      </c>
      <c r="K67" s="46">
        <v>204344.05</v>
      </c>
      <c r="L67" s="66">
        <v>208500</v>
      </c>
      <c r="M67" s="65" t="s">
        <v>367</v>
      </c>
      <c r="N67" s="64" t="s">
        <v>437</v>
      </c>
      <c r="O67" s="63">
        <v>2.46</v>
      </c>
      <c r="P67" s="41">
        <v>-5527414</v>
      </c>
      <c r="Q67" s="42">
        <v>-2.0299999999999998</v>
      </c>
      <c r="R67" s="41">
        <v>-6650000</v>
      </c>
      <c r="S67" s="41">
        <v>1091414</v>
      </c>
      <c r="T67" s="40" t="s">
        <v>269</v>
      </c>
      <c r="U67" s="39" t="s">
        <v>343</v>
      </c>
      <c r="V67" s="38" t="s">
        <v>342</v>
      </c>
      <c r="W67" s="38" t="s">
        <v>342</v>
      </c>
    </row>
    <row r="68" spans="1:23">
      <c r="A68" s="50" t="s">
        <v>433</v>
      </c>
      <c r="B68" s="50" t="s">
        <v>399</v>
      </c>
      <c r="C68" s="49" t="s">
        <v>668</v>
      </c>
      <c r="D68" s="77" t="s">
        <v>339</v>
      </c>
      <c r="E68" s="50" t="s">
        <v>147</v>
      </c>
      <c r="F68" s="49" t="s">
        <v>148</v>
      </c>
      <c r="G68" s="52">
        <v>1.57</v>
      </c>
      <c r="H68" s="52">
        <v>3.02</v>
      </c>
      <c r="I68" s="51">
        <v>-184016631</v>
      </c>
      <c r="J68" s="51">
        <v>-922</v>
      </c>
      <c r="K68" s="78">
        <v>199584.2</v>
      </c>
      <c r="L68" s="51">
        <v>209500</v>
      </c>
      <c r="M68" s="55" t="s">
        <v>269</v>
      </c>
      <c r="N68" s="54" t="s">
        <v>342</v>
      </c>
      <c r="O68" s="53">
        <v>0</v>
      </c>
      <c r="P68" s="51">
        <v>-9142369</v>
      </c>
      <c r="Q68" s="52">
        <v>-4.97</v>
      </c>
      <c r="R68" s="51">
        <v>0</v>
      </c>
      <c r="S68" s="51">
        <v>3009806</v>
      </c>
      <c r="T68" s="50" t="s">
        <v>269</v>
      </c>
      <c r="U68" s="49" t="s">
        <v>343</v>
      </c>
      <c r="V68" s="48" t="s">
        <v>342</v>
      </c>
      <c r="W68" s="48" t="s">
        <v>342</v>
      </c>
    </row>
    <row r="69" spans="1:23">
      <c r="A69" s="40" t="s">
        <v>430</v>
      </c>
      <c r="B69" s="40" t="s">
        <v>399</v>
      </c>
      <c r="C69" s="39" t="s">
        <v>668</v>
      </c>
      <c r="D69" s="72" t="s">
        <v>339</v>
      </c>
      <c r="E69" s="40" t="s">
        <v>153</v>
      </c>
      <c r="F69" s="39" t="s">
        <v>154</v>
      </c>
      <c r="G69" s="42">
        <v>1.78</v>
      </c>
      <c r="H69" s="42">
        <v>3.42</v>
      </c>
      <c r="I69" s="41">
        <v>-248252236</v>
      </c>
      <c r="J69" s="41">
        <v>-2700</v>
      </c>
      <c r="K69" s="46">
        <v>91945.27</v>
      </c>
      <c r="L69" s="41">
        <v>81000</v>
      </c>
      <c r="M69" s="45" t="s">
        <v>269</v>
      </c>
      <c r="N69" s="44" t="s">
        <v>342</v>
      </c>
      <c r="O69" s="43">
        <v>0</v>
      </c>
      <c r="P69" s="41">
        <v>29552236</v>
      </c>
      <c r="Q69" s="42">
        <v>11.9</v>
      </c>
      <c r="R69" s="41">
        <v>0</v>
      </c>
      <c r="S69" s="41">
        <v>996864</v>
      </c>
      <c r="T69" s="40" t="s">
        <v>269</v>
      </c>
      <c r="U69" s="39" t="s">
        <v>343</v>
      </c>
      <c r="V69" s="38" t="s">
        <v>342</v>
      </c>
      <c r="W69" s="38" t="s">
        <v>342</v>
      </c>
    </row>
    <row r="70" spans="1:23">
      <c r="A70" s="50" t="s">
        <v>429</v>
      </c>
      <c r="B70" s="50" t="s">
        <v>399</v>
      </c>
      <c r="C70" s="49" t="s">
        <v>668</v>
      </c>
      <c r="D70" s="77" t="s">
        <v>339</v>
      </c>
      <c r="E70" s="50" t="s">
        <v>310</v>
      </c>
      <c r="F70" s="49" t="s">
        <v>311</v>
      </c>
      <c r="G70" s="52">
        <v>0.93</v>
      </c>
      <c r="H70" s="52">
        <v>1.79</v>
      </c>
      <c r="I70" s="51">
        <v>-125868870</v>
      </c>
      <c r="J70" s="51">
        <v>-7590</v>
      </c>
      <c r="K70" s="56">
        <v>16583.509999999998</v>
      </c>
      <c r="L70" s="62">
        <v>15100</v>
      </c>
      <c r="M70" s="61" t="s">
        <v>362</v>
      </c>
      <c r="N70" s="60" t="s">
        <v>371</v>
      </c>
      <c r="O70" s="59">
        <v>-1.95</v>
      </c>
      <c r="P70" s="51">
        <v>11259870</v>
      </c>
      <c r="Q70" s="52">
        <v>8.9499999999999993</v>
      </c>
      <c r="R70" s="51">
        <v>2277000</v>
      </c>
      <c r="S70" s="51">
        <v>1161292</v>
      </c>
      <c r="T70" s="50" t="s">
        <v>269</v>
      </c>
      <c r="U70" s="49" t="s">
        <v>343</v>
      </c>
      <c r="V70" s="48" t="s">
        <v>342</v>
      </c>
      <c r="W70" s="48" t="s">
        <v>342</v>
      </c>
    </row>
    <row r="71" spans="1:23">
      <c r="A71" s="40" t="s">
        <v>427</v>
      </c>
      <c r="B71" s="40" t="s">
        <v>399</v>
      </c>
      <c r="C71" s="39" t="s">
        <v>668</v>
      </c>
      <c r="D71" s="72" t="s">
        <v>339</v>
      </c>
      <c r="E71" s="40" t="s">
        <v>432</v>
      </c>
      <c r="F71" s="39" t="s">
        <v>431</v>
      </c>
      <c r="G71" s="42">
        <v>1.63</v>
      </c>
      <c r="H71" s="42">
        <v>3.12</v>
      </c>
      <c r="I71" s="41">
        <v>-191954161</v>
      </c>
      <c r="J71" s="41">
        <v>-8386</v>
      </c>
      <c r="K71" s="46">
        <v>22889.84</v>
      </c>
      <c r="L71" s="70">
        <v>23850</v>
      </c>
      <c r="M71" s="69" t="s">
        <v>362</v>
      </c>
      <c r="N71" s="68" t="s">
        <v>401</v>
      </c>
      <c r="O71" s="67">
        <v>-0.62</v>
      </c>
      <c r="P71" s="41">
        <v>-8051939</v>
      </c>
      <c r="Q71" s="42">
        <v>-4.1900000000000004</v>
      </c>
      <c r="R71" s="41">
        <v>1257900</v>
      </c>
      <c r="S71" s="41">
        <v>1704444</v>
      </c>
      <c r="T71" s="40" t="s">
        <v>269</v>
      </c>
      <c r="U71" s="39" t="s">
        <v>343</v>
      </c>
      <c r="V71" s="38" t="s">
        <v>342</v>
      </c>
      <c r="W71" s="38" t="s">
        <v>342</v>
      </c>
    </row>
    <row r="72" spans="1:23">
      <c r="A72" s="50" t="s">
        <v>375</v>
      </c>
      <c r="B72" s="50" t="s">
        <v>399</v>
      </c>
      <c r="C72" s="49" t="s">
        <v>668</v>
      </c>
      <c r="D72" s="77" t="s">
        <v>339</v>
      </c>
      <c r="E72" s="50" t="s">
        <v>261</v>
      </c>
      <c r="F72" s="49" t="s">
        <v>262</v>
      </c>
      <c r="G72" s="52">
        <v>0.52</v>
      </c>
      <c r="H72" s="52">
        <v>1.01</v>
      </c>
      <c r="I72" s="51">
        <v>-72214497</v>
      </c>
      <c r="J72" s="51">
        <v>-977</v>
      </c>
      <c r="K72" s="56">
        <v>73914.53</v>
      </c>
      <c r="L72" s="76">
        <v>66200</v>
      </c>
      <c r="M72" s="75" t="s">
        <v>367</v>
      </c>
      <c r="N72" s="74" t="s">
        <v>384</v>
      </c>
      <c r="O72" s="73">
        <v>1.53</v>
      </c>
      <c r="P72" s="51">
        <v>7537097</v>
      </c>
      <c r="Q72" s="52">
        <v>10.44</v>
      </c>
      <c r="R72" s="51">
        <v>-977000</v>
      </c>
      <c r="S72" s="51">
        <v>1198734</v>
      </c>
      <c r="T72" s="50" t="s">
        <v>269</v>
      </c>
      <c r="U72" s="49" t="s">
        <v>343</v>
      </c>
      <c r="V72" s="48" t="s">
        <v>342</v>
      </c>
      <c r="W72" s="48" t="s">
        <v>342</v>
      </c>
    </row>
    <row r="73" spans="1:23">
      <c r="A73" s="40" t="s">
        <v>422</v>
      </c>
      <c r="B73" s="40" t="s">
        <v>399</v>
      </c>
      <c r="C73" s="39" t="s">
        <v>668</v>
      </c>
      <c r="D73" s="72" t="s">
        <v>339</v>
      </c>
      <c r="E73" s="40" t="s">
        <v>163</v>
      </c>
      <c r="F73" s="39" t="s">
        <v>164</v>
      </c>
      <c r="G73" s="42">
        <v>0.5</v>
      </c>
      <c r="H73" s="42">
        <v>0.96</v>
      </c>
      <c r="I73" s="41">
        <v>-59868100</v>
      </c>
      <c r="J73" s="41">
        <v>-230</v>
      </c>
      <c r="K73" s="46">
        <v>260296.09</v>
      </c>
      <c r="L73" s="66">
        <v>268500</v>
      </c>
      <c r="M73" s="65" t="s">
        <v>367</v>
      </c>
      <c r="N73" s="64" t="s">
        <v>428</v>
      </c>
      <c r="O73" s="63">
        <v>0.19</v>
      </c>
      <c r="P73" s="41">
        <v>-1886900</v>
      </c>
      <c r="Q73" s="42">
        <v>-3.15</v>
      </c>
      <c r="R73" s="41">
        <v>-115000</v>
      </c>
      <c r="S73" s="41">
        <v>2808412</v>
      </c>
      <c r="T73" s="40" t="s">
        <v>269</v>
      </c>
      <c r="U73" s="39" t="s">
        <v>343</v>
      </c>
      <c r="V73" s="38" t="s">
        <v>342</v>
      </c>
      <c r="W73" s="38" t="s">
        <v>342</v>
      </c>
    </row>
    <row r="74" spans="1:23">
      <c r="A74" s="50" t="s">
        <v>421</v>
      </c>
      <c r="B74" s="50" t="s">
        <v>399</v>
      </c>
      <c r="C74" s="49" t="s">
        <v>668</v>
      </c>
      <c r="D74" s="77" t="s">
        <v>339</v>
      </c>
      <c r="E74" s="50" t="s">
        <v>165</v>
      </c>
      <c r="F74" s="49" t="s">
        <v>166</v>
      </c>
      <c r="G74" s="52">
        <v>0.69</v>
      </c>
      <c r="H74" s="52">
        <v>1.34</v>
      </c>
      <c r="I74" s="51">
        <v>-71715963</v>
      </c>
      <c r="J74" s="51">
        <v>-2514</v>
      </c>
      <c r="K74" s="56">
        <v>28526.639999999999</v>
      </c>
      <c r="L74" s="62">
        <v>34100</v>
      </c>
      <c r="M74" s="61" t="s">
        <v>362</v>
      </c>
      <c r="N74" s="60" t="s">
        <v>426</v>
      </c>
      <c r="O74" s="59">
        <v>-3.94</v>
      </c>
      <c r="P74" s="51">
        <v>-14011437</v>
      </c>
      <c r="Q74" s="52">
        <v>-19.54</v>
      </c>
      <c r="R74" s="51">
        <v>3519600</v>
      </c>
      <c r="S74" s="51">
        <v>1117888</v>
      </c>
      <c r="T74" s="50" t="s">
        <v>269</v>
      </c>
      <c r="U74" s="49" t="s">
        <v>343</v>
      </c>
      <c r="V74" s="48" t="s">
        <v>342</v>
      </c>
      <c r="W74" s="48" t="s">
        <v>342</v>
      </c>
    </row>
    <row r="75" spans="1:23">
      <c r="A75" s="40" t="s">
        <v>420</v>
      </c>
      <c r="B75" s="40" t="s">
        <v>399</v>
      </c>
      <c r="C75" s="39" t="s">
        <v>668</v>
      </c>
      <c r="D75" s="72" t="s">
        <v>339</v>
      </c>
      <c r="E75" s="40" t="s">
        <v>425</v>
      </c>
      <c r="F75" s="39" t="s">
        <v>424</v>
      </c>
      <c r="G75" s="42">
        <v>1.6</v>
      </c>
      <c r="H75" s="42">
        <v>3.07</v>
      </c>
      <c r="I75" s="41">
        <v>-201616795</v>
      </c>
      <c r="J75" s="41">
        <v>-1820</v>
      </c>
      <c r="K75" s="46">
        <v>110778.46</v>
      </c>
      <c r="L75" s="70">
        <v>108000</v>
      </c>
      <c r="M75" s="69" t="s">
        <v>362</v>
      </c>
      <c r="N75" s="68" t="s">
        <v>423</v>
      </c>
      <c r="O75" s="67">
        <v>-0.55000000000000004</v>
      </c>
      <c r="P75" s="41">
        <v>5056795</v>
      </c>
      <c r="Q75" s="42">
        <v>2.5099999999999998</v>
      </c>
      <c r="R75" s="41">
        <v>1092000</v>
      </c>
      <c r="S75" s="41">
        <v>1186261</v>
      </c>
      <c r="T75" s="40" t="s">
        <v>269</v>
      </c>
      <c r="U75" s="39" t="s">
        <v>343</v>
      </c>
      <c r="V75" s="38" t="s">
        <v>342</v>
      </c>
      <c r="W75" s="38" t="s">
        <v>342</v>
      </c>
    </row>
    <row r="76" spans="1:23">
      <c r="A76" s="50" t="s">
        <v>418</v>
      </c>
      <c r="B76" s="50" t="s">
        <v>399</v>
      </c>
      <c r="C76" s="49" t="s">
        <v>668</v>
      </c>
      <c r="D76" s="77" t="s">
        <v>339</v>
      </c>
      <c r="E76" s="50" t="s">
        <v>316</v>
      </c>
      <c r="F76" s="49" t="s">
        <v>317</v>
      </c>
      <c r="G76" s="52">
        <v>0.43</v>
      </c>
      <c r="H76" s="52">
        <v>0.83</v>
      </c>
      <c r="I76" s="51">
        <v>-60535530</v>
      </c>
      <c r="J76" s="51">
        <v>-2090</v>
      </c>
      <c r="K76" s="56">
        <v>28964.37</v>
      </c>
      <c r="L76" s="76">
        <v>25500</v>
      </c>
      <c r="M76" s="75" t="s">
        <v>367</v>
      </c>
      <c r="N76" s="74" t="s">
        <v>391</v>
      </c>
      <c r="O76" s="73">
        <v>3.24</v>
      </c>
      <c r="P76" s="51">
        <v>7240530</v>
      </c>
      <c r="Q76" s="52">
        <v>11.96</v>
      </c>
      <c r="R76" s="51">
        <v>-1672000</v>
      </c>
      <c r="S76" s="51">
        <v>243020</v>
      </c>
      <c r="T76" s="50" t="s">
        <v>269</v>
      </c>
      <c r="U76" s="49" t="s">
        <v>343</v>
      </c>
      <c r="V76" s="48" t="s">
        <v>342</v>
      </c>
      <c r="W76" s="48" t="s">
        <v>342</v>
      </c>
    </row>
    <row r="77" spans="1:23">
      <c r="A77" s="40" t="s">
        <v>417</v>
      </c>
      <c r="B77" s="40" t="s">
        <v>399</v>
      </c>
      <c r="C77" s="39" t="s">
        <v>668</v>
      </c>
      <c r="D77" s="72" t="s">
        <v>339</v>
      </c>
      <c r="E77" s="40" t="s">
        <v>240</v>
      </c>
      <c r="F77" s="39" t="s">
        <v>241</v>
      </c>
      <c r="G77" s="42">
        <v>1.42</v>
      </c>
      <c r="H77" s="42">
        <v>2.73</v>
      </c>
      <c r="I77" s="41">
        <v>-182850221</v>
      </c>
      <c r="J77" s="41">
        <v>-2087</v>
      </c>
      <c r="K77" s="46">
        <v>87613.91</v>
      </c>
      <c r="L77" s="66">
        <v>83800</v>
      </c>
      <c r="M77" s="65" t="s">
        <v>367</v>
      </c>
      <c r="N77" s="64" t="s">
        <v>371</v>
      </c>
      <c r="O77" s="63">
        <v>0.36</v>
      </c>
      <c r="P77" s="41">
        <v>7959621</v>
      </c>
      <c r="Q77" s="42">
        <v>4.3499999999999996</v>
      </c>
      <c r="R77" s="41">
        <v>-626100</v>
      </c>
      <c r="S77" s="41">
        <v>984900</v>
      </c>
      <c r="T77" s="40" t="s">
        <v>269</v>
      </c>
      <c r="U77" s="39" t="s">
        <v>343</v>
      </c>
      <c r="V77" s="38" t="s">
        <v>342</v>
      </c>
      <c r="W77" s="38" t="s">
        <v>342</v>
      </c>
    </row>
    <row r="78" spans="1:23">
      <c r="A78" s="50" t="s">
        <v>413</v>
      </c>
      <c r="B78" s="50" t="s">
        <v>399</v>
      </c>
      <c r="C78" s="49" t="s">
        <v>668</v>
      </c>
      <c r="D78" s="77" t="s">
        <v>339</v>
      </c>
      <c r="E78" s="50" t="s">
        <v>218</v>
      </c>
      <c r="F78" s="49" t="s">
        <v>219</v>
      </c>
      <c r="G78" s="52">
        <v>1.58</v>
      </c>
      <c r="H78" s="52">
        <v>3.04</v>
      </c>
      <c r="I78" s="51">
        <v>-208162981</v>
      </c>
      <c r="J78" s="51">
        <v>-8036</v>
      </c>
      <c r="K78" s="56">
        <v>25903.81</v>
      </c>
      <c r="L78" s="76">
        <v>24200</v>
      </c>
      <c r="M78" s="75" t="s">
        <v>367</v>
      </c>
      <c r="N78" s="74" t="s">
        <v>419</v>
      </c>
      <c r="O78" s="73">
        <v>3.2</v>
      </c>
      <c r="P78" s="51">
        <v>13691781</v>
      </c>
      <c r="Q78" s="52">
        <v>6.58</v>
      </c>
      <c r="R78" s="51">
        <v>-6027000</v>
      </c>
      <c r="S78" s="51">
        <v>1719580</v>
      </c>
      <c r="T78" s="50" t="s">
        <v>269</v>
      </c>
      <c r="U78" s="49" t="s">
        <v>343</v>
      </c>
      <c r="V78" s="48" t="s">
        <v>342</v>
      </c>
      <c r="W78" s="48" t="s">
        <v>342</v>
      </c>
    </row>
    <row r="79" spans="1:23">
      <c r="A79" s="40" t="s">
        <v>412</v>
      </c>
      <c r="B79" s="40" t="s">
        <v>399</v>
      </c>
      <c r="C79" s="39" t="s">
        <v>668</v>
      </c>
      <c r="D79" s="72" t="s">
        <v>339</v>
      </c>
      <c r="E79" s="40" t="s">
        <v>263</v>
      </c>
      <c r="F79" s="39" t="s">
        <v>264</v>
      </c>
      <c r="G79" s="42">
        <v>1.63</v>
      </c>
      <c r="H79" s="42">
        <v>3.12</v>
      </c>
      <c r="I79" s="41">
        <v>-208099175</v>
      </c>
      <c r="J79" s="41">
        <v>-1600</v>
      </c>
      <c r="K79" s="46">
        <v>130061.98</v>
      </c>
      <c r="L79" s="70">
        <v>125000</v>
      </c>
      <c r="M79" s="69" t="s">
        <v>362</v>
      </c>
      <c r="N79" s="68" t="s">
        <v>398</v>
      </c>
      <c r="O79" s="67">
        <v>-1.57</v>
      </c>
      <c r="P79" s="41">
        <v>8099175</v>
      </c>
      <c r="Q79" s="42">
        <v>3.89</v>
      </c>
      <c r="R79" s="41">
        <v>3200000</v>
      </c>
      <c r="S79" s="41">
        <v>835625</v>
      </c>
      <c r="T79" s="40" t="s">
        <v>269</v>
      </c>
      <c r="U79" s="39" t="s">
        <v>343</v>
      </c>
      <c r="V79" s="38" t="s">
        <v>342</v>
      </c>
      <c r="W79" s="38" t="s">
        <v>342</v>
      </c>
    </row>
    <row r="80" spans="1:23">
      <c r="A80" s="50" t="s">
        <v>409</v>
      </c>
      <c r="B80" s="50" t="s">
        <v>399</v>
      </c>
      <c r="C80" s="49" t="s">
        <v>668</v>
      </c>
      <c r="D80" s="77" t="s">
        <v>339</v>
      </c>
      <c r="E80" s="50" t="s">
        <v>416</v>
      </c>
      <c r="F80" s="49" t="s">
        <v>415</v>
      </c>
      <c r="G80" s="52">
        <v>0.52</v>
      </c>
      <c r="H80" s="52">
        <v>0.99</v>
      </c>
      <c r="I80" s="51">
        <v>-60048852</v>
      </c>
      <c r="J80" s="51">
        <v>-3410</v>
      </c>
      <c r="K80" s="56">
        <v>17609.63</v>
      </c>
      <c r="L80" s="62">
        <v>18700</v>
      </c>
      <c r="M80" s="61" t="s">
        <v>362</v>
      </c>
      <c r="N80" s="60" t="s">
        <v>414</v>
      </c>
      <c r="O80" s="59">
        <v>-1.06</v>
      </c>
      <c r="P80" s="51">
        <v>-3718148</v>
      </c>
      <c r="Q80" s="52">
        <v>-6.19</v>
      </c>
      <c r="R80" s="51">
        <v>682000</v>
      </c>
      <c r="S80" s="51">
        <v>241098</v>
      </c>
      <c r="T80" s="50" t="s">
        <v>269</v>
      </c>
      <c r="U80" s="49" t="s">
        <v>343</v>
      </c>
      <c r="V80" s="48" t="s">
        <v>342</v>
      </c>
      <c r="W80" s="48" t="s">
        <v>342</v>
      </c>
    </row>
    <row r="81" spans="1:23">
      <c r="A81" s="40" t="s">
        <v>408</v>
      </c>
      <c r="B81" s="40" t="s">
        <v>399</v>
      </c>
      <c r="C81" s="39" t="s">
        <v>668</v>
      </c>
      <c r="D81" s="72" t="s">
        <v>339</v>
      </c>
      <c r="E81" s="40" t="s">
        <v>280</v>
      </c>
      <c r="F81" s="39" t="s">
        <v>281</v>
      </c>
      <c r="G81" s="42">
        <v>1.98</v>
      </c>
      <c r="H81" s="42">
        <v>3.8</v>
      </c>
      <c r="I81" s="41">
        <v>-257227578</v>
      </c>
      <c r="J81" s="41">
        <v>-1540</v>
      </c>
      <c r="K81" s="46">
        <v>167030.89000000001</v>
      </c>
      <c r="L81" s="66">
        <v>158000</v>
      </c>
      <c r="M81" s="65" t="s">
        <v>367</v>
      </c>
      <c r="N81" s="64" t="s">
        <v>398</v>
      </c>
      <c r="O81" s="63">
        <v>1.28</v>
      </c>
      <c r="P81" s="41">
        <v>13907578</v>
      </c>
      <c r="Q81" s="42">
        <v>5.41</v>
      </c>
      <c r="R81" s="41">
        <v>-3080000</v>
      </c>
      <c r="S81" s="41">
        <v>1235736</v>
      </c>
      <c r="T81" s="40" t="s">
        <v>269</v>
      </c>
      <c r="U81" s="39" t="s">
        <v>343</v>
      </c>
      <c r="V81" s="38" t="s">
        <v>342</v>
      </c>
      <c r="W81" s="38" t="s">
        <v>342</v>
      </c>
    </row>
    <row r="82" spans="1:23">
      <c r="A82" s="50" t="s">
        <v>407</v>
      </c>
      <c r="B82" s="50" t="s">
        <v>399</v>
      </c>
      <c r="C82" s="49" t="s">
        <v>668</v>
      </c>
      <c r="D82" s="77" t="s">
        <v>339</v>
      </c>
      <c r="E82" s="50" t="s">
        <v>411</v>
      </c>
      <c r="F82" s="49" t="s">
        <v>410</v>
      </c>
      <c r="G82" s="52">
        <v>0.94</v>
      </c>
      <c r="H82" s="52">
        <v>1.81</v>
      </c>
      <c r="I82" s="51">
        <v>-120393678</v>
      </c>
      <c r="J82" s="51">
        <v>-1880</v>
      </c>
      <c r="K82" s="56">
        <v>64039.19</v>
      </c>
      <c r="L82" s="62">
        <v>61600</v>
      </c>
      <c r="M82" s="61" t="s">
        <v>362</v>
      </c>
      <c r="N82" s="60" t="s">
        <v>355</v>
      </c>
      <c r="O82" s="59">
        <v>-0.16</v>
      </c>
      <c r="P82" s="51">
        <v>4585678</v>
      </c>
      <c r="Q82" s="52">
        <v>3.81</v>
      </c>
      <c r="R82" s="51">
        <v>188000</v>
      </c>
      <c r="S82" s="51">
        <v>1205418</v>
      </c>
      <c r="T82" s="50" t="s">
        <v>269</v>
      </c>
      <c r="U82" s="49" t="s">
        <v>343</v>
      </c>
      <c r="V82" s="48" t="s">
        <v>342</v>
      </c>
      <c r="W82" s="48" t="s">
        <v>342</v>
      </c>
    </row>
    <row r="83" spans="1:23">
      <c r="A83" s="40" t="s">
        <v>405</v>
      </c>
      <c r="B83" s="40" t="s">
        <v>399</v>
      </c>
      <c r="C83" s="39" t="s">
        <v>668</v>
      </c>
      <c r="D83" s="72" t="s">
        <v>339</v>
      </c>
      <c r="E83" s="40" t="s">
        <v>296</v>
      </c>
      <c r="F83" s="39" t="s">
        <v>297</v>
      </c>
      <c r="G83" s="42">
        <v>1.68</v>
      </c>
      <c r="H83" s="42">
        <v>3.22</v>
      </c>
      <c r="I83" s="41">
        <v>-233992665</v>
      </c>
      <c r="J83" s="41">
        <v>-6736</v>
      </c>
      <c r="K83" s="46">
        <v>34737.629999999997</v>
      </c>
      <c r="L83" s="70">
        <v>30650</v>
      </c>
      <c r="M83" s="69" t="s">
        <v>362</v>
      </c>
      <c r="N83" s="68" t="s">
        <v>355</v>
      </c>
      <c r="O83" s="67">
        <v>-0.33</v>
      </c>
      <c r="P83" s="41">
        <v>27534265</v>
      </c>
      <c r="Q83" s="42">
        <v>11.77</v>
      </c>
      <c r="R83" s="41">
        <v>673600</v>
      </c>
      <c r="S83" s="41">
        <v>939435</v>
      </c>
      <c r="T83" s="40" t="s">
        <v>269</v>
      </c>
      <c r="U83" s="39" t="s">
        <v>343</v>
      </c>
      <c r="V83" s="38" t="s">
        <v>342</v>
      </c>
      <c r="W83" s="38" t="s">
        <v>342</v>
      </c>
    </row>
    <row r="84" spans="1:23">
      <c r="A84" s="50" t="s">
        <v>402</v>
      </c>
      <c r="B84" s="50" t="s">
        <v>399</v>
      </c>
      <c r="C84" s="49" t="s">
        <v>668</v>
      </c>
      <c r="D84" s="77" t="s">
        <v>339</v>
      </c>
      <c r="E84" s="50" t="s">
        <v>312</v>
      </c>
      <c r="F84" s="49" t="s">
        <v>313</v>
      </c>
      <c r="G84" s="52">
        <v>0.47</v>
      </c>
      <c r="H84" s="52">
        <v>0.9</v>
      </c>
      <c r="I84" s="51">
        <v>-59718086</v>
      </c>
      <c r="J84" s="51">
        <v>-470</v>
      </c>
      <c r="K84" s="56">
        <v>127059.76</v>
      </c>
      <c r="L84" s="76">
        <v>122800</v>
      </c>
      <c r="M84" s="75" t="s">
        <v>367</v>
      </c>
      <c r="N84" s="74" t="s">
        <v>371</v>
      </c>
      <c r="O84" s="73">
        <v>0.24</v>
      </c>
      <c r="P84" s="51">
        <v>2002086</v>
      </c>
      <c r="Q84" s="52">
        <v>3.35</v>
      </c>
      <c r="R84" s="51">
        <v>-141000</v>
      </c>
      <c r="S84" s="51">
        <v>239814</v>
      </c>
      <c r="T84" s="50" t="s">
        <v>269</v>
      </c>
      <c r="U84" s="49" t="s">
        <v>343</v>
      </c>
      <c r="V84" s="48" t="s">
        <v>342</v>
      </c>
      <c r="W84" s="48" t="s">
        <v>342</v>
      </c>
    </row>
    <row r="85" spans="1:23">
      <c r="A85" s="40" t="s">
        <v>400</v>
      </c>
      <c r="B85" s="40" t="s">
        <v>399</v>
      </c>
      <c r="C85" s="39" t="s">
        <v>669</v>
      </c>
      <c r="D85" s="47" t="s">
        <v>338</v>
      </c>
      <c r="E85" s="40" t="s">
        <v>322</v>
      </c>
      <c r="F85" s="39" t="s">
        <v>323</v>
      </c>
      <c r="G85" s="42">
        <v>1.5</v>
      </c>
      <c r="H85" s="42">
        <v>2.1</v>
      </c>
      <c r="I85" s="41">
        <v>190683480</v>
      </c>
      <c r="J85" s="41">
        <v>445</v>
      </c>
      <c r="K85" s="58">
        <v>428502.2</v>
      </c>
      <c r="L85" s="70">
        <v>415000</v>
      </c>
      <c r="M85" s="69" t="s">
        <v>362</v>
      </c>
      <c r="N85" s="68" t="s">
        <v>406</v>
      </c>
      <c r="O85" s="67">
        <v>-2.12</v>
      </c>
      <c r="P85" s="41">
        <v>-6008480</v>
      </c>
      <c r="Q85" s="42">
        <v>-3.15</v>
      </c>
      <c r="R85" s="41">
        <v>-4005000</v>
      </c>
      <c r="S85" s="41">
        <v>190480</v>
      </c>
      <c r="T85" s="40" t="s">
        <v>269</v>
      </c>
      <c r="U85" s="39" t="s">
        <v>343</v>
      </c>
      <c r="V85" s="38" t="s">
        <v>342</v>
      </c>
      <c r="W85" s="38" t="s">
        <v>342</v>
      </c>
    </row>
    <row r="86" spans="1:23">
      <c r="A86" s="50" t="s">
        <v>397</v>
      </c>
      <c r="B86" s="50" t="s">
        <v>399</v>
      </c>
      <c r="C86" s="49" t="s">
        <v>669</v>
      </c>
      <c r="D86" s="57" t="s">
        <v>338</v>
      </c>
      <c r="E86" s="50" t="s">
        <v>404</v>
      </c>
      <c r="F86" s="49" t="s">
        <v>403</v>
      </c>
      <c r="G86" s="52">
        <v>3.64</v>
      </c>
      <c r="H86" s="52">
        <v>5.08</v>
      </c>
      <c r="I86" s="51">
        <v>476405020</v>
      </c>
      <c r="J86" s="51">
        <v>55270</v>
      </c>
      <c r="K86" s="78">
        <v>8619.6</v>
      </c>
      <c r="L86" s="62">
        <v>8070</v>
      </c>
      <c r="M86" s="61" t="s">
        <v>362</v>
      </c>
      <c r="N86" s="60" t="s">
        <v>383</v>
      </c>
      <c r="O86" s="59">
        <v>-1.1000000000000001</v>
      </c>
      <c r="P86" s="51">
        <v>-30376120</v>
      </c>
      <c r="Q86" s="52">
        <v>-6.38</v>
      </c>
      <c r="R86" s="51">
        <v>-4974300</v>
      </c>
      <c r="S86" s="51">
        <v>306630</v>
      </c>
      <c r="T86" s="50" t="s">
        <v>269</v>
      </c>
      <c r="U86" s="49" t="s">
        <v>343</v>
      </c>
      <c r="V86" s="48" t="s">
        <v>342</v>
      </c>
      <c r="W86" s="48" t="s">
        <v>342</v>
      </c>
    </row>
    <row r="87" spans="1:23">
      <c r="A87" s="40" t="s">
        <v>396</v>
      </c>
      <c r="B87" s="40" t="s">
        <v>399</v>
      </c>
      <c r="C87" s="39" t="s">
        <v>669</v>
      </c>
      <c r="D87" s="72" t="s">
        <v>339</v>
      </c>
      <c r="E87" s="40" t="s">
        <v>308</v>
      </c>
      <c r="F87" s="39" t="s">
        <v>309</v>
      </c>
      <c r="G87" s="42">
        <v>3.38</v>
      </c>
      <c r="H87" s="42">
        <v>6.47</v>
      </c>
      <c r="I87" s="41">
        <v>-436151694</v>
      </c>
      <c r="J87" s="41">
        <v>-9930</v>
      </c>
      <c r="K87" s="46">
        <v>43922.63</v>
      </c>
      <c r="L87" s="70">
        <v>41700</v>
      </c>
      <c r="M87" s="69" t="s">
        <v>362</v>
      </c>
      <c r="N87" s="68" t="s">
        <v>401</v>
      </c>
      <c r="O87" s="67">
        <v>-0.36</v>
      </c>
      <c r="P87" s="41">
        <v>22070694</v>
      </c>
      <c r="Q87" s="42">
        <v>5.0599999999999996</v>
      </c>
      <c r="R87" s="41">
        <v>1489500</v>
      </c>
      <c r="S87" s="41">
        <v>1223484</v>
      </c>
      <c r="T87" s="40" t="s">
        <v>269</v>
      </c>
      <c r="U87" s="39" t="s">
        <v>343</v>
      </c>
      <c r="V87" s="38" t="s">
        <v>342</v>
      </c>
      <c r="W87" s="38" t="s">
        <v>342</v>
      </c>
    </row>
    <row r="88" spans="1:23">
      <c r="A88" s="50" t="s">
        <v>394</v>
      </c>
      <c r="B88" s="50" t="s">
        <v>399</v>
      </c>
      <c r="C88" s="49" t="s">
        <v>669</v>
      </c>
      <c r="D88" s="77" t="s">
        <v>339</v>
      </c>
      <c r="E88" s="50" t="s">
        <v>90</v>
      </c>
      <c r="F88" s="49" t="s">
        <v>91</v>
      </c>
      <c r="G88" s="52">
        <v>1.34</v>
      </c>
      <c r="H88" s="52">
        <v>2.58</v>
      </c>
      <c r="I88" s="51">
        <v>-180170138</v>
      </c>
      <c r="J88" s="51">
        <v>-1480</v>
      </c>
      <c r="K88" s="56">
        <v>121736.58</v>
      </c>
      <c r="L88" s="62">
        <v>111500</v>
      </c>
      <c r="M88" s="61" t="s">
        <v>362</v>
      </c>
      <c r="N88" s="60" t="s">
        <v>398</v>
      </c>
      <c r="O88" s="59">
        <v>-1.76</v>
      </c>
      <c r="P88" s="51">
        <v>15150138</v>
      </c>
      <c r="Q88" s="52">
        <v>8.41</v>
      </c>
      <c r="R88" s="51">
        <v>2960000</v>
      </c>
      <c r="S88" s="51">
        <v>476012</v>
      </c>
      <c r="T88" s="50" t="s">
        <v>269</v>
      </c>
      <c r="U88" s="49" t="s">
        <v>343</v>
      </c>
      <c r="V88" s="48" t="s">
        <v>342</v>
      </c>
      <c r="W88" s="48" t="s">
        <v>342</v>
      </c>
    </row>
    <row r="89" spans="1:23">
      <c r="A89" s="40" t="s">
        <v>390</v>
      </c>
      <c r="B89" s="40" t="s">
        <v>378</v>
      </c>
      <c r="C89" s="39" t="s">
        <v>255</v>
      </c>
      <c r="D89" s="47" t="s">
        <v>338</v>
      </c>
      <c r="E89" s="40" t="s">
        <v>298</v>
      </c>
      <c r="F89" s="39" t="s">
        <v>299</v>
      </c>
      <c r="G89" s="42">
        <v>1.03</v>
      </c>
      <c r="H89" s="42">
        <v>13.37</v>
      </c>
      <c r="I89" s="41">
        <v>127152180</v>
      </c>
      <c r="J89" s="41">
        <v>3634</v>
      </c>
      <c r="K89" s="46">
        <v>34989.589999999997</v>
      </c>
      <c r="L89" s="66">
        <v>34950</v>
      </c>
      <c r="M89" s="65" t="s">
        <v>367</v>
      </c>
      <c r="N89" s="64" t="s">
        <v>395</v>
      </c>
      <c r="O89" s="63">
        <v>1.1599999999999999</v>
      </c>
      <c r="P89" s="41">
        <v>-143880</v>
      </c>
      <c r="Q89" s="42">
        <v>-0.11</v>
      </c>
      <c r="R89" s="41">
        <v>1453600</v>
      </c>
      <c r="S89" s="41">
        <v>97980</v>
      </c>
      <c r="T89" s="40" t="s">
        <v>269</v>
      </c>
      <c r="U89" s="39" t="s">
        <v>343</v>
      </c>
      <c r="V89" s="38" t="s">
        <v>342</v>
      </c>
      <c r="W89" s="38" t="s">
        <v>342</v>
      </c>
    </row>
    <row r="90" spans="1:23">
      <c r="A90" s="50" t="s">
        <v>388</v>
      </c>
      <c r="B90" s="50" t="s">
        <v>378</v>
      </c>
      <c r="C90" s="49" t="s">
        <v>255</v>
      </c>
      <c r="D90" s="57" t="s">
        <v>338</v>
      </c>
      <c r="E90" s="50" t="s">
        <v>50</v>
      </c>
      <c r="F90" s="49" t="s">
        <v>51</v>
      </c>
      <c r="G90" s="52">
        <v>1.01</v>
      </c>
      <c r="H90" s="52">
        <v>13.14</v>
      </c>
      <c r="I90" s="51">
        <v>142072079</v>
      </c>
      <c r="J90" s="51">
        <v>6420</v>
      </c>
      <c r="K90" s="56">
        <v>22129.61</v>
      </c>
      <c r="L90" s="76">
        <v>19450</v>
      </c>
      <c r="M90" s="75" t="s">
        <v>367</v>
      </c>
      <c r="N90" s="74" t="s">
        <v>395</v>
      </c>
      <c r="O90" s="73">
        <v>2.1</v>
      </c>
      <c r="P90" s="51">
        <v>-17203079</v>
      </c>
      <c r="Q90" s="52">
        <v>-12.11</v>
      </c>
      <c r="R90" s="51">
        <v>2568000</v>
      </c>
      <c r="S90" s="51">
        <v>259680</v>
      </c>
      <c r="T90" s="50" t="s">
        <v>269</v>
      </c>
      <c r="U90" s="49" t="s">
        <v>343</v>
      </c>
      <c r="V90" s="48" t="s">
        <v>342</v>
      </c>
      <c r="W90" s="48" t="s">
        <v>342</v>
      </c>
    </row>
    <row r="91" spans="1:23">
      <c r="A91" s="40" t="s">
        <v>387</v>
      </c>
      <c r="B91" s="40" t="s">
        <v>378</v>
      </c>
      <c r="C91" s="39" t="s">
        <v>255</v>
      </c>
      <c r="D91" s="47" t="s">
        <v>338</v>
      </c>
      <c r="E91" s="40" t="s">
        <v>393</v>
      </c>
      <c r="F91" s="39" t="s">
        <v>392</v>
      </c>
      <c r="G91" s="42">
        <v>0.96</v>
      </c>
      <c r="H91" s="42">
        <v>12.48</v>
      </c>
      <c r="I91" s="41">
        <v>123740070</v>
      </c>
      <c r="J91" s="41">
        <v>1918</v>
      </c>
      <c r="K91" s="46">
        <v>64515.16</v>
      </c>
      <c r="L91" s="66">
        <v>61800</v>
      </c>
      <c r="M91" s="65" t="s">
        <v>367</v>
      </c>
      <c r="N91" s="64" t="s">
        <v>391</v>
      </c>
      <c r="O91" s="63">
        <v>1.31</v>
      </c>
      <c r="P91" s="41">
        <v>-5207670</v>
      </c>
      <c r="Q91" s="42">
        <v>-4.21</v>
      </c>
      <c r="R91" s="41">
        <v>1534400</v>
      </c>
      <c r="S91" s="41">
        <v>119870</v>
      </c>
      <c r="T91" s="40" t="s">
        <v>269</v>
      </c>
      <c r="U91" s="39" t="s">
        <v>343</v>
      </c>
      <c r="V91" s="38" t="s">
        <v>342</v>
      </c>
      <c r="W91" s="38" t="s">
        <v>342</v>
      </c>
    </row>
    <row r="92" spans="1:23">
      <c r="A92" s="50" t="s">
        <v>383</v>
      </c>
      <c r="B92" s="50" t="s">
        <v>378</v>
      </c>
      <c r="C92" s="49" t="s">
        <v>255</v>
      </c>
      <c r="D92" s="57" t="s">
        <v>338</v>
      </c>
      <c r="E92" s="50" t="s">
        <v>305</v>
      </c>
      <c r="F92" s="49" t="s">
        <v>306</v>
      </c>
      <c r="G92" s="52">
        <v>0.6</v>
      </c>
      <c r="H92" s="52">
        <v>7.82</v>
      </c>
      <c r="I92" s="51">
        <v>64907900</v>
      </c>
      <c r="J92" s="51">
        <v>287</v>
      </c>
      <c r="K92" s="56">
        <v>226159.93</v>
      </c>
      <c r="L92" s="62">
        <v>259000</v>
      </c>
      <c r="M92" s="61" t="s">
        <v>362</v>
      </c>
      <c r="N92" s="60" t="s">
        <v>389</v>
      </c>
      <c r="O92" s="59">
        <v>-1.33</v>
      </c>
      <c r="P92" s="51">
        <v>9425100</v>
      </c>
      <c r="Q92" s="52">
        <v>14.52</v>
      </c>
      <c r="R92" s="51">
        <v>-1004500</v>
      </c>
      <c r="S92" s="51">
        <v>45400</v>
      </c>
      <c r="T92" s="50" t="s">
        <v>269</v>
      </c>
      <c r="U92" s="49" t="s">
        <v>343</v>
      </c>
      <c r="V92" s="48" t="s">
        <v>342</v>
      </c>
      <c r="W92" s="48" t="s">
        <v>342</v>
      </c>
    </row>
    <row r="93" spans="1:23">
      <c r="A93" s="40" t="s">
        <v>381</v>
      </c>
      <c r="B93" s="40" t="s">
        <v>378</v>
      </c>
      <c r="C93" s="39" t="s">
        <v>254</v>
      </c>
      <c r="D93" s="47" t="s">
        <v>338</v>
      </c>
      <c r="E93" s="40" t="s">
        <v>282</v>
      </c>
      <c r="F93" s="39" t="s">
        <v>283</v>
      </c>
      <c r="G93" s="42">
        <v>0.97</v>
      </c>
      <c r="H93" s="42">
        <v>12.62</v>
      </c>
      <c r="I93" s="41">
        <v>130668748</v>
      </c>
      <c r="J93" s="41">
        <v>6851</v>
      </c>
      <c r="K93" s="46">
        <v>19072.95</v>
      </c>
      <c r="L93" s="66">
        <v>17500</v>
      </c>
      <c r="M93" s="65" t="s">
        <v>367</v>
      </c>
      <c r="N93" s="64" t="s">
        <v>371</v>
      </c>
      <c r="O93" s="63">
        <v>1.74</v>
      </c>
      <c r="P93" s="41">
        <v>-10776248</v>
      </c>
      <c r="Q93" s="42">
        <v>-8.25</v>
      </c>
      <c r="R93" s="41">
        <v>2055300</v>
      </c>
      <c r="S93" s="41">
        <v>480202</v>
      </c>
      <c r="T93" s="40" t="s">
        <v>269</v>
      </c>
      <c r="U93" s="39" t="s">
        <v>343</v>
      </c>
      <c r="V93" s="38" t="s">
        <v>342</v>
      </c>
      <c r="W93" s="38" t="s">
        <v>342</v>
      </c>
    </row>
    <row r="94" spans="1:23">
      <c r="A94" s="50" t="s">
        <v>379</v>
      </c>
      <c r="B94" s="50" t="s">
        <v>378</v>
      </c>
      <c r="C94" s="49" t="s">
        <v>254</v>
      </c>
      <c r="D94" s="57" t="s">
        <v>338</v>
      </c>
      <c r="E94" s="50" t="s">
        <v>386</v>
      </c>
      <c r="F94" s="49" t="s">
        <v>385</v>
      </c>
      <c r="G94" s="52">
        <v>0.49</v>
      </c>
      <c r="H94" s="52">
        <v>6.4</v>
      </c>
      <c r="I94" s="51">
        <v>61425000</v>
      </c>
      <c r="J94" s="51">
        <v>378</v>
      </c>
      <c r="K94" s="51">
        <v>162500</v>
      </c>
      <c r="L94" s="62">
        <v>161000</v>
      </c>
      <c r="M94" s="61" t="s">
        <v>362</v>
      </c>
      <c r="N94" s="60" t="s">
        <v>384</v>
      </c>
      <c r="O94" s="59">
        <v>-0.62</v>
      </c>
      <c r="P94" s="51">
        <v>-567000</v>
      </c>
      <c r="Q94" s="52">
        <v>-0.92</v>
      </c>
      <c r="R94" s="51">
        <v>-567000</v>
      </c>
      <c r="S94" s="51">
        <v>0</v>
      </c>
      <c r="T94" s="50" t="s">
        <v>269</v>
      </c>
      <c r="U94" s="49" t="s">
        <v>343</v>
      </c>
      <c r="V94" s="48" t="s">
        <v>342</v>
      </c>
      <c r="W94" s="48" t="s">
        <v>342</v>
      </c>
    </row>
    <row r="95" spans="1:23">
      <c r="A95" s="40" t="s">
        <v>374</v>
      </c>
      <c r="B95" s="40" t="s">
        <v>378</v>
      </c>
      <c r="C95" s="39" t="s">
        <v>254</v>
      </c>
      <c r="D95" s="47" t="s">
        <v>338</v>
      </c>
      <c r="E95" s="40" t="s">
        <v>202</v>
      </c>
      <c r="F95" s="39" t="s">
        <v>203</v>
      </c>
      <c r="G95" s="42">
        <v>1.62</v>
      </c>
      <c r="H95" s="42">
        <v>20.95</v>
      </c>
      <c r="I95" s="41">
        <v>174918720</v>
      </c>
      <c r="J95" s="41">
        <v>1331</v>
      </c>
      <c r="K95" s="46">
        <v>131419.01999999999</v>
      </c>
      <c r="L95" s="70">
        <v>149500</v>
      </c>
      <c r="M95" s="69" t="s">
        <v>362</v>
      </c>
      <c r="N95" s="68" t="s">
        <v>382</v>
      </c>
      <c r="O95" s="67">
        <v>-0.99</v>
      </c>
      <c r="P95" s="41">
        <v>24065780</v>
      </c>
      <c r="Q95" s="42">
        <v>13.76</v>
      </c>
      <c r="R95" s="41">
        <v>-1996500</v>
      </c>
      <c r="S95" s="41">
        <v>265128</v>
      </c>
      <c r="T95" s="40" t="s">
        <v>269</v>
      </c>
      <c r="U95" s="39" t="s">
        <v>343</v>
      </c>
      <c r="V95" s="38" t="s">
        <v>342</v>
      </c>
      <c r="W95" s="38" t="s">
        <v>342</v>
      </c>
    </row>
    <row r="96" spans="1:23">
      <c r="A96" s="50" t="s">
        <v>372</v>
      </c>
      <c r="B96" s="50" t="s">
        <v>378</v>
      </c>
      <c r="C96" s="49" t="s">
        <v>197</v>
      </c>
      <c r="D96" s="77" t="s">
        <v>339</v>
      </c>
      <c r="E96" s="50" t="s">
        <v>270</v>
      </c>
      <c r="F96" s="49" t="s">
        <v>271</v>
      </c>
      <c r="G96" s="52">
        <v>15.71</v>
      </c>
      <c r="H96" s="52">
        <v>100</v>
      </c>
      <c r="I96" s="51">
        <v>-1852456343</v>
      </c>
      <c r="J96" s="51">
        <v>-15</v>
      </c>
      <c r="K96" s="56">
        <v>246.99</v>
      </c>
      <c r="L96" s="90">
        <v>256.7</v>
      </c>
      <c r="M96" s="61" t="s">
        <v>362</v>
      </c>
      <c r="N96" s="60" t="s">
        <v>380</v>
      </c>
      <c r="O96" s="59">
        <v>0.27</v>
      </c>
      <c r="P96" s="51">
        <v>-72793657</v>
      </c>
      <c r="Q96" s="52">
        <v>-3.93</v>
      </c>
      <c r="R96" s="51">
        <v>5250000</v>
      </c>
      <c r="S96" s="51">
        <v>611210</v>
      </c>
      <c r="T96" s="50" t="s">
        <v>269</v>
      </c>
      <c r="U96" s="49" t="s">
        <v>343</v>
      </c>
      <c r="V96" s="48" t="s">
        <v>342</v>
      </c>
      <c r="W96" s="48" t="s">
        <v>342</v>
      </c>
    </row>
    <row r="97" spans="1:23">
      <c r="A97" s="40" t="s">
        <v>370</v>
      </c>
      <c r="B97" s="40" t="s">
        <v>378</v>
      </c>
      <c r="C97" s="39" t="s">
        <v>260</v>
      </c>
      <c r="D97" s="47" t="s">
        <v>338</v>
      </c>
      <c r="E97" s="40" t="s">
        <v>377</v>
      </c>
      <c r="F97" s="39" t="s">
        <v>376</v>
      </c>
      <c r="G97" s="42">
        <v>1.02</v>
      </c>
      <c r="H97" s="42">
        <v>13.18</v>
      </c>
      <c r="I97" s="41">
        <v>133537185</v>
      </c>
      <c r="J97" s="41">
        <v>20124</v>
      </c>
      <c r="K97" s="46">
        <v>6635.72</v>
      </c>
      <c r="L97" s="70">
        <v>6220</v>
      </c>
      <c r="M97" s="69" t="s">
        <v>362</v>
      </c>
      <c r="N97" s="68" t="s">
        <v>375</v>
      </c>
      <c r="O97" s="67">
        <v>-1.1100000000000001</v>
      </c>
      <c r="P97" s="41">
        <v>-8365905</v>
      </c>
      <c r="Q97" s="42">
        <v>-6.26</v>
      </c>
      <c r="R97" s="41">
        <v>-1408680</v>
      </c>
      <c r="S97" s="41">
        <v>94980</v>
      </c>
      <c r="T97" s="40" t="s">
        <v>269</v>
      </c>
      <c r="U97" s="39" t="s">
        <v>343</v>
      </c>
      <c r="V97" s="38" t="s">
        <v>342</v>
      </c>
      <c r="W97" s="38" t="s">
        <v>342</v>
      </c>
    </row>
    <row r="98" spans="1:23">
      <c r="A98" s="50" t="s">
        <v>365</v>
      </c>
      <c r="B98" s="50" t="s">
        <v>349</v>
      </c>
      <c r="C98" s="49" t="s">
        <v>251</v>
      </c>
      <c r="D98" s="57" t="s">
        <v>338</v>
      </c>
      <c r="E98" s="50" t="s">
        <v>295</v>
      </c>
      <c r="F98" s="49" t="s">
        <v>307</v>
      </c>
      <c r="G98" s="52">
        <v>0.02</v>
      </c>
      <c r="H98" s="52">
        <v>0.12</v>
      </c>
      <c r="I98" s="51">
        <v>2919410</v>
      </c>
      <c r="J98" s="51">
        <v>1321</v>
      </c>
      <c r="K98" s="51">
        <v>2210</v>
      </c>
      <c r="L98" s="62">
        <v>2335</v>
      </c>
      <c r="M98" s="61" t="s">
        <v>362</v>
      </c>
      <c r="N98" s="60" t="s">
        <v>373</v>
      </c>
      <c r="O98" s="59">
        <v>-2.2999999999999998</v>
      </c>
      <c r="P98" s="51">
        <v>165125</v>
      </c>
      <c r="Q98" s="52">
        <v>5.66</v>
      </c>
      <c r="R98" s="51">
        <v>-72655</v>
      </c>
      <c r="S98" s="51">
        <v>0</v>
      </c>
      <c r="T98" s="50" t="s">
        <v>269</v>
      </c>
      <c r="U98" s="49" t="s">
        <v>343</v>
      </c>
      <c r="V98" s="48" t="s">
        <v>342</v>
      </c>
      <c r="W98" s="48" t="s">
        <v>342</v>
      </c>
    </row>
    <row r="99" spans="1:23">
      <c r="A99" s="40" t="s">
        <v>360</v>
      </c>
      <c r="B99" s="40" t="s">
        <v>349</v>
      </c>
      <c r="C99" s="39" t="s">
        <v>251</v>
      </c>
      <c r="D99" s="47" t="s">
        <v>338</v>
      </c>
      <c r="E99" s="40" t="s">
        <v>278</v>
      </c>
      <c r="F99" s="39" t="s">
        <v>279</v>
      </c>
      <c r="G99" s="42">
        <v>0.18</v>
      </c>
      <c r="H99" s="42">
        <v>0.94</v>
      </c>
      <c r="I99" s="41">
        <v>12557000</v>
      </c>
      <c r="J99" s="41">
        <v>433</v>
      </c>
      <c r="K99" s="41">
        <v>29000</v>
      </c>
      <c r="L99" s="70">
        <v>53500</v>
      </c>
      <c r="M99" s="69" t="s">
        <v>362</v>
      </c>
      <c r="N99" s="68" t="s">
        <v>371</v>
      </c>
      <c r="O99" s="67">
        <v>-0.56000000000000005</v>
      </c>
      <c r="P99" s="41">
        <v>10608500</v>
      </c>
      <c r="Q99" s="42">
        <v>84.48</v>
      </c>
      <c r="R99" s="41">
        <v>-129900</v>
      </c>
      <c r="S99" s="41">
        <v>0</v>
      </c>
      <c r="T99" s="40" t="s">
        <v>269</v>
      </c>
      <c r="U99" s="39" t="s">
        <v>343</v>
      </c>
      <c r="V99" s="38" t="s">
        <v>342</v>
      </c>
      <c r="W99" s="38" t="s">
        <v>342</v>
      </c>
    </row>
    <row r="100" spans="1:23">
      <c r="A100" s="50" t="s">
        <v>359</v>
      </c>
      <c r="B100" s="50" t="s">
        <v>349</v>
      </c>
      <c r="C100" s="49" t="s">
        <v>672</v>
      </c>
      <c r="D100" s="57" t="s">
        <v>338</v>
      </c>
      <c r="E100" s="50" t="s">
        <v>369</v>
      </c>
      <c r="F100" s="49" t="s">
        <v>368</v>
      </c>
      <c r="G100" s="52">
        <v>2.83</v>
      </c>
      <c r="H100" s="52">
        <v>14.21</v>
      </c>
      <c r="I100" s="51">
        <v>124633673</v>
      </c>
      <c r="J100" s="51">
        <v>251463</v>
      </c>
      <c r="K100" s="56">
        <v>495.63</v>
      </c>
      <c r="L100" s="76">
        <v>1380</v>
      </c>
      <c r="M100" s="75" t="s">
        <v>367</v>
      </c>
      <c r="N100" s="74" t="s">
        <v>366</v>
      </c>
      <c r="O100" s="73">
        <v>0.73</v>
      </c>
      <c r="P100" s="51">
        <v>222385267</v>
      </c>
      <c r="Q100" s="52">
        <v>178.43</v>
      </c>
      <c r="R100" s="51">
        <v>2514630</v>
      </c>
      <c r="S100" s="51">
        <v>0</v>
      </c>
      <c r="T100" s="50" t="s">
        <v>269</v>
      </c>
      <c r="U100" s="49" t="s">
        <v>343</v>
      </c>
      <c r="V100" s="48" t="s">
        <v>342</v>
      </c>
      <c r="W100" s="48" t="s">
        <v>342</v>
      </c>
    </row>
    <row r="101" spans="1:23">
      <c r="A101" s="40" t="s">
        <v>358</v>
      </c>
      <c r="B101" s="40" t="s">
        <v>349</v>
      </c>
      <c r="C101" s="39" t="s">
        <v>672</v>
      </c>
      <c r="D101" s="47" t="s">
        <v>338</v>
      </c>
      <c r="E101" s="40" t="s">
        <v>364</v>
      </c>
      <c r="F101" s="39" t="s">
        <v>363</v>
      </c>
      <c r="G101" s="42">
        <v>0.05</v>
      </c>
      <c r="H101" s="42">
        <v>0.28999999999999998</v>
      </c>
      <c r="I101" s="41">
        <v>10518662</v>
      </c>
      <c r="J101" s="41">
        <v>9813</v>
      </c>
      <c r="K101" s="46">
        <v>1071.9100000000001</v>
      </c>
      <c r="L101" s="70">
        <v>722</v>
      </c>
      <c r="M101" s="69" t="s">
        <v>362</v>
      </c>
      <c r="N101" s="68" t="s">
        <v>361</v>
      </c>
      <c r="O101" s="67">
        <v>5.62</v>
      </c>
      <c r="P101" s="41">
        <v>-3433676</v>
      </c>
      <c r="Q101" s="42">
        <v>-32.64</v>
      </c>
      <c r="R101" s="41">
        <v>-421959</v>
      </c>
      <c r="S101" s="41">
        <v>0</v>
      </c>
      <c r="T101" s="40" t="s">
        <v>269</v>
      </c>
      <c r="U101" s="39" t="s">
        <v>343</v>
      </c>
      <c r="V101" s="38" t="s">
        <v>342</v>
      </c>
      <c r="W101" s="38" t="s">
        <v>342</v>
      </c>
    </row>
    <row r="102" spans="1:23">
      <c r="A102" s="50" t="s">
        <v>355</v>
      </c>
      <c r="B102" s="50" t="s">
        <v>349</v>
      </c>
      <c r="C102" s="49" t="s">
        <v>672</v>
      </c>
      <c r="D102" s="57" t="s">
        <v>338</v>
      </c>
      <c r="E102" s="50" t="s">
        <v>267</v>
      </c>
      <c r="F102" s="49" t="s">
        <v>268</v>
      </c>
      <c r="G102" s="52">
        <v>4.46</v>
      </c>
      <c r="H102" s="52">
        <v>22.42</v>
      </c>
      <c r="I102" s="51">
        <v>602324327</v>
      </c>
      <c r="J102" s="51">
        <v>600000000</v>
      </c>
      <c r="K102" s="56">
        <v>10038.74</v>
      </c>
      <c r="L102" s="56">
        <v>9119.15</v>
      </c>
      <c r="M102" s="55" t="s">
        <v>269</v>
      </c>
      <c r="N102" s="54" t="s">
        <v>342</v>
      </c>
      <c r="O102" s="53">
        <v>0</v>
      </c>
      <c r="P102" s="51">
        <v>-55175327</v>
      </c>
      <c r="Q102" s="52">
        <v>-9.16</v>
      </c>
      <c r="R102" s="51">
        <v>0</v>
      </c>
      <c r="S102" s="51">
        <v>0</v>
      </c>
      <c r="T102" s="50" t="s">
        <v>269</v>
      </c>
      <c r="U102" s="49" t="s">
        <v>343</v>
      </c>
      <c r="V102" s="48" t="s">
        <v>342</v>
      </c>
      <c r="W102" s="48" t="s">
        <v>342</v>
      </c>
    </row>
    <row r="103" spans="1:23">
      <c r="A103" s="40" t="s">
        <v>352</v>
      </c>
      <c r="B103" s="40" t="s">
        <v>349</v>
      </c>
      <c r="C103" s="39" t="s">
        <v>672</v>
      </c>
      <c r="D103" s="47" t="s">
        <v>338</v>
      </c>
      <c r="E103" s="40" t="s">
        <v>580</v>
      </c>
      <c r="F103" s="39" t="s">
        <v>579</v>
      </c>
      <c r="G103" s="42">
        <v>2.14</v>
      </c>
      <c r="H103" s="42">
        <v>10.78</v>
      </c>
      <c r="I103" s="41">
        <v>240111294</v>
      </c>
      <c r="J103" s="41">
        <v>265000000</v>
      </c>
      <c r="K103" s="58">
        <v>9060.7999999999993</v>
      </c>
      <c r="L103" s="46">
        <v>9929.8700000000008</v>
      </c>
      <c r="M103" s="45" t="s">
        <v>269</v>
      </c>
      <c r="N103" s="44" t="s">
        <v>342</v>
      </c>
      <c r="O103" s="43">
        <v>0</v>
      </c>
      <c r="P103" s="41">
        <v>23030261</v>
      </c>
      <c r="Q103" s="42">
        <v>9.59</v>
      </c>
      <c r="R103" s="41">
        <v>0</v>
      </c>
      <c r="S103" s="41">
        <v>0</v>
      </c>
      <c r="T103" s="40" t="s">
        <v>269</v>
      </c>
      <c r="U103" s="39" t="s">
        <v>343</v>
      </c>
      <c r="V103" s="38" t="s">
        <v>342</v>
      </c>
      <c r="W103" s="38" t="s">
        <v>342</v>
      </c>
    </row>
    <row r="104" spans="1:23">
      <c r="A104" s="50" t="s">
        <v>350</v>
      </c>
      <c r="B104" s="50" t="s">
        <v>349</v>
      </c>
      <c r="C104" s="49" t="s">
        <v>672</v>
      </c>
      <c r="D104" s="57" t="s">
        <v>338</v>
      </c>
      <c r="E104" s="50" t="s">
        <v>354</v>
      </c>
      <c r="F104" s="49" t="s">
        <v>353</v>
      </c>
      <c r="G104" s="52">
        <v>0.33</v>
      </c>
      <c r="H104" s="52">
        <v>1.7</v>
      </c>
      <c r="I104" s="51">
        <v>42655750</v>
      </c>
      <c r="J104" s="51">
        <v>44650000</v>
      </c>
      <c r="K104" s="56">
        <v>9553.36</v>
      </c>
      <c r="L104" s="56">
        <v>9292.81</v>
      </c>
      <c r="M104" s="55" t="s">
        <v>269</v>
      </c>
      <c r="N104" s="54" t="s">
        <v>342</v>
      </c>
      <c r="O104" s="53">
        <v>0</v>
      </c>
      <c r="P104" s="51">
        <v>-1163354</v>
      </c>
      <c r="Q104" s="52">
        <v>-2.73</v>
      </c>
      <c r="R104" s="51">
        <v>1</v>
      </c>
      <c r="S104" s="51">
        <v>0</v>
      </c>
      <c r="T104" s="50" t="s">
        <v>269</v>
      </c>
      <c r="U104" s="49" t="s">
        <v>343</v>
      </c>
      <c r="V104" s="48" t="s">
        <v>342</v>
      </c>
      <c r="W104" s="48" t="s">
        <v>342</v>
      </c>
    </row>
    <row r="105" spans="1:23">
      <c r="A105" s="40" t="s">
        <v>346</v>
      </c>
      <c r="B105" s="40" t="s">
        <v>349</v>
      </c>
      <c r="C105" s="39" t="s">
        <v>672</v>
      </c>
      <c r="D105" s="47" t="s">
        <v>338</v>
      </c>
      <c r="E105" s="40" t="s">
        <v>578</v>
      </c>
      <c r="F105" s="39" t="s">
        <v>577</v>
      </c>
      <c r="G105" s="42">
        <v>0.8</v>
      </c>
      <c r="H105" s="42">
        <v>4.04</v>
      </c>
      <c r="I105" s="41">
        <v>100078804</v>
      </c>
      <c r="J105" s="41">
        <v>100000000</v>
      </c>
      <c r="K105" s="46">
        <v>10007.879999999999</v>
      </c>
      <c r="L105" s="58">
        <v>9883.2999999999993</v>
      </c>
      <c r="M105" s="45" t="s">
        <v>269</v>
      </c>
      <c r="N105" s="44" t="s">
        <v>342</v>
      </c>
      <c r="O105" s="43">
        <v>0</v>
      </c>
      <c r="P105" s="41">
        <v>-1245804</v>
      </c>
      <c r="Q105" s="42">
        <v>-1.24</v>
      </c>
      <c r="R105" s="41">
        <v>0</v>
      </c>
      <c r="S105" s="41">
        <v>0</v>
      </c>
      <c r="T105" s="40" t="s">
        <v>269</v>
      </c>
      <c r="U105" s="39" t="s">
        <v>343</v>
      </c>
      <c r="V105" s="38" t="s">
        <v>342</v>
      </c>
      <c r="W105" s="38" t="s">
        <v>342</v>
      </c>
    </row>
    <row r="106" spans="1:23">
      <c r="A106" s="50" t="s">
        <v>595</v>
      </c>
      <c r="B106" s="50" t="s">
        <v>349</v>
      </c>
      <c r="C106" s="49" t="s">
        <v>672</v>
      </c>
      <c r="D106" s="57" t="s">
        <v>338</v>
      </c>
      <c r="E106" s="50" t="s">
        <v>348</v>
      </c>
      <c r="F106" s="49" t="s">
        <v>347</v>
      </c>
      <c r="G106" s="52">
        <v>3.11</v>
      </c>
      <c r="H106" s="52">
        <v>15.63</v>
      </c>
      <c r="I106" s="51">
        <v>400777270</v>
      </c>
      <c r="J106" s="51">
        <v>400000000</v>
      </c>
      <c r="K106" s="56">
        <v>10019.43</v>
      </c>
      <c r="L106" s="56">
        <v>9538.92</v>
      </c>
      <c r="M106" s="55" t="s">
        <v>269</v>
      </c>
      <c r="N106" s="54" t="s">
        <v>342</v>
      </c>
      <c r="O106" s="53">
        <v>0</v>
      </c>
      <c r="P106" s="51">
        <v>-19220470</v>
      </c>
      <c r="Q106" s="52">
        <v>-4.8</v>
      </c>
      <c r="R106" s="51">
        <v>0</v>
      </c>
      <c r="S106" s="51">
        <v>0</v>
      </c>
      <c r="T106" s="50" t="s">
        <v>269</v>
      </c>
      <c r="U106" s="49" t="s">
        <v>343</v>
      </c>
      <c r="V106" s="48" t="s">
        <v>342</v>
      </c>
      <c r="W106" s="48" t="s">
        <v>342</v>
      </c>
    </row>
    <row r="107" spans="1:23">
      <c r="A107" s="40" t="s">
        <v>594</v>
      </c>
      <c r="B107" s="40" t="s">
        <v>349</v>
      </c>
      <c r="C107" s="39" t="s">
        <v>672</v>
      </c>
      <c r="D107" s="47" t="s">
        <v>338</v>
      </c>
      <c r="E107" s="40" t="s">
        <v>593</v>
      </c>
      <c r="F107" s="39" t="s">
        <v>592</v>
      </c>
      <c r="G107" s="42">
        <v>5.94</v>
      </c>
      <c r="H107" s="42">
        <v>29.82</v>
      </c>
      <c r="I107" s="41">
        <v>710987239</v>
      </c>
      <c r="J107" s="41">
        <v>808478000</v>
      </c>
      <c r="K107" s="46">
        <v>8794.14</v>
      </c>
      <c r="L107" s="46">
        <v>9002.5300000000007</v>
      </c>
      <c r="M107" s="45" t="s">
        <v>269</v>
      </c>
      <c r="N107" s="44" t="s">
        <v>342</v>
      </c>
      <c r="O107" s="43">
        <v>0</v>
      </c>
      <c r="P107" s="41">
        <v>16847505</v>
      </c>
      <c r="Q107" s="42">
        <v>2.37</v>
      </c>
      <c r="R107" s="41">
        <v>1</v>
      </c>
      <c r="S107" s="41">
        <v>0</v>
      </c>
      <c r="T107" s="40" t="s">
        <v>269</v>
      </c>
      <c r="U107" s="39" t="s">
        <v>343</v>
      </c>
      <c r="V107" s="38" t="s">
        <v>342</v>
      </c>
      <c r="W107" s="38" t="s">
        <v>342</v>
      </c>
    </row>
    <row r="108" spans="1:23">
      <c r="A108" s="50" t="s">
        <v>591</v>
      </c>
      <c r="B108" s="50" t="s">
        <v>586</v>
      </c>
      <c r="C108" s="49" t="s">
        <v>590</v>
      </c>
      <c r="D108" s="57" t="s">
        <v>338</v>
      </c>
      <c r="E108" s="50" t="s">
        <v>589</v>
      </c>
      <c r="F108" s="49" t="s">
        <v>588</v>
      </c>
      <c r="G108" s="52">
        <v>0</v>
      </c>
      <c r="H108" s="52">
        <v>76.760000000000005</v>
      </c>
      <c r="I108" s="51">
        <v>24355</v>
      </c>
      <c r="J108" s="51">
        <v>1</v>
      </c>
      <c r="K108" s="51">
        <v>24355</v>
      </c>
      <c r="L108" s="62">
        <v>25610</v>
      </c>
      <c r="M108" s="61" t="s">
        <v>362</v>
      </c>
      <c r="N108" s="60" t="s">
        <v>440</v>
      </c>
      <c r="O108" s="59">
        <v>-0.23</v>
      </c>
      <c r="P108" s="51">
        <v>1255</v>
      </c>
      <c r="Q108" s="52">
        <v>5.15</v>
      </c>
      <c r="R108" s="51">
        <v>-60</v>
      </c>
      <c r="S108" s="51">
        <v>10</v>
      </c>
      <c r="T108" s="50" t="s">
        <v>269</v>
      </c>
      <c r="U108" s="49" t="s">
        <v>343</v>
      </c>
      <c r="V108" s="48" t="s">
        <v>342</v>
      </c>
      <c r="W108" s="48" t="s">
        <v>342</v>
      </c>
    </row>
    <row r="109" spans="1:23">
      <c r="A109" s="40" t="s">
        <v>587</v>
      </c>
      <c r="B109" s="40" t="s">
        <v>586</v>
      </c>
      <c r="C109" s="39" t="s">
        <v>585</v>
      </c>
      <c r="D109" s="47" t="s">
        <v>338</v>
      </c>
      <c r="E109" s="40" t="s">
        <v>584</v>
      </c>
      <c r="F109" s="39" t="s">
        <v>583</v>
      </c>
      <c r="G109" s="42">
        <v>0</v>
      </c>
      <c r="H109" s="42">
        <v>23.23</v>
      </c>
      <c r="I109" s="41">
        <v>8160</v>
      </c>
      <c r="J109" s="41">
        <v>1</v>
      </c>
      <c r="K109" s="41">
        <v>8160</v>
      </c>
      <c r="L109" s="66">
        <v>7750</v>
      </c>
      <c r="M109" s="65" t="s">
        <v>367</v>
      </c>
      <c r="N109" s="64" t="s">
        <v>527</v>
      </c>
      <c r="O109" s="63">
        <v>0.26</v>
      </c>
      <c r="P109" s="41">
        <v>-410</v>
      </c>
      <c r="Q109" s="42">
        <v>-5.0199999999999996</v>
      </c>
      <c r="R109" s="41">
        <v>20</v>
      </c>
      <c r="S109" s="41">
        <v>5</v>
      </c>
      <c r="T109" s="40" t="s">
        <v>269</v>
      </c>
      <c r="U109" s="39" t="s">
        <v>343</v>
      </c>
      <c r="V109" s="38" t="s">
        <v>342</v>
      </c>
      <c r="W109" s="38" t="s">
        <v>342</v>
      </c>
    </row>
    <row r="110" spans="1:23">
      <c r="A110" s="50" t="s">
        <v>582</v>
      </c>
      <c r="B110" s="50" t="s">
        <v>345</v>
      </c>
      <c r="C110" s="49" t="s">
        <v>318</v>
      </c>
      <c r="D110" s="57" t="s">
        <v>338</v>
      </c>
      <c r="E110" s="50" t="s">
        <v>319</v>
      </c>
      <c r="F110" s="49" t="s">
        <v>344</v>
      </c>
      <c r="G110" s="52">
        <v>17</v>
      </c>
      <c r="H110" s="52">
        <v>100</v>
      </c>
      <c r="I110" s="51">
        <v>2200000000</v>
      </c>
      <c r="J110" s="51">
        <v>2200000000</v>
      </c>
      <c r="K110" s="51">
        <v>10000</v>
      </c>
      <c r="L110" s="56">
        <v>9471.67</v>
      </c>
      <c r="M110" s="55" t="s">
        <v>269</v>
      </c>
      <c r="N110" s="54" t="s">
        <v>342</v>
      </c>
      <c r="O110" s="53">
        <v>0</v>
      </c>
      <c r="P110" s="51">
        <v>-116232600</v>
      </c>
      <c r="Q110" s="52">
        <v>-5.28</v>
      </c>
      <c r="R110" s="51">
        <v>0</v>
      </c>
      <c r="S110" s="51">
        <v>0</v>
      </c>
      <c r="T110" s="50" t="s">
        <v>269</v>
      </c>
      <c r="U110" s="49" t="s">
        <v>343</v>
      </c>
      <c r="V110" s="48" t="s">
        <v>342</v>
      </c>
      <c r="W110" s="48" t="s">
        <v>342</v>
      </c>
    </row>
    <row r="111" spans="1:23">
      <c r="A111" s="113" t="s">
        <v>341</v>
      </c>
      <c r="B111" s="114"/>
      <c r="C111" s="115"/>
      <c r="D111" s="35" t="s">
        <v>269</v>
      </c>
      <c r="E111" s="35" t="s">
        <v>269</v>
      </c>
      <c r="F111" s="35" t="s">
        <v>269</v>
      </c>
      <c r="G111" s="37">
        <v>184.21</v>
      </c>
      <c r="H111" s="37">
        <v>700</v>
      </c>
      <c r="I111" s="36">
        <v>5529598675</v>
      </c>
      <c r="J111" s="36">
        <v>4418673645</v>
      </c>
      <c r="K111" s="35" t="s">
        <v>269</v>
      </c>
      <c r="L111" s="35" t="s">
        <v>269</v>
      </c>
      <c r="M111" s="116" t="s">
        <v>269</v>
      </c>
      <c r="N111" s="117"/>
      <c r="O111" s="35" t="s">
        <v>269</v>
      </c>
      <c r="P111" s="36">
        <v>398035376</v>
      </c>
      <c r="Q111" s="37">
        <v>398.76</v>
      </c>
      <c r="R111" s="35" t="s">
        <v>269</v>
      </c>
      <c r="S111" s="36">
        <v>92319282</v>
      </c>
      <c r="T111" s="35" t="s">
        <v>269</v>
      </c>
      <c r="U111" s="35" t="s">
        <v>269</v>
      </c>
      <c r="V111" s="35" t="s">
        <v>269</v>
      </c>
      <c r="W111" s="35" t="s">
        <v>269</v>
      </c>
    </row>
  </sheetData>
  <mergeCells count="24">
    <mergeCell ref="J1:J2"/>
    <mergeCell ref="K1:K2"/>
    <mergeCell ref="L1:L2"/>
    <mergeCell ref="A1:A2"/>
    <mergeCell ref="B1:B2"/>
    <mergeCell ref="C1:C2"/>
    <mergeCell ref="D1:D2"/>
    <mergeCell ref="E1:E2"/>
    <mergeCell ref="T1:T2"/>
    <mergeCell ref="U1:U2"/>
    <mergeCell ref="V1:V2"/>
    <mergeCell ref="W1:W2"/>
    <mergeCell ref="A111:C111"/>
    <mergeCell ref="M111:N111"/>
    <mergeCell ref="M1:N2"/>
    <mergeCell ref="O1:O2"/>
    <mergeCell ref="P1:P2"/>
    <mergeCell ref="Q1:Q2"/>
    <mergeCell ref="F1:F2"/>
    <mergeCell ref="R1:R2"/>
    <mergeCell ref="S1:S2"/>
    <mergeCell ref="G1:G2"/>
    <mergeCell ref="H1:H2"/>
    <mergeCell ref="I1:I2"/>
  </mergeCells>
  <phoneticPr fontId="1" type="noConversion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103"/>
  <sheetViews>
    <sheetView topLeftCell="A75" workbookViewId="0">
      <selection activeCell="E98" sqref="E98"/>
    </sheetView>
  </sheetViews>
  <sheetFormatPr defaultRowHeight="16.5"/>
  <cols>
    <col min="1" max="1" width="3.75" bestFit="1" customWidth="1"/>
    <col min="2" max="2" width="7.5" bestFit="1" customWidth="1"/>
    <col min="3" max="3" width="10" bestFit="1" customWidth="1"/>
    <col min="4" max="4" width="4.125" bestFit="1" customWidth="1"/>
    <col min="5" max="5" width="11.625" bestFit="1" customWidth="1"/>
    <col min="6" max="6" width="18.75" bestFit="1" customWidth="1"/>
    <col min="7" max="7" width="10.5" bestFit="1" customWidth="1"/>
    <col min="8" max="8" width="13.875" bestFit="1" customWidth="1"/>
    <col min="9" max="10" width="13" bestFit="1" customWidth="1"/>
    <col min="11" max="11" width="10.25" bestFit="1" customWidth="1"/>
    <col min="12" max="12" width="8.25" bestFit="1" customWidth="1"/>
    <col min="13" max="13" width="2.75" bestFit="1" customWidth="1"/>
    <col min="14" max="14" width="5.75" bestFit="1" customWidth="1"/>
    <col min="15" max="15" width="6" bestFit="1" customWidth="1"/>
    <col min="16" max="16" width="10.375" bestFit="1" customWidth="1"/>
    <col min="17" max="17" width="9.75" bestFit="1" customWidth="1"/>
    <col min="18" max="18" width="11.375" bestFit="1" customWidth="1"/>
    <col min="19" max="19" width="10.5" bestFit="1" customWidth="1"/>
    <col min="20" max="20" width="4.75" bestFit="1" customWidth="1"/>
    <col min="21" max="22" width="7.5" bestFit="1" customWidth="1"/>
    <col min="23" max="23" width="4.5" bestFit="1" customWidth="1"/>
  </cols>
  <sheetData>
    <row r="1" spans="1:23">
      <c r="A1" s="111" t="s">
        <v>576</v>
      </c>
      <c r="B1" s="111" t="s">
        <v>575</v>
      </c>
      <c r="C1" s="111" t="s">
        <v>574</v>
      </c>
      <c r="D1" s="111" t="s">
        <v>573</v>
      </c>
      <c r="E1" s="111" t="s">
        <v>572</v>
      </c>
      <c r="F1" s="111" t="s">
        <v>571</v>
      </c>
      <c r="G1" s="111" t="s">
        <v>570</v>
      </c>
      <c r="H1" s="111" t="s">
        <v>569</v>
      </c>
      <c r="I1" s="111" t="s">
        <v>568</v>
      </c>
      <c r="J1" s="111" t="s">
        <v>567</v>
      </c>
      <c r="K1" s="111" t="s">
        <v>566</v>
      </c>
      <c r="L1" s="111" t="s">
        <v>565</v>
      </c>
      <c r="M1" s="118" t="s">
        <v>564</v>
      </c>
      <c r="N1" s="119"/>
      <c r="O1" s="111" t="s">
        <v>563</v>
      </c>
      <c r="P1" s="111" t="s">
        <v>562</v>
      </c>
      <c r="Q1" s="111" t="s">
        <v>561</v>
      </c>
      <c r="R1" s="111" t="s">
        <v>560</v>
      </c>
      <c r="S1" s="111" t="s">
        <v>559</v>
      </c>
      <c r="T1" s="111" t="s">
        <v>558</v>
      </c>
      <c r="U1" s="111" t="s">
        <v>557</v>
      </c>
      <c r="V1" s="111" t="s">
        <v>556</v>
      </c>
      <c r="W1" s="111" t="s">
        <v>555</v>
      </c>
    </row>
    <row r="2" spans="1:23">
      <c r="A2" s="112"/>
      <c r="B2" s="112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20"/>
      <c r="N2" s="121"/>
      <c r="O2" s="112"/>
      <c r="P2" s="112"/>
      <c r="Q2" s="112"/>
      <c r="R2" s="112"/>
      <c r="S2" s="112"/>
      <c r="T2" s="112"/>
      <c r="U2" s="112"/>
      <c r="V2" s="112"/>
      <c r="W2" s="112"/>
    </row>
    <row r="3" spans="1:23">
      <c r="A3" s="81" t="s">
        <v>554</v>
      </c>
      <c r="B3" s="81" t="s">
        <v>399</v>
      </c>
      <c r="C3" s="80" t="s">
        <v>625</v>
      </c>
      <c r="D3" s="89" t="s">
        <v>338</v>
      </c>
      <c r="E3" s="81" t="s">
        <v>0</v>
      </c>
      <c r="F3" s="80" t="s">
        <v>1</v>
      </c>
      <c r="G3" s="83">
        <v>2.52</v>
      </c>
      <c r="H3" s="83">
        <v>3.75</v>
      </c>
      <c r="I3" s="82">
        <v>131039490</v>
      </c>
      <c r="J3" s="82">
        <v>1605</v>
      </c>
      <c r="K3" s="88">
        <v>81644.539999999994</v>
      </c>
      <c r="L3" s="87">
        <v>83400</v>
      </c>
      <c r="M3" s="86" t="s">
        <v>362</v>
      </c>
      <c r="N3" s="85" t="s">
        <v>414</v>
      </c>
      <c r="O3" s="84">
        <v>-0.24</v>
      </c>
      <c r="P3" s="82">
        <v>2817510</v>
      </c>
      <c r="Q3" s="83">
        <v>2.15</v>
      </c>
      <c r="R3" s="82">
        <v>-321000</v>
      </c>
      <c r="S3" s="82">
        <v>186000</v>
      </c>
      <c r="T3" s="81" t="s">
        <v>269</v>
      </c>
      <c r="U3" s="80" t="s">
        <v>343</v>
      </c>
      <c r="V3" s="79" t="s">
        <v>342</v>
      </c>
      <c r="W3" s="79" t="s">
        <v>342</v>
      </c>
    </row>
    <row r="4" spans="1:23">
      <c r="A4" s="50" t="s">
        <v>553</v>
      </c>
      <c r="B4" s="50" t="s">
        <v>399</v>
      </c>
      <c r="C4" s="49" t="s">
        <v>625</v>
      </c>
      <c r="D4" s="57" t="s">
        <v>338</v>
      </c>
      <c r="E4" s="50" t="s">
        <v>4</v>
      </c>
      <c r="F4" s="49" t="s">
        <v>5</v>
      </c>
      <c r="G4" s="52">
        <v>1.97</v>
      </c>
      <c r="H4" s="52">
        <v>2.93</v>
      </c>
      <c r="I4" s="51">
        <v>100511390</v>
      </c>
      <c r="J4" s="51">
        <v>2695</v>
      </c>
      <c r="K4" s="56">
        <v>37295.51</v>
      </c>
      <c r="L4" s="62">
        <v>38850</v>
      </c>
      <c r="M4" s="61" t="s">
        <v>362</v>
      </c>
      <c r="N4" s="60" t="s">
        <v>453</v>
      </c>
      <c r="O4" s="59">
        <v>-0.13</v>
      </c>
      <c r="P4" s="51">
        <v>4189360</v>
      </c>
      <c r="Q4" s="52">
        <v>4.17</v>
      </c>
      <c r="R4" s="51">
        <v>-134750</v>
      </c>
      <c r="S4" s="51">
        <v>77640</v>
      </c>
      <c r="T4" s="50" t="s">
        <v>269</v>
      </c>
      <c r="U4" s="49" t="s">
        <v>343</v>
      </c>
      <c r="V4" s="48" t="s">
        <v>342</v>
      </c>
      <c r="W4" s="48" t="s">
        <v>342</v>
      </c>
    </row>
    <row r="5" spans="1:23">
      <c r="A5" s="40" t="s">
        <v>552</v>
      </c>
      <c r="B5" s="40" t="s">
        <v>399</v>
      </c>
      <c r="C5" s="39" t="s">
        <v>625</v>
      </c>
      <c r="D5" s="47" t="s">
        <v>338</v>
      </c>
      <c r="E5" s="40" t="s">
        <v>324</v>
      </c>
      <c r="F5" s="39" t="s">
        <v>325</v>
      </c>
      <c r="G5" s="42">
        <v>1</v>
      </c>
      <c r="H5" s="42">
        <v>1.48</v>
      </c>
      <c r="I5" s="41">
        <v>55630910</v>
      </c>
      <c r="J5" s="41">
        <v>201</v>
      </c>
      <c r="K5" s="58">
        <v>276770.7</v>
      </c>
      <c r="L5" s="70">
        <v>264000</v>
      </c>
      <c r="M5" s="69" t="s">
        <v>362</v>
      </c>
      <c r="N5" s="68" t="s">
        <v>398</v>
      </c>
      <c r="O5" s="67">
        <v>-0.75</v>
      </c>
      <c r="P5" s="41">
        <v>-2566910</v>
      </c>
      <c r="Q5" s="42">
        <v>-4.6100000000000003</v>
      </c>
      <c r="R5" s="41">
        <v>-402000</v>
      </c>
      <c r="S5" s="41">
        <v>38910</v>
      </c>
      <c r="T5" s="40" t="s">
        <v>269</v>
      </c>
      <c r="U5" s="39" t="s">
        <v>343</v>
      </c>
      <c r="V5" s="38" t="s">
        <v>342</v>
      </c>
      <c r="W5" s="38" t="s">
        <v>342</v>
      </c>
    </row>
    <row r="6" spans="1:23">
      <c r="A6" s="50" t="s">
        <v>551</v>
      </c>
      <c r="B6" s="50" t="s">
        <v>399</v>
      </c>
      <c r="C6" s="49" t="s">
        <v>625</v>
      </c>
      <c r="D6" s="57" t="s">
        <v>338</v>
      </c>
      <c r="E6" s="50" t="s">
        <v>6</v>
      </c>
      <c r="F6" s="49" t="s">
        <v>7</v>
      </c>
      <c r="G6" s="52">
        <v>3.13</v>
      </c>
      <c r="H6" s="52">
        <v>4.6399999999999997</v>
      </c>
      <c r="I6" s="51">
        <v>179017450</v>
      </c>
      <c r="J6" s="51">
        <v>4825</v>
      </c>
      <c r="K6" s="56">
        <v>37102.06</v>
      </c>
      <c r="L6" s="62">
        <v>34400</v>
      </c>
      <c r="M6" s="61" t="s">
        <v>362</v>
      </c>
      <c r="N6" s="60" t="s">
        <v>401</v>
      </c>
      <c r="O6" s="59">
        <v>-0.43</v>
      </c>
      <c r="P6" s="51">
        <v>-13037450</v>
      </c>
      <c r="Q6" s="52">
        <v>-7.28</v>
      </c>
      <c r="R6" s="51">
        <v>-723750</v>
      </c>
      <c r="S6" s="51">
        <v>146500</v>
      </c>
      <c r="T6" s="50" t="s">
        <v>269</v>
      </c>
      <c r="U6" s="49" t="s">
        <v>343</v>
      </c>
      <c r="V6" s="48" t="s">
        <v>342</v>
      </c>
      <c r="W6" s="48" t="s">
        <v>342</v>
      </c>
    </row>
    <row r="7" spans="1:23">
      <c r="A7" s="40" t="s">
        <v>550</v>
      </c>
      <c r="B7" s="40" t="s">
        <v>399</v>
      </c>
      <c r="C7" s="39" t="s">
        <v>625</v>
      </c>
      <c r="D7" s="47" t="s">
        <v>338</v>
      </c>
      <c r="E7" s="40" t="s">
        <v>314</v>
      </c>
      <c r="F7" s="39" t="s">
        <v>315</v>
      </c>
      <c r="G7" s="42">
        <v>2.21</v>
      </c>
      <c r="H7" s="42">
        <v>3.28</v>
      </c>
      <c r="I7" s="41">
        <v>112045690</v>
      </c>
      <c r="J7" s="41">
        <v>9840</v>
      </c>
      <c r="K7" s="46">
        <v>11386.76</v>
      </c>
      <c r="L7" s="70">
        <v>11900</v>
      </c>
      <c r="M7" s="69" t="s">
        <v>362</v>
      </c>
      <c r="N7" s="68" t="s">
        <v>443</v>
      </c>
      <c r="O7" s="67">
        <v>-2.06</v>
      </c>
      <c r="P7" s="41">
        <v>5050310</v>
      </c>
      <c r="Q7" s="42">
        <v>4.51</v>
      </c>
      <c r="R7" s="41">
        <v>-2145700</v>
      </c>
      <c r="S7" s="41">
        <v>82440</v>
      </c>
      <c r="T7" s="40" t="s">
        <v>269</v>
      </c>
      <c r="U7" s="39" t="s">
        <v>343</v>
      </c>
      <c r="V7" s="38" t="s">
        <v>342</v>
      </c>
      <c r="W7" s="38" t="s">
        <v>342</v>
      </c>
    </row>
    <row r="8" spans="1:23">
      <c r="A8" s="50" t="s">
        <v>549</v>
      </c>
      <c r="B8" s="50" t="s">
        <v>399</v>
      </c>
      <c r="C8" s="49" t="s">
        <v>625</v>
      </c>
      <c r="D8" s="57" t="s">
        <v>338</v>
      </c>
      <c r="E8" s="50" t="s">
        <v>284</v>
      </c>
      <c r="F8" s="49" t="s">
        <v>285</v>
      </c>
      <c r="G8" s="52">
        <v>1.73</v>
      </c>
      <c r="H8" s="52">
        <v>2.57</v>
      </c>
      <c r="I8" s="51">
        <v>99714120</v>
      </c>
      <c r="J8" s="51">
        <v>1428</v>
      </c>
      <c r="K8" s="56">
        <v>69827.820000000007</v>
      </c>
      <c r="L8" s="51">
        <v>64400</v>
      </c>
      <c r="M8" s="55" t="s">
        <v>269</v>
      </c>
      <c r="N8" s="54" t="s">
        <v>342</v>
      </c>
      <c r="O8" s="53">
        <v>0</v>
      </c>
      <c r="P8" s="51">
        <v>-7750920</v>
      </c>
      <c r="Q8" s="52">
        <v>-7.77</v>
      </c>
      <c r="R8" s="51">
        <v>0</v>
      </c>
      <c r="S8" s="51">
        <v>81620</v>
      </c>
      <c r="T8" s="50" t="s">
        <v>269</v>
      </c>
      <c r="U8" s="49" t="s">
        <v>343</v>
      </c>
      <c r="V8" s="48" t="s">
        <v>342</v>
      </c>
      <c r="W8" s="48" t="s">
        <v>342</v>
      </c>
    </row>
    <row r="9" spans="1:23">
      <c r="A9" s="40" t="s">
        <v>548</v>
      </c>
      <c r="B9" s="40" t="s">
        <v>399</v>
      </c>
      <c r="C9" s="39" t="s">
        <v>625</v>
      </c>
      <c r="D9" s="47" t="s">
        <v>338</v>
      </c>
      <c r="E9" s="40" t="s">
        <v>14</v>
      </c>
      <c r="F9" s="39" t="s">
        <v>15</v>
      </c>
      <c r="G9" s="42">
        <v>0.85</v>
      </c>
      <c r="H9" s="42">
        <v>1.26</v>
      </c>
      <c r="I9" s="41">
        <v>42879476</v>
      </c>
      <c r="J9" s="41">
        <v>338</v>
      </c>
      <c r="K9" s="46">
        <v>126862.36</v>
      </c>
      <c r="L9" s="66">
        <v>133500</v>
      </c>
      <c r="M9" s="65" t="s">
        <v>367</v>
      </c>
      <c r="N9" s="64" t="s">
        <v>382</v>
      </c>
      <c r="O9" s="63">
        <v>1.1399999999999999</v>
      </c>
      <c r="P9" s="41">
        <v>2243524</v>
      </c>
      <c r="Q9" s="42">
        <v>5.23</v>
      </c>
      <c r="R9" s="41">
        <v>507000</v>
      </c>
      <c r="S9" s="41">
        <v>414862</v>
      </c>
      <c r="T9" s="40" t="s">
        <v>269</v>
      </c>
      <c r="U9" s="39" t="s">
        <v>343</v>
      </c>
      <c r="V9" s="38" t="s">
        <v>342</v>
      </c>
      <c r="W9" s="38" t="s">
        <v>342</v>
      </c>
    </row>
    <row r="10" spans="1:23">
      <c r="A10" s="50" t="s">
        <v>547</v>
      </c>
      <c r="B10" s="50" t="s">
        <v>399</v>
      </c>
      <c r="C10" s="49" t="s">
        <v>625</v>
      </c>
      <c r="D10" s="57" t="s">
        <v>338</v>
      </c>
      <c r="E10" s="50" t="s">
        <v>16</v>
      </c>
      <c r="F10" s="49" t="s">
        <v>17</v>
      </c>
      <c r="G10" s="52">
        <v>2.02</v>
      </c>
      <c r="H10" s="52">
        <v>3</v>
      </c>
      <c r="I10" s="51">
        <v>101429396</v>
      </c>
      <c r="J10" s="51">
        <v>482</v>
      </c>
      <c r="K10" s="56">
        <v>210434.43</v>
      </c>
      <c r="L10" s="62">
        <v>222500</v>
      </c>
      <c r="M10" s="61" t="s">
        <v>362</v>
      </c>
      <c r="N10" s="60" t="s">
        <v>398</v>
      </c>
      <c r="O10" s="59">
        <v>-0.89</v>
      </c>
      <c r="P10" s="51">
        <v>5815604</v>
      </c>
      <c r="Q10" s="52">
        <v>5.73</v>
      </c>
      <c r="R10" s="51">
        <v>-964000</v>
      </c>
      <c r="S10" s="51">
        <v>154624</v>
      </c>
      <c r="T10" s="50" t="s">
        <v>269</v>
      </c>
      <c r="U10" s="49" t="s">
        <v>343</v>
      </c>
      <c r="V10" s="48" t="s">
        <v>342</v>
      </c>
      <c r="W10" s="48" t="s">
        <v>342</v>
      </c>
    </row>
    <row r="11" spans="1:23">
      <c r="A11" s="40" t="s">
        <v>546</v>
      </c>
      <c r="B11" s="40" t="s">
        <v>399</v>
      </c>
      <c r="C11" s="39" t="s">
        <v>625</v>
      </c>
      <c r="D11" s="47" t="s">
        <v>338</v>
      </c>
      <c r="E11" s="40" t="s">
        <v>20</v>
      </c>
      <c r="F11" s="39" t="s">
        <v>21</v>
      </c>
      <c r="G11" s="42">
        <v>4.3499999999999996</v>
      </c>
      <c r="H11" s="42">
        <v>6.45</v>
      </c>
      <c r="I11" s="41">
        <v>212220557</v>
      </c>
      <c r="J11" s="41">
        <v>143</v>
      </c>
      <c r="K11" s="46">
        <v>1484059.84</v>
      </c>
      <c r="L11" s="70">
        <v>1612000</v>
      </c>
      <c r="M11" s="69" t="s">
        <v>362</v>
      </c>
      <c r="N11" s="68" t="s">
        <v>545</v>
      </c>
      <c r="O11" s="67">
        <v>-1.65</v>
      </c>
      <c r="P11" s="41">
        <v>18295443</v>
      </c>
      <c r="Q11" s="42">
        <v>8.6199999999999992</v>
      </c>
      <c r="R11" s="41">
        <v>-3861000</v>
      </c>
      <c r="S11" s="41">
        <v>300640</v>
      </c>
      <c r="T11" s="40" t="s">
        <v>269</v>
      </c>
      <c r="U11" s="39" t="s">
        <v>343</v>
      </c>
      <c r="V11" s="38" t="s">
        <v>342</v>
      </c>
      <c r="W11" s="38" t="s">
        <v>342</v>
      </c>
    </row>
    <row r="12" spans="1:23">
      <c r="A12" s="50" t="s">
        <v>366</v>
      </c>
      <c r="B12" s="50" t="s">
        <v>399</v>
      </c>
      <c r="C12" s="49" t="s">
        <v>625</v>
      </c>
      <c r="D12" s="57" t="s">
        <v>338</v>
      </c>
      <c r="E12" s="50" t="s">
        <v>286</v>
      </c>
      <c r="F12" s="49" t="s">
        <v>287</v>
      </c>
      <c r="G12" s="52">
        <v>0.51</v>
      </c>
      <c r="H12" s="52">
        <v>0.75</v>
      </c>
      <c r="I12" s="51">
        <v>23599786</v>
      </c>
      <c r="J12" s="51">
        <v>1430</v>
      </c>
      <c r="K12" s="56">
        <v>16503.349999999999</v>
      </c>
      <c r="L12" s="62">
        <v>18900</v>
      </c>
      <c r="M12" s="61" t="s">
        <v>362</v>
      </c>
      <c r="N12" s="60" t="s">
        <v>453</v>
      </c>
      <c r="O12" s="59">
        <v>-0.26</v>
      </c>
      <c r="P12" s="51">
        <v>3427214</v>
      </c>
      <c r="Q12" s="52">
        <v>14.52</v>
      </c>
      <c r="R12" s="51">
        <v>-71500</v>
      </c>
      <c r="S12" s="51">
        <v>93770</v>
      </c>
      <c r="T12" s="50" t="s">
        <v>269</v>
      </c>
      <c r="U12" s="49" t="s">
        <v>343</v>
      </c>
      <c r="V12" s="48" t="s">
        <v>342</v>
      </c>
      <c r="W12" s="48" t="s">
        <v>342</v>
      </c>
    </row>
    <row r="13" spans="1:23">
      <c r="A13" s="40" t="s">
        <v>544</v>
      </c>
      <c r="B13" s="40" t="s">
        <v>399</v>
      </c>
      <c r="C13" s="39" t="s">
        <v>625</v>
      </c>
      <c r="D13" s="47" t="s">
        <v>338</v>
      </c>
      <c r="E13" s="40" t="s">
        <v>543</v>
      </c>
      <c r="F13" s="39" t="s">
        <v>542</v>
      </c>
      <c r="G13" s="42">
        <v>2.06</v>
      </c>
      <c r="H13" s="42">
        <v>3.05</v>
      </c>
      <c r="I13" s="41">
        <v>102886300</v>
      </c>
      <c r="J13" s="41">
        <v>3690</v>
      </c>
      <c r="K13" s="46">
        <v>27882.47</v>
      </c>
      <c r="L13" s="70">
        <v>29600</v>
      </c>
      <c r="M13" s="69" t="s">
        <v>362</v>
      </c>
      <c r="N13" s="68" t="s">
        <v>453</v>
      </c>
      <c r="O13" s="67">
        <v>-0.17</v>
      </c>
      <c r="P13" s="41">
        <v>6337700</v>
      </c>
      <c r="Q13" s="42">
        <v>6.16</v>
      </c>
      <c r="R13" s="41">
        <v>-184500</v>
      </c>
      <c r="S13" s="41">
        <v>78700</v>
      </c>
      <c r="T13" s="40" t="s">
        <v>269</v>
      </c>
      <c r="U13" s="39" t="s">
        <v>343</v>
      </c>
      <c r="V13" s="38" t="s">
        <v>342</v>
      </c>
      <c r="W13" s="38" t="s">
        <v>342</v>
      </c>
    </row>
    <row r="14" spans="1:23">
      <c r="A14" s="50" t="s">
        <v>541</v>
      </c>
      <c r="B14" s="50" t="s">
        <v>399</v>
      </c>
      <c r="C14" s="49" t="s">
        <v>625</v>
      </c>
      <c r="D14" s="57" t="s">
        <v>338</v>
      </c>
      <c r="E14" s="50" t="s">
        <v>303</v>
      </c>
      <c r="F14" s="49" t="s">
        <v>304</v>
      </c>
      <c r="G14" s="52">
        <v>0.51</v>
      </c>
      <c r="H14" s="52">
        <v>0.76</v>
      </c>
      <c r="I14" s="51">
        <v>29215565</v>
      </c>
      <c r="J14" s="51">
        <v>20007</v>
      </c>
      <c r="K14" s="56">
        <v>1460.27</v>
      </c>
      <c r="L14" s="62">
        <v>1365</v>
      </c>
      <c r="M14" s="61" t="s">
        <v>362</v>
      </c>
      <c r="N14" s="60" t="s">
        <v>527</v>
      </c>
      <c r="O14" s="59">
        <v>-1.44</v>
      </c>
      <c r="P14" s="51">
        <v>-1906010</v>
      </c>
      <c r="Q14" s="52">
        <v>-6.52</v>
      </c>
      <c r="R14" s="51">
        <v>-400140</v>
      </c>
      <c r="S14" s="51">
        <v>24640</v>
      </c>
      <c r="T14" s="50" t="s">
        <v>269</v>
      </c>
      <c r="U14" s="49" t="s">
        <v>343</v>
      </c>
      <c r="V14" s="48" t="s">
        <v>342</v>
      </c>
      <c r="W14" s="48" t="s">
        <v>342</v>
      </c>
    </row>
    <row r="15" spans="1:23">
      <c r="A15" s="40" t="s">
        <v>539</v>
      </c>
      <c r="B15" s="40" t="s">
        <v>399</v>
      </c>
      <c r="C15" s="39" t="s">
        <v>625</v>
      </c>
      <c r="D15" s="47" t="s">
        <v>338</v>
      </c>
      <c r="E15" s="40" t="s">
        <v>24</v>
      </c>
      <c r="F15" s="39" t="s">
        <v>25</v>
      </c>
      <c r="G15" s="42">
        <v>2</v>
      </c>
      <c r="H15" s="42">
        <v>2.98</v>
      </c>
      <c r="I15" s="41">
        <v>101954160</v>
      </c>
      <c r="J15" s="41">
        <v>1589</v>
      </c>
      <c r="K15" s="46">
        <v>64162.47</v>
      </c>
      <c r="L15" s="66">
        <v>67000</v>
      </c>
      <c r="M15" s="65" t="s">
        <v>367</v>
      </c>
      <c r="N15" s="64" t="s">
        <v>540</v>
      </c>
      <c r="O15" s="63">
        <v>1.36</v>
      </c>
      <c r="P15" s="41">
        <v>4508840</v>
      </c>
      <c r="Q15" s="42">
        <v>4.42</v>
      </c>
      <c r="R15" s="41">
        <v>1191400</v>
      </c>
      <c r="S15" s="41">
        <v>280274</v>
      </c>
      <c r="T15" s="40" t="s">
        <v>269</v>
      </c>
      <c r="U15" s="39" t="s">
        <v>343</v>
      </c>
      <c r="V15" s="38" t="s">
        <v>342</v>
      </c>
      <c r="W15" s="38" t="s">
        <v>342</v>
      </c>
    </row>
    <row r="16" spans="1:23">
      <c r="A16" s="50" t="s">
        <v>538</v>
      </c>
      <c r="B16" s="50" t="s">
        <v>399</v>
      </c>
      <c r="C16" s="49" t="s">
        <v>625</v>
      </c>
      <c r="D16" s="57" t="s">
        <v>338</v>
      </c>
      <c r="E16" s="50" t="s">
        <v>28</v>
      </c>
      <c r="F16" s="49" t="s">
        <v>29</v>
      </c>
      <c r="G16" s="52">
        <v>1.24</v>
      </c>
      <c r="H16" s="52">
        <v>1.84</v>
      </c>
      <c r="I16" s="51">
        <v>61155185</v>
      </c>
      <c r="J16" s="51">
        <v>1147</v>
      </c>
      <c r="K16" s="56">
        <v>53317.51</v>
      </c>
      <c r="L16" s="62">
        <v>57400</v>
      </c>
      <c r="M16" s="61" t="s">
        <v>362</v>
      </c>
      <c r="N16" s="60" t="s">
        <v>355</v>
      </c>
      <c r="O16" s="59">
        <v>-0.17</v>
      </c>
      <c r="P16" s="51">
        <v>4682615</v>
      </c>
      <c r="Q16" s="52">
        <v>7.66</v>
      </c>
      <c r="R16" s="51">
        <v>-114700</v>
      </c>
      <c r="S16" s="51">
        <v>136410</v>
      </c>
      <c r="T16" s="50" t="s">
        <v>269</v>
      </c>
      <c r="U16" s="49" t="s">
        <v>343</v>
      </c>
      <c r="V16" s="48" t="s">
        <v>342</v>
      </c>
      <c r="W16" s="48" t="s">
        <v>342</v>
      </c>
    </row>
    <row r="17" spans="1:23">
      <c r="A17" s="40" t="s">
        <v>537</v>
      </c>
      <c r="B17" s="40" t="s">
        <v>399</v>
      </c>
      <c r="C17" s="39" t="s">
        <v>625</v>
      </c>
      <c r="D17" s="47" t="s">
        <v>338</v>
      </c>
      <c r="E17" s="40" t="s">
        <v>30</v>
      </c>
      <c r="F17" s="39" t="s">
        <v>31</v>
      </c>
      <c r="G17" s="42">
        <v>0.91</v>
      </c>
      <c r="H17" s="42">
        <v>1.35</v>
      </c>
      <c r="I17" s="41">
        <v>51506655</v>
      </c>
      <c r="J17" s="41">
        <v>99</v>
      </c>
      <c r="K17" s="46">
        <v>520269.24</v>
      </c>
      <c r="L17" s="66">
        <v>490000</v>
      </c>
      <c r="M17" s="65" t="s">
        <v>367</v>
      </c>
      <c r="N17" s="64" t="s">
        <v>451</v>
      </c>
      <c r="O17" s="63">
        <v>0.82</v>
      </c>
      <c r="P17" s="41">
        <v>-2996655</v>
      </c>
      <c r="Q17" s="42">
        <v>-5.82</v>
      </c>
      <c r="R17" s="41">
        <v>396000</v>
      </c>
      <c r="S17" s="41">
        <v>401614</v>
      </c>
      <c r="T17" s="40" t="s">
        <v>269</v>
      </c>
      <c r="U17" s="39" t="s">
        <v>343</v>
      </c>
      <c r="V17" s="38" t="s">
        <v>342</v>
      </c>
      <c r="W17" s="38" t="s">
        <v>342</v>
      </c>
    </row>
    <row r="18" spans="1:23">
      <c r="A18" s="50" t="s">
        <v>534</v>
      </c>
      <c r="B18" s="50" t="s">
        <v>399</v>
      </c>
      <c r="C18" s="49" t="s">
        <v>625</v>
      </c>
      <c r="D18" s="57" t="s">
        <v>338</v>
      </c>
      <c r="E18" s="50" t="s">
        <v>536</v>
      </c>
      <c r="F18" s="49" t="s">
        <v>535</v>
      </c>
      <c r="G18" s="52">
        <v>0.83</v>
      </c>
      <c r="H18" s="52">
        <v>1.23</v>
      </c>
      <c r="I18" s="51">
        <v>48604090</v>
      </c>
      <c r="J18" s="51">
        <v>820</v>
      </c>
      <c r="K18" s="56">
        <v>59273.279999999999</v>
      </c>
      <c r="L18" s="76">
        <v>53900</v>
      </c>
      <c r="M18" s="75" t="s">
        <v>367</v>
      </c>
      <c r="N18" s="74" t="s">
        <v>371</v>
      </c>
      <c r="O18" s="73">
        <v>0.56000000000000005</v>
      </c>
      <c r="P18" s="51">
        <v>-4406090</v>
      </c>
      <c r="Q18" s="52">
        <v>-9.07</v>
      </c>
      <c r="R18" s="51">
        <v>246000</v>
      </c>
      <c r="S18" s="51">
        <v>36390</v>
      </c>
      <c r="T18" s="50" t="s">
        <v>269</v>
      </c>
      <c r="U18" s="49" t="s">
        <v>343</v>
      </c>
      <c r="V18" s="48" t="s">
        <v>342</v>
      </c>
      <c r="W18" s="48" t="s">
        <v>342</v>
      </c>
    </row>
    <row r="19" spans="1:23">
      <c r="A19" s="40" t="s">
        <v>531</v>
      </c>
      <c r="B19" s="40" t="s">
        <v>399</v>
      </c>
      <c r="C19" s="39" t="s">
        <v>625</v>
      </c>
      <c r="D19" s="47" t="s">
        <v>338</v>
      </c>
      <c r="E19" s="40" t="s">
        <v>533</v>
      </c>
      <c r="F19" s="39" t="s">
        <v>532</v>
      </c>
      <c r="G19" s="42">
        <v>1.59</v>
      </c>
      <c r="H19" s="42">
        <v>2.36</v>
      </c>
      <c r="I19" s="41">
        <v>85140140</v>
      </c>
      <c r="J19" s="41">
        <v>326</v>
      </c>
      <c r="K19" s="46">
        <v>261166.07</v>
      </c>
      <c r="L19" s="66">
        <v>258500</v>
      </c>
      <c r="M19" s="65" t="s">
        <v>367</v>
      </c>
      <c r="N19" s="64" t="s">
        <v>437</v>
      </c>
      <c r="O19" s="63">
        <v>1.97</v>
      </c>
      <c r="P19" s="41">
        <v>-869140</v>
      </c>
      <c r="Q19" s="42">
        <v>-1.02</v>
      </c>
      <c r="R19" s="41">
        <v>1630000</v>
      </c>
      <c r="S19" s="41">
        <v>25440</v>
      </c>
      <c r="T19" s="40" t="s">
        <v>269</v>
      </c>
      <c r="U19" s="39" t="s">
        <v>343</v>
      </c>
      <c r="V19" s="38" t="s">
        <v>342</v>
      </c>
      <c r="W19" s="38" t="s">
        <v>342</v>
      </c>
    </row>
    <row r="20" spans="1:23">
      <c r="A20" s="50" t="s">
        <v>530</v>
      </c>
      <c r="B20" s="50" t="s">
        <v>399</v>
      </c>
      <c r="C20" s="49" t="s">
        <v>625</v>
      </c>
      <c r="D20" s="57" t="s">
        <v>338</v>
      </c>
      <c r="E20" s="50" t="s">
        <v>272</v>
      </c>
      <c r="F20" s="49" t="s">
        <v>273</v>
      </c>
      <c r="G20" s="52">
        <v>0.79</v>
      </c>
      <c r="H20" s="52">
        <v>1.18</v>
      </c>
      <c r="I20" s="51">
        <v>37741200</v>
      </c>
      <c r="J20" s="51">
        <v>745</v>
      </c>
      <c r="K20" s="56">
        <v>50659.33</v>
      </c>
      <c r="L20" s="62">
        <v>56700</v>
      </c>
      <c r="M20" s="61" t="s">
        <v>362</v>
      </c>
      <c r="N20" s="60" t="s">
        <v>528</v>
      </c>
      <c r="O20" s="59">
        <v>-2.74</v>
      </c>
      <c r="P20" s="51">
        <v>4500300</v>
      </c>
      <c r="Q20" s="52">
        <v>11.92</v>
      </c>
      <c r="R20" s="51">
        <v>-1192000</v>
      </c>
      <c r="S20" s="51">
        <v>26400</v>
      </c>
      <c r="T20" s="50" t="s">
        <v>269</v>
      </c>
      <c r="U20" s="49" t="s">
        <v>343</v>
      </c>
      <c r="V20" s="48" t="s">
        <v>342</v>
      </c>
      <c r="W20" s="48" t="s">
        <v>342</v>
      </c>
    </row>
    <row r="21" spans="1:23">
      <c r="A21" s="40" t="s">
        <v>529</v>
      </c>
      <c r="B21" s="40" t="s">
        <v>399</v>
      </c>
      <c r="C21" s="39" t="s">
        <v>625</v>
      </c>
      <c r="D21" s="47" t="s">
        <v>338</v>
      </c>
      <c r="E21" s="40" t="s">
        <v>36</v>
      </c>
      <c r="F21" s="39" t="s">
        <v>37</v>
      </c>
      <c r="G21" s="42">
        <v>0.79</v>
      </c>
      <c r="H21" s="42">
        <v>1.18</v>
      </c>
      <c r="I21" s="41">
        <v>51650330</v>
      </c>
      <c r="J21" s="41">
        <v>466</v>
      </c>
      <c r="K21" s="46">
        <v>110837.62</v>
      </c>
      <c r="L21" s="70">
        <v>90900</v>
      </c>
      <c r="M21" s="69" t="s">
        <v>362</v>
      </c>
      <c r="N21" s="68" t="s">
        <v>391</v>
      </c>
      <c r="O21" s="67">
        <v>-0.87</v>
      </c>
      <c r="P21" s="41">
        <v>-9290930</v>
      </c>
      <c r="Q21" s="42">
        <v>-17.989999999999998</v>
      </c>
      <c r="R21" s="41">
        <v>-372800</v>
      </c>
      <c r="S21" s="41">
        <v>48530</v>
      </c>
      <c r="T21" s="40" t="s">
        <v>269</v>
      </c>
      <c r="U21" s="39" t="s">
        <v>343</v>
      </c>
      <c r="V21" s="38" t="s">
        <v>342</v>
      </c>
      <c r="W21" s="38" t="s">
        <v>342</v>
      </c>
    </row>
    <row r="22" spans="1:23">
      <c r="A22" s="50" t="s">
        <v>527</v>
      </c>
      <c r="B22" s="50" t="s">
        <v>399</v>
      </c>
      <c r="C22" s="49" t="s">
        <v>625</v>
      </c>
      <c r="D22" s="57" t="s">
        <v>338</v>
      </c>
      <c r="E22" s="50" t="s">
        <v>258</v>
      </c>
      <c r="F22" s="49" t="s">
        <v>259</v>
      </c>
      <c r="G22" s="52">
        <v>3.06</v>
      </c>
      <c r="H22" s="52">
        <v>4.54</v>
      </c>
      <c r="I22" s="51">
        <v>145974430</v>
      </c>
      <c r="J22" s="51">
        <v>2300</v>
      </c>
      <c r="K22" s="56">
        <v>63467.14</v>
      </c>
      <c r="L22" s="76">
        <v>70500</v>
      </c>
      <c r="M22" s="75" t="s">
        <v>367</v>
      </c>
      <c r="N22" s="74" t="s">
        <v>528</v>
      </c>
      <c r="O22" s="73">
        <v>2.3199999999999998</v>
      </c>
      <c r="P22" s="51">
        <v>16175570</v>
      </c>
      <c r="Q22" s="52">
        <v>11.08</v>
      </c>
      <c r="R22" s="51">
        <v>3680000</v>
      </c>
      <c r="S22" s="51">
        <v>132130</v>
      </c>
      <c r="T22" s="50" t="s">
        <v>269</v>
      </c>
      <c r="U22" s="49" t="s">
        <v>343</v>
      </c>
      <c r="V22" s="48" t="s">
        <v>342</v>
      </c>
      <c r="W22" s="48" t="s">
        <v>342</v>
      </c>
    </row>
    <row r="23" spans="1:23">
      <c r="A23" s="40" t="s">
        <v>526</v>
      </c>
      <c r="B23" s="40" t="s">
        <v>399</v>
      </c>
      <c r="C23" s="39" t="s">
        <v>625</v>
      </c>
      <c r="D23" s="47" t="s">
        <v>338</v>
      </c>
      <c r="E23" s="40" t="s">
        <v>328</v>
      </c>
      <c r="F23" s="39" t="s">
        <v>329</v>
      </c>
      <c r="G23" s="42">
        <v>1.39</v>
      </c>
      <c r="H23" s="42">
        <v>2.0699999999999998</v>
      </c>
      <c r="I23" s="41">
        <v>75120460</v>
      </c>
      <c r="J23" s="41">
        <v>13235</v>
      </c>
      <c r="K23" s="46">
        <v>5675.89</v>
      </c>
      <c r="L23" s="70">
        <v>5590</v>
      </c>
      <c r="M23" s="69" t="s">
        <v>362</v>
      </c>
      <c r="N23" s="68" t="s">
        <v>355</v>
      </c>
      <c r="O23" s="67">
        <v>-1.76</v>
      </c>
      <c r="P23" s="41">
        <v>-1136810</v>
      </c>
      <c r="Q23" s="42">
        <v>-1.51</v>
      </c>
      <c r="R23" s="41">
        <v>-1323500</v>
      </c>
      <c r="S23" s="41">
        <v>66870</v>
      </c>
      <c r="T23" s="40" t="s">
        <v>269</v>
      </c>
      <c r="U23" s="39" t="s">
        <v>343</v>
      </c>
      <c r="V23" s="38" t="s">
        <v>342</v>
      </c>
      <c r="W23" s="38" t="s">
        <v>342</v>
      </c>
    </row>
    <row r="24" spans="1:23">
      <c r="A24" s="50" t="s">
        <v>523</v>
      </c>
      <c r="B24" s="50" t="s">
        <v>399</v>
      </c>
      <c r="C24" s="49" t="s">
        <v>625</v>
      </c>
      <c r="D24" s="57" t="s">
        <v>338</v>
      </c>
      <c r="E24" s="50" t="s">
        <v>525</v>
      </c>
      <c r="F24" s="49" t="s">
        <v>524</v>
      </c>
      <c r="G24" s="52">
        <v>1.03</v>
      </c>
      <c r="H24" s="52">
        <v>1.54</v>
      </c>
      <c r="I24" s="51">
        <v>56701490</v>
      </c>
      <c r="J24" s="51">
        <v>1447</v>
      </c>
      <c r="K24" s="56">
        <v>39185.550000000003</v>
      </c>
      <c r="L24" s="62">
        <v>38050</v>
      </c>
      <c r="M24" s="61" t="s">
        <v>362</v>
      </c>
      <c r="N24" s="60" t="s">
        <v>414</v>
      </c>
      <c r="O24" s="59">
        <v>-0.52</v>
      </c>
      <c r="P24" s="51">
        <v>-1643140</v>
      </c>
      <c r="Q24" s="52">
        <v>-2.9</v>
      </c>
      <c r="R24" s="51">
        <v>-289400</v>
      </c>
      <c r="S24" s="51">
        <v>208105</v>
      </c>
      <c r="T24" s="50" t="s">
        <v>269</v>
      </c>
      <c r="U24" s="49" t="s">
        <v>343</v>
      </c>
      <c r="V24" s="48" t="s">
        <v>342</v>
      </c>
      <c r="W24" s="48" t="s">
        <v>342</v>
      </c>
    </row>
    <row r="25" spans="1:23">
      <c r="A25" s="40" t="s">
        <v>520</v>
      </c>
      <c r="B25" s="40" t="s">
        <v>399</v>
      </c>
      <c r="C25" s="39" t="s">
        <v>625</v>
      </c>
      <c r="D25" s="47" t="s">
        <v>338</v>
      </c>
      <c r="E25" s="40" t="s">
        <v>522</v>
      </c>
      <c r="F25" s="39" t="s">
        <v>521</v>
      </c>
      <c r="G25" s="42">
        <v>2.2000000000000002</v>
      </c>
      <c r="H25" s="42">
        <v>3.27</v>
      </c>
      <c r="I25" s="41">
        <v>110679040</v>
      </c>
      <c r="J25" s="41">
        <v>10030</v>
      </c>
      <c r="K25" s="58">
        <v>11034.8</v>
      </c>
      <c r="L25" s="70">
        <v>11650</v>
      </c>
      <c r="M25" s="69" t="s">
        <v>362</v>
      </c>
      <c r="N25" s="68" t="s">
        <v>355</v>
      </c>
      <c r="O25" s="67">
        <v>-0.85</v>
      </c>
      <c r="P25" s="41">
        <v>6170460</v>
      </c>
      <c r="Q25" s="42">
        <v>5.58</v>
      </c>
      <c r="R25" s="41">
        <v>-1003000</v>
      </c>
      <c r="S25" s="41">
        <v>92590</v>
      </c>
      <c r="T25" s="40" t="s">
        <v>269</v>
      </c>
      <c r="U25" s="39" t="s">
        <v>343</v>
      </c>
      <c r="V25" s="38" t="s">
        <v>342</v>
      </c>
      <c r="W25" s="38" t="s">
        <v>342</v>
      </c>
    </row>
    <row r="26" spans="1:23">
      <c r="A26" s="50" t="s">
        <v>516</v>
      </c>
      <c r="B26" s="50" t="s">
        <v>399</v>
      </c>
      <c r="C26" s="49" t="s">
        <v>625</v>
      </c>
      <c r="D26" s="57" t="s">
        <v>338</v>
      </c>
      <c r="E26" s="50" t="s">
        <v>519</v>
      </c>
      <c r="F26" s="49" t="s">
        <v>518</v>
      </c>
      <c r="G26" s="52">
        <v>1.26</v>
      </c>
      <c r="H26" s="52">
        <v>1.87</v>
      </c>
      <c r="I26" s="51">
        <v>67583930</v>
      </c>
      <c r="J26" s="51">
        <v>878</v>
      </c>
      <c r="K26" s="56">
        <v>76974.86</v>
      </c>
      <c r="L26" s="76">
        <v>76200</v>
      </c>
      <c r="M26" s="75" t="s">
        <v>367</v>
      </c>
      <c r="N26" s="74" t="s">
        <v>517</v>
      </c>
      <c r="O26" s="73">
        <v>5.39</v>
      </c>
      <c r="P26" s="51">
        <v>-680330</v>
      </c>
      <c r="Q26" s="52">
        <v>-1.01</v>
      </c>
      <c r="R26" s="51">
        <v>3424200</v>
      </c>
      <c r="S26" s="51">
        <v>53530</v>
      </c>
      <c r="T26" s="50" t="s">
        <v>269</v>
      </c>
      <c r="U26" s="49" t="s">
        <v>343</v>
      </c>
      <c r="V26" s="48" t="s">
        <v>342</v>
      </c>
      <c r="W26" s="48" t="s">
        <v>342</v>
      </c>
    </row>
    <row r="27" spans="1:23">
      <c r="A27" s="40" t="s">
        <v>512</v>
      </c>
      <c r="B27" s="40" t="s">
        <v>399</v>
      </c>
      <c r="C27" s="39" t="s">
        <v>625</v>
      </c>
      <c r="D27" s="47" t="s">
        <v>338</v>
      </c>
      <c r="E27" s="40" t="s">
        <v>515</v>
      </c>
      <c r="F27" s="39" t="s">
        <v>514</v>
      </c>
      <c r="G27" s="42">
        <v>1.25</v>
      </c>
      <c r="H27" s="42">
        <v>1.86</v>
      </c>
      <c r="I27" s="41">
        <v>67710920</v>
      </c>
      <c r="J27" s="41">
        <v>425</v>
      </c>
      <c r="K27" s="46">
        <v>159319.81</v>
      </c>
      <c r="L27" s="66">
        <v>157000</v>
      </c>
      <c r="M27" s="65" t="s">
        <v>367</v>
      </c>
      <c r="N27" s="64" t="s">
        <v>513</v>
      </c>
      <c r="O27" s="63">
        <v>4.67</v>
      </c>
      <c r="P27" s="41">
        <v>-985920</v>
      </c>
      <c r="Q27" s="42">
        <v>-1.46</v>
      </c>
      <c r="R27" s="41">
        <v>2975000</v>
      </c>
      <c r="S27" s="41">
        <v>58420</v>
      </c>
      <c r="T27" s="40" t="s">
        <v>269</v>
      </c>
      <c r="U27" s="39" t="s">
        <v>343</v>
      </c>
      <c r="V27" s="38" t="s">
        <v>342</v>
      </c>
      <c r="W27" s="38" t="s">
        <v>342</v>
      </c>
    </row>
    <row r="28" spans="1:23">
      <c r="A28" s="50" t="s">
        <v>511</v>
      </c>
      <c r="B28" s="50" t="s">
        <v>399</v>
      </c>
      <c r="C28" s="49" t="s">
        <v>625</v>
      </c>
      <c r="D28" s="57" t="s">
        <v>338</v>
      </c>
      <c r="E28" s="50" t="s">
        <v>48</v>
      </c>
      <c r="F28" s="49" t="s">
        <v>49</v>
      </c>
      <c r="G28" s="52">
        <v>2.39</v>
      </c>
      <c r="H28" s="52">
        <v>3.55</v>
      </c>
      <c r="I28" s="51">
        <v>124107030</v>
      </c>
      <c r="J28" s="51">
        <v>4163</v>
      </c>
      <c r="K28" s="56">
        <v>29811.919999999998</v>
      </c>
      <c r="L28" s="62">
        <v>30500</v>
      </c>
      <c r="M28" s="61" t="s">
        <v>362</v>
      </c>
      <c r="N28" s="60" t="s">
        <v>371</v>
      </c>
      <c r="O28" s="59">
        <v>-0.97</v>
      </c>
      <c r="P28" s="51">
        <v>2864470</v>
      </c>
      <c r="Q28" s="52">
        <v>2.31</v>
      </c>
      <c r="R28" s="51">
        <v>-1248900</v>
      </c>
      <c r="S28" s="51">
        <v>176782</v>
      </c>
      <c r="T28" s="50" t="s">
        <v>269</v>
      </c>
      <c r="U28" s="49" t="s">
        <v>343</v>
      </c>
      <c r="V28" s="48" t="s">
        <v>342</v>
      </c>
      <c r="W28" s="48" t="s">
        <v>342</v>
      </c>
    </row>
    <row r="29" spans="1:23">
      <c r="A29" s="40" t="s">
        <v>510</v>
      </c>
      <c r="B29" s="40" t="s">
        <v>399</v>
      </c>
      <c r="C29" s="39" t="s">
        <v>625</v>
      </c>
      <c r="D29" s="47" t="s">
        <v>338</v>
      </c>
      <c r="E29" s="40" t="s">
        <v>52</v>
      </c>
      <c r="F29" s="39" t="s">
        <v>53</v>
      </c>
      <c r="G29" s="42">
        <v>1.64</v>
      </c>
      <c r="H29" s="42">
        <v>2.4300000000000002</v>
      </c>
      <c r="I29" s="41">
        <v>86499572</v>
      </c>
      <c r="J29" s="41">
        <v>408</v>
      </c>
      <c r="K29" s="46">
        <v>212008.75</v>
      </c>
      <c r="L29" s="70">
        <v>213000</v>
      </c>
      <c r="M29" s="69" t="s">
        <v>362</v>
      </c>
      <c r="N29" s="68" t="s">
        <v>384</v>
      </c>
      <c r="O29" s="67">
        <v>-0.47</v>
      </c>
      <c r="P29" s="41">
        <v>404428</v>
      </c>
      <c r="Q29" s="42">
        <v>0.47</v>
      </c>
      <c r="R29" s="41">
        <v>-408000</v>
      </c>
      <c r="S29" s="41">
        <v>240180</v>
      </c>
      <c r="T29" s="40" t="s">
        <v>269</v>
      </c>
      <c r="U29" s="39" t="s">
        <v>343</v>
      </c>
      <c r="V29" s="38" t="s">
        <v>342</v>
      </c>
      <c r="W29" s="38" t="s">
        <v>342</v>
      </c>
    </row>
    <row r="30" spans="1:23">
      <c r="A30" s="50" t="s">
        <v>507</v>
      </c>
      <c r="B30" s="50" t="s">
        <v>399</v>
      </c>
      <c r="C30" s="49" t="s">
        <v>625</v>
      </c>
      <c r="D30" s="57" t="s">
        <v>338</v>
      </c>
      <c r="E30" s="50" t="s">
        <v>248</v>
      </c>
      <c r="F30" s="49" t="s">
        <v>249</v>
      </c>
      <c r="G30" s="52">
        <v>0.31</v>
      </c>
      <c r="H30" s="52">
        <v>0.46</v>
      </c>
      <c r="I30" s="51">
        <v>16746827</v>
      </c>
      <c r="J30" s="51">
        <v>541</v>
      </c>
      <c r="K30" s="56">
        <v>30955.32</v>
      </c>
      <c r="L30" s="76">
        <v>30500</v>
      </c>
      <c r="M30" s="75" t="s">
        <v>367</v>
      </c>
      <c r="N30" s="74" t="s">
        <v>453</v>
      </c>
      <c r="O30" s="73">
        <v>0.16</v>
      </c>
      <c r="P30" s="51">
        <v>-246327</v>
      </c>
      <c r="Q30" s="52">
        <v>-1.47</v>
      </c>
      <c r="R30" s="51">
        <v>27050</v>
      </c>
      <c r="S30" s="51">
        <v>29194</v>
      </c>
      <c r="T30" s="50" t="s">
        <v>269</v>
      </c>
      <c r="U30" s="49" t="s">
        <v>343</v>
      </c>
      <c r="V30" s="48" t="s">
        <v>342</v>
      </c>
      <c r="W30" s="48" t="s">
        <v>342</v>
      </c>
    </row>
    <row r="31" spans="1:23">
      <c r="A31" s="40" t="s">
        <v>504</v>
      </c>
      <c r="B31" s="40" t="s">
        <v>399</v>
      </c>
      <c r="C31" s="39" t="s">
        <v>625</v>
      </c>
      <c r="D31" s="47" t="s">
        <v>338</v>
      </c>
      <c r="E31" s="40" t="s">
        <v>509</v>
      </c>
      <c r="F31" s="39" t="s">
        <v>508</v>
      </c>
      <c r="G31" s="42">
        <v>0.53</v>
      </c>
      <c r="H31" s="42">
        <v>0.79</v>
      </c>
      <c r="I31" s="41">
        <v>27686050</v>
      </c>
      <c r="J31" s="41">
        <v>375</v>
      </c>
      <c r="K31" s="46">
        <v>73829.47</v>
      </c>
      <c r="L31" s="70">
        <v>76100</v>
      </c>
      <c r="M31" s="69" t="s">
        <v>362</v>
      </c>
      <c r="N31" s="68" t="s">
        <v>355</v>
      </c>
      <c r="O31" s="67">
        <v>-0.13</v>
      </c>
      <c r="P31" s="41">
        <v>851450</v>
      </c>
      <c r="Q31" s="42">
        <v>3.08</v>
      </c>
      <c r="R31" s="41">
        <v>-37500</v>
      </c>
      <c r="S31" s="41">
        <v>27650</v>
      </c>
      <c r="T31" s="40" t="s">
        <v>269</v>
      </c>
      <c r="U31" s="39" t="s">
        <v>343</v>
      </c>
      <c r="V31" s="38" t="s">
        <v>342</v>
      </c>
      <c r="W31" s="38" t="s">
        <v>342</v>
      </c>
    </row>
    <row r="32" spans="1:23">
      <c r="A32" s="50" t="s">
        <v>501</v>
      </c>
      <c r="B32" s="50" t="s">
        <v>399</v>
      </c>
      <c r="C32" s="49" t="s">
        <v>625</v>
      </c>
      <c r="D32" s="57" t="s">
        <v>338</v>
      </c>
      <c r="E32" s="50" t="s">
        <v>506</v>
      </c>
      <c r="F32" s="49" t="s">
        <v>505</v>
      </c>
      <c r="G32" s="52">
        <v>0.97</v>
      </c>
      <c r="H32" s="52">
        <v>1.45</v>
      </c>
      <c r="I32" s="51">
        <v>59079963</v>
      </c>
      <c r="J32" s="51">
        <v>1563</v>
      </c>
      <c r="K32" s="56">
        <v>37799.08</v>
      </c>
      <c r="L32" s="62">
        <v>33150</v>
      </c>
      <c r="M32" s="61" t="s">
        <v>362</v>
      </c>
      <c r="N32" s="60" t="s">
        <v>423</v>
      </c>
      <c r="O32" s="59">
        <v>-1.78</v>
      </c>
      <c r="P32" s="51">
        <v>-7266513</v>
      </c>
      <c r="Q32" s="52">
        <v>-12.3</v>
      </c>
      <c r="R32" s="51">
        <v>-937800</v>
      </c>
      <c r="S32" s="51">
        <v>147365</v>
      </c>
      <c r="T32" s="50" t="s">
        <v>269</v>
      </c>
      <c r="U32" s="49" t="s">
        <v>343</v>
      </c>
      <c r="V32" s="48" t="s">
        <v>342</v>
      </c>
      <c r="W32" s="48" t="s">
        <v>342</v>
      </c>
    </row>
    <row r="33" spans="1:23">
      <c r="A33" s="40" t="s">
        <v>500</v>
      </c>
      <c r="B33" s="40" t="s">
        <v>399</v>
      </c>
      <c r="C33" s="39" t="s">
        <v>625</v>
      </c>
      <c r="D33" s="47" t="s">
        <v>338</v>
      </c>
      <c r="E33" s="40" t="s">
        <v>503</v>
      </c>
      <c r="F33" s="39" t="s">
        <v>502</v>
      </c>
      <c r="G33" s="42">
        <v>0.51</v>
      </c>
      <c r="H33" s="42">
        <v>0.76</v>
      </c>
      <c r="I33" s="41">
        <v>27052020</v>
      </c>
      <c r="J33" s="41">
        <v>151</v>
      </c>
      <c r="K33" s="46">
        <v>179152.45</v>
      </c>
      <c r="L33" s="70">
        <v>180000</v>
      </c>
      <c r="M33" s="69" t="s">
        <v>362</v>
      </c>
      <c r="N33" s="68" t="s">
        <v>451</v>
      </c>
      <c r="O33" s="67">
        <v>-2.17</v>
      </c>
      <c r="P33" s="41">
        <v>127980</v>
      </c>
      <c r="Q33" s="42">
        <v>0.47</v>
      </c>
      <c r="R33" s="41">
        <v>-604000</v>
      </c>
      <c r="S33" s="41">
        <v>27020</v>
      </c>
      <c r="T33" s="40" t="s">
        <v>269</v>
      </c>
      <c r="U33" s="39" t="s">
        <v>343</v>
      </c>
      <c r="V33" s="38" t="s">
        <v>342</v>
      </c>
      <c r="W33" s="38" t="s">
        <v>342</v>
      </c>
    </row>
    <row r="34" spans="1:23">
      <c r="A34" s="50" t="s">
        <v>499</v>
      </c>
      <c r="B34" s="50" t="s">
        <v>399</v>
      </c>
      <c r="C34" s="49" t="s">
        <v>625</v>
      </c>
      <c r="D34" s="57" t="s">
        <v>338</v>
      </c>
      <c r="E34" s="50" t="s">
        <v>76</v>
      </c>
      <c r="F34" s="49" t="s">
        <v>77</v>
      </c>
      <c r="G34" s="52">
        <v>1.19</v>
      </c>
      <c r="H34" s="52">
        <v>1.76</v>
      </c>
      <c r="I34" s="51">
        <v>59895690</v>
      </c>
      <c r="J34" s="51">
        <v>2213</v>
      </c>
      <c r="K34" s="56">
        <v>27065.38</v>
      </c>
      <c r="L34" s="62">
        <v>28500</v>
      </c>
      <c r="M34" s="61" t="s">
        <v>362</v>
      </c>
      <c r="N34" s="60" t="s">
        <v>428</v>
      </c>
      <c r="O34" s="59">
        <v>-1.72</v>
      </c>
      <c r="P34" s="51">
        <v>3174810</v>
      </c>
      <c r="Q34" s="52">
        <v>5.3</v>
      </c>
      <c r="R34" s="51">
        <v>-1106500</v>
      </c>
      <c r="S34" s="51">
        <v>38090</v>
      </c>
      <c r="T34" s="50" t="s">
        <v>269</v>
      </c>
      <c r="U34" s="49" t="s">
        <v>343</v>
      </c>
      <c r="V34" s="48" t="s">
        <v>342</v>
      </c>
      <c r="W34" s="48" t="s">
        <v>342</v>
      </c>
    </row>
    <row r="35" spans="1:23">
      <c r="A35" s="40" t="s">
        <v>495</v>
      </c>
      <c r="B35" s="40" t="s">
        <v>399</v>
      </c>
      <c r="C35" s="39" t="s">
        <v>625</v>
      </c>
      <c r="D35" s="47" t="s">
        <v>338</v>
      </c>
      <c r="E35" s="40" t="s">
        <v>78</v>
      </c>
      <c r="F35" s="39" t="s">
        <v>79</v>
      </c>
      <c r="G35" s="42">
        <v>0.46</v>
      </c>
      <c r="H35" s="42">
        <v>0.69</v>
      </c>
      <c r="I35" s="41">
        <v>25319440</v>
      </c>
      <c r="J35" s="41">
        <v>2680</v>
      </c>
      <c r="K35" s="46">
        <v>9447.5499999999993</v>
      </c>
      <c r="L35" s="41">
        <v>9260</v>
      </c>
      <c r="M35" s="45" t="s">
        <v>269</v>
      </c>
      <c r="N35" s="44" t="s">
        <v>342</v>
      </c>
      <c r="O35" s="43">
        <v>0</v>
      </c>
      <c r="P35" s="41">
        <v>-502640</v>
      </c>
      <c r="Q35" s="42">
        <v>-1.99</v>
      </c>
      <c r="R35" s="41">
        <v>0</v>
      </c>
      <c r="S35" s="41">
        <v>22390</v>
      </c>
      <c r="T35" s="40" t="s">
        <v>269</v>
      </c>
      <c r="U35" s="39" t="s">
        <v>343</v>
      </c>
      <c r="V35" s="38" t="s">
        <v>342</v>
      </c>
      <c r="W35" s="38" t="s">
        <v>342</v>
      </c>
    </row>
    <row r="36" spans="1:23">
      <c r="A36" s="50" t="s">
        <v>492</v>
      </c>
      <c r="B36" s="50" t="s">
        <v>399</v>
      </c>
      <c r="C36" s="49" t="s">
        <v>625</v>
      </c>
      <c r="D36" s="57" t="s">
        <v>338</v>
      </c>
      <c r="E36" s="50" t="s">
        <v>498</v>
      </c>
      <c r="F36" s="49" t="s">
        <v>497</v>
      </c>
      <c r="G36" s="52">
        <v>0</v>
      </c>
      <c r="H36" s="52">
        <v>0</v>
      </c>
      <c r="I36" s="51">
        <v>3189500</v>
      </c>
      <c r="J36" s="51">
        <v>0</v>
      </c>
      <c r="K36" s="51">
        <v>0</v>
      </c>
      <c r="L36" s="62">
        <v>19850</v>
      </c>
      <c r="M36" s="61" t="s">
        <v>362</v>
      </c>
      <c r="N36" s="60" t="s">
        <v>496</v>
      </c>
      <c r="O36" s="59">
        <v>-4.57</v>
      </c>
      <c r="P36" s="51">
        <v>-3189500</v>
      </c>
      <c r="Q36" s="52">
        <v>-5.94</v>
      </c>
      <c r="R36" s="51">
        <v>-1887750</v>
      </c>
      <c r="S36" s="51">
        <v>53600</v>
      </c>
      <c r="T36" s="50" t="s">
        <v>269</v>
      </c>
      <c r="U36" s="49" t="s">
        <v>343</v>
      </c>
      <c r="V36" s="48" t="s">
        <v>342</v>
      </c>
      <c r="W36" s="48" t="s">
        <v>342</v>
      </c>
    </row>
    <row r="37" spans="1:23">
      <c r="A37" s="40" t="s">
        <v>491</v>
      </c>
      <c r="B37" s="40" t="s">
        <v>399</v>
      </c>
      <c r="C37" s="39" t="s">
        <v>625</v>
      </c>
      <c r="D37" s="47" t="s">
        <v>338</v>
      </c>
      <c r="E37" s="40" t="s">
        <v>494</v>
      </c>
      <c r="F37" s="39" t="s">
        <v>493</v>
      </c>
      <c r="G37" s="42">
        <v>2.2400000000000002</v>
      </c>
      <c r="H37" s="42">
        <v>3.32</v>
      </c>
      <c r="I37" s="41">
        <v>119818144</v>
      </c>
      <c r="J37" s="41">
        <v>828</v>
      </c>
      <c r="K37" s="58">
        <v>144707.9</v>
      </c>
      <c r="L37" s="66">
        <v>143500</v>
      </c>
      <c r="M37" s="65" t="s">
        <v>367</v>
      </c>
      <c r="N37" s="64" t="s">
        <v>384</v>
      </c>
      <c r="O37" s="63">
        <v>0.7</v>
      </c>
      <c r="P37" s="41">
        <v>-1000144</v>
      </c>
      <c r="Q37" s="42">
        <v>-0.83</v>
      </c>
      <c r="R37" s="41">
        <v>828000</v>
      </c>
      <c r="S37" s="41">
        <v>284842</v>
      </c>
      <c r="T37" s="40" t="s">
        <v>269</v>
      </c>
      <c r="U37" s="39" t="s">
        <v>343</v>
      </c>
      <c r="V37" s="38" t="s">
        <v>342</v>
      </c>
      <c r="W37" s="38" t="s">
        <v>342</v>
      </c>
    </row>
    <row r="38" spans="1:23">
      <c r="A38" s="50" t="s">
        <v>490</v>
      </c>
      <c r="B38" s="50" t="s">
        <v>399</v>
      </c>
      <c r="C38" s="49" t="s">
        <v>625</v>
      </c>
      <c r="D38" s="57" t="s">
        <v>338</v>
      </c>
      <c r="E38" s="50" t="s">
        <v>265</v>
      </c>
      <c r="F38" s="49" t="s">
        <v>266</v>
      </c>
      <c r="G38" s="52">
        <v>2.21</v>
      </c>
      <c r="H38" s="52">
        <v>3.28</v>
      </c>
      <c r="I38" s="51">
        <v>120710260</v>
      </c>
      <c r="J38" s="51">
        <v>28174</v>
      </c>
      <c r="K38" s="56">
        <v>4284.46</v>
      </c>
      <c r="L38" s="62">
        <v>4165</v>
      </c>
      <c r="M38" s="61" t="s">
        <v>362</v>
      </c>
      <c r="N38" s="60" t="s">
        <v>414</v>
      </c>
      <c r="O38" s="59">
        <v>-4.58</v>
      </c>
      <c r="P38" s="51">
        <v>-3365550</v>
      </c>
      <c r="Q38" s="52">
        <v>-2.79</v>
      </c>
      <c r="R38" s="51">
        <v>-5634800</v>
      </c>
      <c r="S38" s="51">
        <v>89010</v>
      </c>
      <c r="T38" s="50" t="s">
        <v>269</v>
      </c>
      <c r="U38" s="49" t="s">
        <v>343</v>
      </c>
      <c r="V38" s="48" t="s">
        <v>342</v>
      </c>
      <c r="W38" s="48" t="s">
        <v>342</v>
      </c>
    </row>
    <row r="39" spans="1:23">
      <c r="A39" s="40" t="s">
        <v>489</v>
      </c>
      <c r="B39" s="40" t="s">
        <v>399</v>
      </c>
      <c r="C39" s="39" t="s">
        <v>625</v>
      </c>
      <c r="D39" s="47" t="s">
        <v>338</v>
      </c>
      <c r="E39" s="40" t="s">
        <v>88</v>
      </c>
      <c r="F39" s="39" t="s">
        <v>89</v>
      </c>
      <c r="G39" s="42">
        <v>1.26</v>
      </c>
      <c r="H39" s="42">
        <v>1.87</v>
      </c>
      <c r="I39" s="41">
        <v>62097300</v>
      </c>
      <c r="J39" s="41">
        <v>2060</v>
      </c>
      <c r="K39" s="46">
        <v>30144.32</v>
      </c>
      <c r="L39" s="66">
        <v>32500</v>
      </c>
      <c r="M39" s="65" t="s">
        <v>367</v>
      </c>
      <c r="N39" s="64" t="s">
        <v>355</v>
      </c>
      <c r="O39" s="63">
        <v>0.31</v>
      </c>
      <c r="P39" s="41">
        <v>4852700</v>
      </c>
      <c r="Q39" s="42">
        <v>7.81</v>
      </c>
      <c r="R39" s="41">
        <v>206000</v>
      </c>
      <c r="S39" s="41">
        <v>44700</v>
      </c>
      <c r="T39" s="40" t="s">
        <v>269</v>
      </c>
      <c r="U39" s="39" t="s">
        <v>343</v>
      </c>
      <c r="V39" s="38" t="s">
        <v>342</v>
      </c>
      <c r="W39" s="38" t="s">
        <v>342</v>
      </c>
    </row>
    <row r="40" spans="1:23">
      <c r="A40" s="50" t="s">
        <v>485</v>
      </c>
      <c r="B40" s="50" t="s">
        <v>399</v>
      </c>
      <c r="C40" s="49" t="s">
        <v>625</v>
      </c>
      <c r="D40" s="57" t="s">
        <v>338</v>
      </c>
      <c r="E40" s="50" t="s">
        <v>252</v>
      </c>
      <c r="F40" s="49" t="s">
        <v>253</v>
      </c>
      <c r="G40" s="52">
        <v>3.02</v>
      </c>
      <c r="H40" s="52">
        <v>4.49</v>
      </c>
      <c r="I40" s="51">
        <v>149874560</v>
      </c>
      <c r="J40" s="51">
        <v>4293</v>
      </c>
      <c r="K40" s="56">
        <v>34911.379999999997</v>
      </c>
      <c r="L40" s="62">
        <v>37350</v>
      </c>
      <c r="M40" s="61" t="s">
        <v>362</v>
      </c>
      <c r="N40" s="60" t="s">
        <v>419</v>
      </c>
      <c r="O40" s="59">
        <v>-1.97</v>
      </c>
      <c r="P40" s="51">
        <v>10468990</v>
      </c>
      <c r="Q40" s="52">
        <v>6.99</v>
      </c>
      <c r="R40" s="51">
        <v>-3219750</v>
      </c>
      <c r="S40" s="51">
        <v>105560</v>
      </c>
      <c r="T40" s="50" t="s">
        <v>269</v>
      </c>
      <c r="U40" s="49" t="s">
        <v>343</v>
      </c>
      <c r="V40" s="48" t="s">
        <v>342</v>
      </c>
      <c r="W40" s="48" t="s">
        <v>342</v>
      </c>
    </row>
    <row r="41" spans="1:23">
      <c r="A41" s="40" t="s">
        <v>484</v>
      </c>
      <c r="B41" s="40" t="s">
        <v>399</v>
      </c>
      <c r="C41" s="39" t="s">
        <v>625</v>
      </c>
      <c r="D41" s="47" t="s">
        <v>338</v>
      </c>
      <c r="E41" s="40" t="s">
        <v>488</v>
      </c>
      <c r="F41" s="39" t="s">
        <v>487</v>
      </c>
      <c r="G41" s="42">
        <v>1.23</v>
      </c>
      <c r="H41" s="42">
        <v>1.82</v>
      </c>
      <c r="I41" s="41">
        <v>62567997</v>
      </c>
      <c r="J41" s="41">
        <v>2413</v>
      </c>
      <c r="K41" s="46">
        <v>25929.55</v>
      </c>
      <c r="L41" s="66">
        <v>27000</v>
      </c>
      <c r="M41" s="65" t="s">
        <v>367</v>
      </c>
      <c r="N41" s="64" t="s">
        <v>486</v>
      </c>
      <c r="O41" s="63">
        <v>2.08</v>
      </c>
      <c r="P41" s="41">
        <v>2583003</v>
      </c>
      <c r="Q41" s="42">
        <v>4.13</v>
      </c>
      <c r="R41" s="41">
        <v>1327150</v>
      </c>
      <c r="S41" s="41">
        <v>197484</v>
      </c>
      <c r="T41" s="40" t="s">
        <v>269</v>
      </c>
      <c r="U41" s="39" t="s">
        <v>343</v>
      </c>
      <c r="V41" s="38" t="s">
        <v>342</v>
      </c>
      <c r="W41" s="38" t="s">
        <v>342</v>
      </c>
    </row>
    <row r="42" spans="1:23">
      <c r="A42" s="50" t="s">
        <v>482</v>
      </c>
      <c r="B42" s="50" t="s">
        <v>399</v>
      </c>
      <c r="C42" s="49" t="s">
        <v>625</v>
      </c>
      <c r="D42" s="57" t="s">
        <v>338</v>
      </c>
      <c r="E42" s="50" t="s">
        <v>276</v>
      </c>
      <c r="F42" s="49" t="s">
        <v>277</v>
      </c>
      <c r="G42" s="52">
        <v>0</v>
      </c>
      <c r="H42" s="52">
        <v>0</v>
      </c>
      <c r="I42" s="51">
        <v>410329</v>
      </c>
      <c r="J42" s="51">
        <v>0</v>
      </c>
      <c r="K42" s="51">
        <v>0</v>
      </c>
      <c r="L42" s="62">
        <v>16000</v>
      </c>
      <c r="M42" s="61" t="s">
        <v>362</v>
      </c>
      <c r="N42" s="60" t="s">
        <v>371</v>
      </c>
      <c r="O42" s="59">
        <v>-1.84</v>
      </c>
      <c r="P42" s="51">
        <v>-410329</v>
      </c>
      <c r="Q42" s="52">
        <v>-7.4</v>
      </c>
      <c r="R42" s="51">
        <v>-145800</v>
      </c>
      <c r="S42" s="51">
        <v>105758</v>
      </c>
      <c r="T42" s="50" t="s">
        <v>269</v>
      </c>
      <c r="U42" s="49" t="s">
        <v>343</v>
      </c>
      <c r="V42" s="48" t="s">
        <v>342</v>
      </c>
      <c r="W42" s="48" t="s">
        <v>342</v>
      </c>
    </row>
    <row r="43" spans="1:23">
      <c r="A43" s="40" t="s">
        <v>480</v>
      </c>
      <c r="B43" s="40" t="s">
        <v>399</v>
      </c>
      <c r="C43" s="39" t="s">
        <v>625</v>
      </c>
      <c r="D43" s="47" t="s">
        <v>338</v>
      </c>
      <c r="E43" s="40" t="s">
        <v>334</v>
      </c>
      <c r="F43" s="39" t="s">
        <v>335</v>
      </c>
      <c r="G43" s="42">
        <v>0.52</v>
      </c>
      <c r="H43" s="42">
        <v>0.78</v>
      </c>
      <c r="I43" s="41">
        <v>28288880</v>
      </c>
      <c r="J43" s="41">
        <v>428</v>
      </c>
      <c r="K43" s="46">
        <v>66095.509999999995</v>
      </c>
      <c r="L43" s="70">
        <v>65400</v>
      </c>
      <c r="M43" s="69" t="s">
        <v>362</v>
      </c>
      <c r="N43" s="68" t="s">
        <v>423</v>
      </c>
      <c r="O43" s="67">
        <v>-0.91</v>
      </c>
      <c r="P43" s="41">
        <v>-297680</v>
      </c>
      <c r="Q43" s="42">
        <v>-1.05</v>
      </c>
      <c r="R43" s="41">
        <v>-256800</v>
      </c>
      <c r="S43" s="41">
        <v>19780</v>
      </c>
      <c r="T43" s="40" t="s">
        <v>269</v>
      </c>
      <c r="U43" s="39" t="s">
        <v>343</v>
      </c>
      <c r="V43" s="38" t="s">
        <v>342</v>
      </c>
      <c r="W43" s="38" t="s">
        <v>342</v>
      </c>
    </row>
    <row r="44" spans="1:23">
      <c r="A44" s="50" t="s">
        <v>478</v>
      </c>
      <c r="B44" s="50" t="s">
        <v>399</v>
      </c>
      <c r="C44" s="49" t="s">
        <v>625</v>
      </c>
      <c r="D44" s="57" t="s">
        <v>338</v>
      </c>
      <c r="E44" s="50" t="s">
        <v>100</v>
      </c>
      <c r="F44" s="49" t="s">
        <v>101</v>
      </c>
      <c r="G44" s="52">
        <v>1.1100000000000001</v>
      </c>
      <c r="H44" s="52">
        <v>1.64</v>
      </c>
      <c r="I44" s="51">
        <v>52631060</v>
      </c>
      <c r="J44" s="51">
        <v>140</v>
      </c>
      <c r="K44" s="56">
        <v>375936.14</v>
      </c>
      <c r="L44" s="62">
        <v>420300</v>
      </c>
      <c r="M44" s="61" t="s">
        <v>362</v>
      </c>
      <c r="N44" s="60" t="s">
        <v>483</v>
      </c>
      <c r="O44" s="59">
        <v>-2.2999999999999998</v>
      </c>
      <c r="P44" s="51">
        <v>6210940</v>
      </c>
      <c r="Q44" s="52">
        <v>11.8</v>
      </c>
      <c r="R44" s="51">
        <v>-1386000</v>
      </c>
      <c r="S44" s="51">
        <v>412515</v>
      </c>
      <c r="T44" s="50" t="s">
        <v>269</v>
      </c>
      <c r="U44" s="49" t="s">
        <v>343</v>
      </c>
      <c r="V44" s="48" t="s">
        <v>342</v>
      </c>
      <c r="W44" s="48" t="s">
        <v>342</v>
      </c>
    </row>
    <row r="45" spans="1:23">
      <c r="A45" s="40" t="s">
        <v>361</v>
      </c>
      <c r="B45" s="40" t="s">
        <v>399</v>
      </c>
      <c r="C45" s="39" t="s">
        <v>625</v>
      </c>
      <c r="D45" s="47" t="s">
        <v>338</v>
      </c>
      <c r="E45" s="40" t="s">
        <v>290</v>
      </c>
      <c r="F45" s="39" t="s">
        <v>291</v>
      </c>
      <c r="G45" s="42">
        <v>0.44</v>
      </c>
      <c r="H45" s="42">
        <v>0.65</v>
      </c>
      <c r="I45" s="41">
        <v>21190220</v>
      </c>
      <c r="J45" s="41">
        <v>330</v>
      </c>
      <c r="K45" s="46">
        <v>64212.79</v>
      </c>
      <c r="L45" s="70">
        <v>71100</v>
      </c>
      <c r="M45" s="69" t="s">
        <v>362</v>
      </c>
      <c r="N45" s="68" t="s">
        <v>481</v>
      </c>
      <c r="O45" s="67">
        <v>-2.6</v>
      </c>
      <c r="P45" s="41">
        <v>2272780</v>
      </c>
      <c r="Q45" s="42">
        <v>10.73</v>
      </c>
      <c r="R45" s="41">
        <v>-627000</v>
      </c>
      <c r="S45" s="41">
        <v>105877</v>
      </c>
      <c r="T45" s="40" t="s">
        <v>269</v>
      </c>
      <c r="U45" s="39" t="s">
        <v>343</v>
      </c>
      <c r="V45" s="38" t="s">
        <v>342</v>
      </c>
      <c r="W45" s="38" t="s">
        <v>342</v>
      </c>
    </row>
    <row r="46" spans="1:23">
      <c r="A46" s="50" t="s">
        <v>473</v>
      </c>
      <c r="B46" s="50" t="s">
        <v>399</v>
      </c>
      <c r="C46" s="49" t="s">
        <v>625</v>
      </c>
      <c r="D46" s="57" t="s">
        <v>338</v>
      </c>
      <c r="E46" s="50" t="s">
        <v>336</v>
      </c>
      <c r="F46" s="49" t="s">
        <v>337</v>
      </c>
      <c r="G46" s="52">
        <v>0.97</v>
      </c>
      <c r="H46" s="52">
        <v>1.45</v>
      </c>
      <c r="I46" s="51">
        <v>54221720</v>
      </c>
      <c r="J46" s="51">
        <v>2113</v>
      </c>
      <c r="K46" s="56">
        <v>25661.01</v>
      </c>
      <c r="L46" s="62">
        <v>24550</v>
      </c>
      <c r="M46" s="61" t="s">
        <v>362</v>
      </c>
      <c r="N46" s="60" t="s">
        <v>479</v>
      </c>
      <c r="O46" s="59">
        <v>-1.8</v>
      </c>
      <c r="P46" s="51">
        <v>-2347570</v>
      </c>
      <c r="Q46" s="52">
        <v>-4.33</v>
      </c>
      <c r="R46" s="51">
        <v>-950850</v>
      </c>
      <c r="S46" s="51">
        <v>49120</v>
      </c>
      <c r="T46" s="50" t="s">
        <v>269</v>
      </c>
      <c r="U46" s="49" t="s">
        <v>343</v>
      </c>
      <c r="V46" s="48" t="s">
        <v>342</v>
      </c>
      <c r="W46" s="48" t="s">
        <v>342</v>
      </c>
    </row>
    <row r="47" spans="1:23">
      <c r="A47" s="40" t="s">
        <v>471</v>
      </c>
      <c r="B47" s="40" t="s">
        <v>399</v>
      </c>
      <c r="C47" s="39" t="s">
        <v>668</v>
      </c>
      <c r="D47" s="72" t="s">
        <v>339</v>
      </c>
      <c r="E47" s="40" t="s">
        <v>477</v>
      </c>
      <c r="F47" s="39" t="s">
        <v>476</v>
      </c>
      <c r="G47" s="42">
        <v>0.44</v>
      </c>
      <c r="H47" s="42">
        <v>0.94</v>
      </c>
      <c r="I47" s="41">
        <v>-22125176</v>
      </c>
      <c r="J47" s="41">
        <v>-200</v>
      </c>
      <c r="K47" s="46">
        <v>110625.88</v>
      </c>
      <c r="L47" s="70">
        <v>118000</v>
      </c>
      <c r="M47" s="69" t="s">
        <v>362</v>
      </c>
      <c r="N47" s="68" t="s">
        <v>382</v>
      </c>
      <c r="O47" s="67">
        <v>-1.26</v>
      </c>
      <c r="P47" s="41">
        <v>-1474824</v>
      </c>
      <c r="Q47" s="42">
        <v>-6.67</v>
      </c>
      <c r="R47" s="41">
        <v>300000</v>
      </c>
      <c r="S47" s="41">
        <v>88824</v>
      </c>
      <c r="T47" s="40" t="s">
        <v>269</v>
      </c>
      <c r="U47" s="39" t="s">
        <v>343</v>
      </c>
      <c r="V47" s="38" t="s">
        <v>342</v>
      </c>
      <c r="W47" s="38" t="s">
        <v>342</v>
      </c>
    </row>
    <row r="48" spans="1:23">
      <c r="A48" s="50" t="s">
        <v>469</v>
      </c>
      <c r="B48" s="50" t="s">
        <v>399</v>
      </c>
      <c r="C48" s="49" t="s">
        <v>668</v>
      </c>
      <c r="D48" s="77" t="s">
        <v>339</v>
      </c>
      <c r="E48" s="50" t="s">
        <v>475</v>
      </c>
      <c r="F48" s="49" t="s">
        <v>474</v>
      </c>
      <c r="G48" s="52">
        <v>0.86</v>
      </c>
      <c r="H48" s="52">
        <v>1.84</v>
      </c>
      <c r="I48" s="51">
        <v>-47825613</v>
      </c>
      <c r="J48" s="51">
        <v>-241</v>
      </c>
      <c r="K48" s="56">
        <v>198446.53</v>
      </c>
      <c r="L48" s="62">
        <v>191000</v>
      </c>
      <c r="M48" s="61" t="s">
        <v>362</v>
      </c>
      <c r="N48" s="60" t="s">
        <v>382</v>
      </c>
      <c r="O48" s="59">
        <v>-0.78</v>
      </c>
      <c r="P48" s="51">
        <v>1794613</v>
      </c>
      <c r="Q48" s="52">
        <v>3.75</v>
      </c>
      <c r="R48" s="51">
        <v>361500</v>
      </c>
      <c r="S48" s="51">
        <v>380588</v>
      </c>
      <c r="T48" s="50" t="s">
        <v>269</v>
      </c>
      <c r="U48" s="49" t="s">
        <v>343</v>
      </c>
      <c r="V48" s="48" t="s">
        <v>342</v>
      </c>
      <c r="W48" s="48" t="s">
        <v>342</v>
      </c>
    </row>
    <row r="49" spans="1:23">
      <c r="A49" s="40" t="s">
        <v>466</v>
      </c>
      <c r="B49" s="40" t="s">
        <v>399</v>
      </c>
      <c r="C49" s="39" t="s">
        <v>668</v>
      </c>
      <c r="D49" s="72" t="s">
        <v>339</v>
      </c>
      <c r="E49" s="40" t="s">
        <v>293</v>
      </c>
      <c r="F49" s="39" t="s">
        <v>294</v>
      </c>
      <c r="G49" s="42">
        <v>1.98</v>
      </c>
      <c r="H49" s="42">
        <v>4.22</v>
      </c>
      <c r="I49" s="41">
        <v>-96058954</v>
      </c>
      <c r="J49" s="41">
        <v>-1488</v>
      </c>
      <c r="K49" s="46">
        <v>64555.75</v>
      </c>
      <c r="L49" s="66">
        <v>70700</v>
      </c>
      <c r="M49" s="65" t="s">
        <v>367</v>
      </c>
      <c r="N49" s="64" t="s">
        <v>472</v>
      </c>
      <c r="O49" s="63">
        <v>2.61</v>
      </c>
      <c r="P49" s="41">
        <v>-9142646</v>
      </c>
      <c r="Q49" s="42">
        <v>-9.52</v>
      </c>
      <c r="R49" s="41">
        <v>-2678400</v>
      </c>
      <c r="S49" s="41">
        <v>456390</v>
      </c>
      <c r="T49" s="40" t="s">
        <v>269</v>
      </c>
      <c r="U49" s="39" t="s">
        <v>343</v>
      </c>
      <c r="V49" s="38" t="s">
        <v>342</v>
      </c>
      <c r="W49" s="38" t="s">
        <v>342</v>
      </c>
    </row>
    <row r="50" spans="1:23">
      <c r="A50" s="50" t="s">
        <v>464</v>
      </c>
      <c r="B50" s="50" t="s">
        <v>399</v>
      </c>
      <c r="C50" s="49" t="s">
        <v>668</v>
      </c>
      <c r="D50" s="77" t="s">
        <v>339</v>
      </c>
      <c r="E50" s="50" t="s">
        <v>8</v>
      </c>
      <c r="F50" s="49" t="s">
        <v>9</v>
      </c>
      <c r="G50" s="52">
        <v>1.1599999999999999</v>
      </c>
      <c r="H50" s="52">
        <v>2.4900000000000002</v>
      </c>
      <c r="I50" s="51">
        <v>-73892813</v>
      </c>
      <c r="J50" s="51">
        <v>-85</v>
      </c>
      <c r="K50" s="56">
        <v>869327.21</v>
      </c>
      <c r="L50" s="76">
        <v>729000</v>
      </c>
      <c r="M50" s="75" t="s">
        <v>367</v>
      </c>
      <c r="N50" s="74" t="s">
        <v>470</v>
      </c>
      <c r="O50" s="73">
        <v>2.39</v>
      </c>
      <c r="P50" s="51">
        <v>11927813</v>
      </c>
      <c r="Q50" s="52">
        <v>16.14</v>
      </c>
      <c r="R50" s="51">
        <v>-1445000</v>
      </c>
      <c r="S50" s="51">
        <v>359936</v>
      </c>
      <c r="T50" s="50" t="s">
        <v>269</v>
      </c>
      <c r="U50" s="49" t="s">
        <v>343</v>
      </c>
      <c r="V50" s="48" t="s">
        <v>342</v>
      </c>
      <c r="W50" s="48" t="s">
        <v>342</v>
      </c>
    </row>
    <row r="51" spans="1:23">
      <c r="A51" s="40" t="s">
        <v>461</v>
      </c>
      <c r="B51" s="40" t="s">
        <v>399</v>
      </c>
      <c r="C51" s="39" t="s">
        <v>668</v>
      </c>
      <c r="D51" s="72" t="s">
        <v>339</v>
      </c>
      <c r="E51" s="40" t="s">
        <v>468</v>
      </c>
      <c r="F51" s="39" t="s">
        <v>467</v>
      </c>
      <c r="G51" s="42">
        <v>0.86</v>
      </c>
      <c r="H51" s="42">
        <v>1.83</v>
      </c>
      <c r="I51" s="41">
        <v>-52683596</v>
      </c>
      <c r="J51" s="41">
        <v>-1617</v>
      </c>
      <c r="K51" s="46">
        <v>32581.07</v>
      </c>
      <c r="L51" s="66">
        <v>28300</v>
      </c>
      <c r="M51" s="65" t="s">
        <v>367</v>
      </c>
      <c r="N51" s="64" t="s">
        <v>414</v>
      </c>
      <c r="O51" s="63">
        <v>0.71</v>
      </c>
      <c r="P51" s="41">
        <v>6922496</v>
      </c>
      <c r="Q51" s="42">
        <v>13.14</v>
      </c>
      <c r="R51" s="41">
        <v>-323400</v>
      </c>
      <c r="S51" s="41">
        <v>242490</v>
      </c>
      <c r="T51" s="40" t="s">
        <v>269</v>
      </c>
      <c r="U51" s="39" t="s">
        <v>343</v>
      </c>
      <c r="V51" s="38" t="s">
        <v>342</v>
      </c>
      <c r="W51" s="38" t="s">
        <v>342</v>
      </c>
    </row>
    <row r="52" spans="1:23">
      <c r="A52" s="50" t="s">
        <v>453</v>
      </c>
      <c r="B52" s="50" t="s">
        <v>399</v>
      </c>
      <c r="C52" s="49" t="s">
        <v>668</v>
      </c>
      <c r="D52" s="77" t="s">
        <v>339</v>
      </c>
      <c r="E52" s="50" t="s">
        <v>288</v>
      </c>
      <c r="F52" s="49" t="s">
        <v>289</v>
      </c>
      <c r="G52" s="52">
        <v>1.03</v>
      </c>
      <c r="H52" s="52">
        <v>2.21</v>
      </c>
      <c r="I52" s="51">
        <v>-53178976</v>
      </c>
      <c r="J52" s="51">
        <v>-280</v>
      </c>
      <c r="K52" s="56">
        <v>189924.91</v>
      </c>
      <c r="L52" s="76">
        <v>196500</v>
      </c>
      <c r="M52" s="75" t="s">
        <v>367</v>
      </c>
      <c r="N52" s="74" t="s">
        <v>465</v>
      </c>
      <c r="O52" s="73">
        <v>8.86</v>
      </c>
      <c r="P52" s="51">
        <v>-1841024</v>
      </c>
      <c r="Q52" s="52">
        <v>-3.46</v>
      </c>
      <c r="R52" s="51">
        <v>-4480000</v>
      </c>
      <c r="S52" s="51">
        <v>213524</v>
      </c>
      <c r="T52" s="50" t="s">
        <v>269</v>
      </c>
      <c r="U52" s="49" t="s">
        <v>343</v>
      </c>
      <c r="V52" s="48" t="s">
        <v>342</v>
      </c>
      <c r="W52" s="48" t="s">
        <v>342</v>
      </c>
    </row>
    <row r="53" spans="1:23">
      <c r="A53" s="40" t="s">
        <v>459</v>
      </c>
      <c r="B53" s="40" t="s">
        <v>399</v>
      </c>
      <c r="C53" s="39" t="s">
        <v>668</v>
      </c>
      <c r="D53" s="72" t="s">
        <v>339</v>
      </c>
      <c r="E53" s="40" t="s">
        <v>463</v>
      </c>
      <c r="F53" s="39" t="s">
        <v>462</v>
      </c>
      <c r="G53" s="42">
        <v>1.43</v>
      </c>
      <c r="H53" s="42">
        <v>3.05</v>
      </c>
      <c r="I53" s="41">
        <v>-76544232</v>
      </c>
      <c r="J53" s="41">
        <v>-250</v>
      </c>
      <c r="K53" s="46">
        <v>306176.93</v>
      </c>
      <c r="L53" s="41">
        <v>304000</v>
      </c>
      <c r="M53" s="45" t="s">
        <v>269</v>
      </c>
      <c r="N53" s="44" t="s">
        <v>342</v>
      </c>
      <c r="O53" s="43">
        <v>0</v>
      </c>
      <c r="P53" s="41">
        <v>544232</v>
      </c>
      <c r="Q53" s="42">
        <v>0.71</v>
      </c>
      <c r="R53" s="41">
        <v>0</v>
      </c>
      <c r="S53" s="41">
        <v>409738</v>
      </c>
      <c r="T53" s="40" t="s">
        <v>269</v>
      </c>
      <c r="U53" s="39" t="s">
        <v>343</v>
      </c>
      <c r="V53" s="38" t="s">
        <v>342</v>
      </c>
      <c r="W53" s="38" t="s">
        <v>342</v>
      </c>
    </row>
    <row r="54" spans="1:23">
      <c r="A54" s="50" t="s">
        <v>457</v>
      </c>
      <c r="B54" s="50" t="s">
        <v>399</v>
      </c>
      <c r="C54" s="49" t="s">
        <v>668</v>
      </c>
      <c r="D54" s="77" t="s">
        <v>339</v>
      </c>
      <c r="E54" s="50" t="s">
        <v>301</v>
      </c>
      <c r="F54" s="49" t="s">
        <v>302</v>
      </c>
      <c r="G54" s="52">
        <v>0.82</v>
      </c>
      <c r="H54" s="52">
        <v>1.75</v>
      </c>
      <c r="I54" s="51">
        <v>-43229970</v>
      </c>
      <c r="J54" s="51">
        <v>-230</v>
      </c>
      <c r="K54" s="56">
        <v>187956.39</v>
      </c>
      <c r="L54" s="76">
        <v>189500</v>
      </c>
      <c r="M54" s="75" t="s">
        <v>367</v>
      </c>
      <c r="N54" s="74" t="s">
        <v>460</v>
      </c>
      <c r="O54" s="73">
        <v>1.61</v>
      </c>
      <c r="P54" s="51">
        <v>-355030</v>
      </c>
      <c r="Q54" s="52">
        <v>-0.82</v>
      </c>
      <c r="R54" s="51">
        <v>-690000</v>
      </c>
      <c r="S54" s="51">
        <v>173530</v>
      </c>
      <c r="T54" s="50" t="s">
        <v>269</v>
      </c>
      <c r="U54" s="49" t="s">
        <v>343</v>
      </c>
      <c r="V54" s="48" t="s">
        <v>342</v>
      </c>
      <c r="W54" s="48" t="s">
        <v>342</v>
      </c>
    </row>
    <row r="55" spans="1:23">
      <c r="A55" s="40" t="s">
        <v>456</v>
      </c>
      <c r="B55" s="40" t="s">
        <v>399</v>
      </c>
      <c r="C55" s="39" t="s">
        <v>668</v>
      </c>
      <c r="D55" s="72" t="s">
        <v>339</v>
      </c>
      <c r="E55" s="40" t="s">
        <v>129</v>
      </c>
      <c r="F55" s="39" t="s">
        <v>130</v>
      </c>
      <c r="G55" s="42">
        <v>1.45</v>
      </c>
      <c r="H55" s="42">
        <v>3.09</v>
      </c>
      <c r="I55" s="41">
        <v>-78011960</v>
      </c>
      <c r="J55" s="41">
        <v>-1180</v>
      </c>
      <c r="K55" s="46">
        <v>66111.83</v>
      </c>
      <c r="L55" s="66">
        <v>65200</v>
      </c>
      <c r="M55" s="65" t="s">
        <v>367</v>
      </c>
      <c r="N55" s="64" t="s">
        <v>428</v>
      </c>
      <c r="O55" s="63">
        <v>0.77</v>
      </c>
      <c r="P55" s="41">
        <v>1075960</v>
      </c>
      <c r="Q55" s="42">
        <v>1.38</v>
      </c>
      <c r="R55" s="41">
        <v>-590000</v>
      </c>
      <c r="S55" s="41">
        <v>313140</v>
      </c>
      <c r="T55" s="40" t="s">
        <v>269</v>
      </c>
      <c r="U55" s="39" t="s">
        <v>343</v>
      </c>
      <c r="V55" s="38" t="s">
        <v>342</v>
      </c>
      <c r="W55" s="38" t="s">
        <v>342</v>
      </c>
    </row>
    <row r="56" spans="1:23">
      <c r="A56" s="50" t="s">
        <v>452</v>
      </c>
      <c r="B56" s="50" t="s">
        <v>399</v>
      </c>
      <c r="C56" s="49" t="s">
        <v>668</v>
      </c>
      <c r="D56" s="77" t="s">
        <v>339</v>
      </c>
      <c r="E56" s="50" t="s">
        <v>320</v>
      </c>
      <c r="F56" s="49" t="s">
        <v>321</v>
      </c>
      <c r="G56" s="52">
        <v>0.94</v>
      </c>
      <c r="H56" s="52">
        <v>2</v>
      </c>
      <c r="I56" s="51">
        <v>-49256956</v>
      </c>
      <c r="J56" s="51">
        <v>-420</v>
      </c>
      <c r="K56" s="56">
        <v>117278.47</v>
      </c>
      <c r="L56" s="62">
        <v>119000</v>
      </c>
      <c r="M56" s="61" t="s">
        <v>362</v>
      </c>
      <c r="N56" s="60" t="s">
        <v>458</v>
      </c>
      <c r="O56" s="59">
        <v>-2.06</v>
      </c>
      <c r="P56" s="51">
        <v>-723044</v>
      </c>
      <c r="Q56" s="52">
        <v>-1.47</v>
      </c>
      <c r="R56" s="51">
        <v>1050000</v>
      </c>
      <c r="S56" s="51">
        <v>887520</v>
      </c>
      <c r="T56" s="50" t="s">
        <v>269</v>
      </c>
      <c r="U56" s="49" t="s">
        <v>343</v>
      </c>
      <c r="V56" s="48" t="s">
        <v>342</v>
      </c>
      <c r="W56" s="48" t="s">
        <v>342</v>
      </c>
    </row>
    <row r="57" spans="1:23">
      <c r="A57" s="40" t="s">
        <v>373</v>
      </c>
      <c r="B57" s="40" t="s">
        <v>399</v>
      </c>
      <c r="C57" s="39" t="s">
        <v>668</v>
      </c>
      <c r="D57" s="72" t="s">
        <v>339</v>
      </c>
      <c r="E57" s="40" t="s">
        <v>330</v>
      </c>
      <c r="F57" s="39" t="s">
        <v>331</v>
      </c>
      <c r="G57" s="42">
        <v>1.42</v>
      </c>
      <c r="H57" s="42">
        <v>3.02</v>
      </c>
      <c r="I57" s="41">
        <v>-77703022</v>
      </c>
      <c r="J57" s="41">
        <v>-360</v>
      </c>
      <c r="K57" s="46">
        <v>215841.73</v>
      </c>
      <c r="L57" s="66">
        <v>209000</v>
      </c>
      <c r="M57" s="65" t="s">
        <v>367</v>
      </c>
      <c r="N57" s="64" t="s">
        <v>389</v>
      </c>
      <c r="O57" s="63">
        <v>1.7</v>
      </c>
      <c r="P57" s="41">
        <v>2463022</v>
      </c>
      <c r="Q57" s="42">
        <v>3.17</v>
      </c>
      <c r="R57" s="41">
        <v>-1260000</v>
      </c>
      <c r="S57" s="41">
        <v>576334</v>
      </c>
      <c r="T57" s="40" t="s">
        <v>269</v>
      </c>
      <c r="U57" s="39" t="s">
        <v>343</v>
      </c>
      <c r="V57" s="38" t="s">
        <v>342</v>
      </c>
      <c r="W57" s="38" t="s">
        <v>342</v>
      </c>
    </row>
    <row r="58" spans="1:23">
      <c r="A58" s="50" t="s">
        <v>449</v>
      </c>
      <c r="B58" s="50" t="s">
        <v>399</v>
      </c>
      <c r="C58" s="49" t="s">
        <v>668</v>
      </c>
      <c r="D58" s="77" t="s">
        <v>339</v>
      </c>
      <c r="E58" s="50" t="s">
        <v>455</v>
      </c>
      <c r="F58" s="49" t="s">
        <v>454</v>
      </c>
      <c r="G58" s="52">
        <v>0.59</v>
      </c>
      <c r="H58" s="52">
        <v>1.27</v>
      </c>
      <c r="I58" s="51">
        <v>-37202476</v>
      </c>
      <c r="J58" s="51">
        <v>-650</v>
      </c>
      <c r="K58" s="56">
        <v>57234.58</v>
      </c>
      <c r="L58" s="76">
        <v>48750</v>
      </c>
      <c r="M58" s="75" t="s">
        <v>367</v>
      </c>
      <c r="N58" s="74" t="s">
        <v>453</v>
      </c>
      <c r="O58" s="73">
        <v>0.1</v>
      </c>
      <c r="P58" s="51">
        <v>5514976</v>
      </c>
      <c r="Q58" s="52">
        <v>14.82</v>
      </c>
      <c r="R58" s="51">
        <v>-32500</v>
      </c>
      <c r="S58" s="51">
        <v>149324</v>
      </c>
      <c r="T58" s="50" t="s">
        <v>269</v>
      </c>
      <c r="U58" s="49" t="s">
        <v>343</v>
      </c>
      <c r="V58" s="48" t="s">
        <v>342</v>
      </c>
      <c r="W58" s="48" t="s">
        <v>342</v>
      </c>
    </row>
    <row r="59" spans="1:23">
      <c r="A59" s="40" t="s">
        <v>447</v>
      </c>
      <c r="B59" s="40" t="s">
        <v>399</v>
      </c>
      <c r="C59" s="39" t="s">
        <v>668</v>
      </c>
      <c r="D59" s="72" t="s">
        <v>339</v>
      </c>
      <c r="E59" s="40" t="s">
        <v>238</v>
      </c>
      <c r="F59" s="39" t="s">
        <v>239</v>
      </c>
      <c r="G59" s="42">
        <v>1.99</v>
      </c>
      <c r="H59" s="42">
        <v>4.25</v>
      </c>
      <c r="I59" s="41">
        <v>-109663969</v>
      </c>
      <c r="J59" s="41">
        <v>-701</v>
      </c>
      <c r="K59" s="46">
        <v>156439.32999999999</v>
      </c>
      <c r="L59" s="70">
        <v>151000</v>
      </c>
      <c r="M59" s="69" t="s">
        <v>362</v>
      </c>
      <c r="N59" s="68" t="s">
        <v>451</v>
      </c>
      <c r="O59" s="67">
        <v>-2.58</v>
      </c>
      <c r="P59" s="41">
        <v>3812969</v>
      </c>
      <c r="Q59" s="42">
        <v>3.48</v>
      </c>
      <c r="R59" s="41">
        <v>2229000</v>
      </c>
      <c r="S59" s="41">
        <v>429756</v>
      </c>
      <c r="T59" s="40" t="s">
        <v>269</v>
      </c>
      <c r="U59" s="39" t="s">
        <v>343</v>
      </c>
      <c r="V59" s="38" t="s">
        <v>342</v>
      </c>
      <c r="W59" s="38" t="s">
        <v>342</v>
      </c>
    </row>
    <row r="60" spans="1:23">
      <c r="A60" s="50" t="s">
        <v>446</v>
      </c>
      <c r="B60" s="50" t="s">
        <v>399</v>
      </c>
      <c r="C60" s="49" t="s">
        <v>668</v>
      </c>
      <c r="D60" s="77" t="s">
        <v>339</v>
      </c>
      <c r="E60" s="50" t="s">
        <v>300</v>
      </c>
      <c r="F60" s="49" t="s">
        <v>292</v>
      </c>
      <c r="G60" s="52">
        <v>1.93</v>
      </c>
      <c r="H60" s="52">
        <v>4.12</v>
      </c>
      <c r="I60" s="51">
        <v>-103919854</v>
      </c>
      <c r="J60" s="51">
        <v>-10690</v>
      </c>
      <c r="K60" s="56">
        <v>9721.2199999999993</v>
      </c>
      <c r="L60" s="62">
        <v>9600</v>
      </c>
      <c r="M60" s="61" t="s">
        <v>362</v>
      </c>
      <c r="N60" s="60" t="s">
        <v>450</v>
      </c>
      <c r="O60" s="59">
        <v>-3.52</v>
      </c>
      <c r="P60" s="51">
        <v>1295854</v>
      </c>
      <c r="Q60" s="52">
        <v>1.25</v>
      </c>
      <c r="R60" s="51">
        <v>3741500</v>
      </c>
      <c r="S60" s="51">
        <v>417056</v>
      </c>
      <c r="T60" s="50" t="s">
        <v>269</v>
      </c>
      <c r="U60" s="49" t="s">
        <v>343</v>
      </c>
      <c r="V60" s="48" t="s">
        <v>342</v>
      </c>
      <c r="W60" s="48" t="s">
        <v>342</v>
      </c>
    </row>
    <row r="61" spans="1:23">
      <c r="A61" s="40" t="s">
        <v>442</v>
      </c>
      <c r="B61" s="40" t="s">
        <v>399</v>
      </c>
      <c r="C61" s="39" t="s">
        <v>668</v>
      </c>
      <c r="D61" s="72" t="s">
        <v>339</v>
      </c>
      <c r="E61" s="40" t="s">
        <v>326</v>
      </c>
      <c r="F61" s="39" t="s">
        <v>327</v>
      </c>
      <c r="G61" s="42">
        <v>1.55</v>
      </c>
      <c r="H61" s="42">
        <v>3.31</v>
      </c>
      <c r="I61" s="41">
        <v>-82710450</v>
      </c>
      <c r="J61" s="41">
        <v>-970</v>
      </c>
      <c r="K61" s="46">
        <v>85268.51</v>
      </c>
      <c r="L61" s="70">
        <v>85000</v>
      </c>
      <c r="M61" s="69" t="s">
        <v>362</v>
      </c>
      <c r="N61" s="68" t="s">
        <v>448</v>
      </c>
      <c r="O61" s="67">
        <v>-1.28</v>
      </c>
      <c r="P61" s="41">
        <v>260450</v>
      </c>
      <c r="Q61" s="42">
        <v>0.31</v>
      </c>
      <c r="R61" s="41">
        <v>1067000</v>
      </c>
      <c r="S61" s="41">
        <v>701488</v>
      </c>
      <c r="T61" s="40" t="s">
        <v>269</v>
      </c>
      <c r="U61" s="39" t="s">
        <v>343</v>
      </c>
      <c r="V61" s="38" t="s">
        <v>342</v>
      </c>
      <c r="W61" s="38" t="s">
        <v>342</v>
      </c>
    </row>
    <row r="62" spans="1:23">
      <c r="A62" s="50" t="s">
        <v>440</v>
      </c>
      <c r="B62" s="50" t="s">
        <v>399</v>
      </c>
      <c r="C62" s="49" t="s">
        <v>668</v>
      </c>
      <c r="D62" s="77" t="s">
        <v>339</v>
      </c>
      <c r="E62" s="50" t="s">
        <v>332</v>
      </c>
      <c r="F62" s="49" t="s">
        <v>333</v>
      </c>
      <c r="G62" s="52">
        <v>1.44</v>
      </c>
      <c r="H62" s="52">
        <v>3.06</v>
      </c>
      <c r="I62" s="51">
        <v>-77535650</v>
      </c>
      <c r="J62" s="51">
        <v>-270</v>
      </c>
      <c r="K62" s="56">
        <v>287169.07</v>
      </c>
      <c r="L62" s="76">
        <v>282500</v>
      </c>
      <c r="M62" s="75" t="s">
        <v>367</v>
      </c>
      <c r="N62" s="74" t="s">
        <v>382</v>
      </c>
      <c r="O62" s="73">
        <v>0.53</v>
      </c>
      <c r="P62" s="51">
        <v>1260650</v>
      </c>
      <c r="Q62" s="52">
        <v>1.63</v>
      </c>
      <c r="R62" s="51">
        <v>-405000</v>
      </c>
      <c r="S62" s="51">
        <v>394682</v>
      </c>
      <c r="T62" s="50" t="s">
        <v>269</v>
      </c>
      <c r="U62" s="49" t="s">
        <v>343</v>
      </c>
      <c r="V62" s="48" t="s">
        <v>342</v>
      </c>
      <c r="W62" s="48" t="s">
        <v>342</v>
      </c>
    </row>
    <row r="63" spans="1:23">
      <c r="A63" s="40" t="s">
        <v>439</v>
      </c>
      <c r="B63" s="40" t="s">
        <v>399</v>
      </c>
      <c r="C63" s="39" t="s">
        <v>668</v>
      </c>
      <c r="D63" s="72" t="s">
        <v>339</v>
      </c>
      <c r="E63" s="40" t="s">
        <v>445</v>
      </c>
      <c r="F63" s="39" t="s">
        <v>444</v>
      </c>
      <c r="G63" s="42">
        <v>0.82</v>
      </c>
      <c r="H63" s="42">
        <v>1.74</v>
      </c>
      <c r="I63" s="41">
        <v>-48427114</v>
      </c>
      <c r="J63" s="41">
        <v>-1540</v>
      </c>
      <c r="K63" s="46">
        <v>31446.18</v>
      </c>
      <c r="L63" s="70">
        <v>28250</v>
      </c>
      <c r="M63" s="69" t="s">
        <v>362</v>
      </c>
      <c r="N63" s="68" t="s">
        <v>443</v>
      </c>
      <c r="O63" s="67">
        <v>-0.88</v>
      </c>
      <c r="P63" s="41">
        <v>4922114</v>
      </c>
      <c r="Q63" s="42">
        <v>10.16</v>
      </c>
      <c r="R63" s="41">
        <v>385000</v>
      </c>
      <c r="S63" s="41">
        <v>194286</v>
      </c>
      <c r="T63" s="40" t="s">
        <v>269</v>
      </c>
      <c r="U63" s="39" t="s">
        <v>343</v>
      </c>
      <c r="V63" s="38" t="s">
        <v>342</v>
      </c>
      <c r="W63" s="38" t="s">
        <v>342</v>
      </c>
    </row>
    <row r="64" spans="1:23">
      <c r="A64" s="50" t="s">
        <v>438</v>
      </c>
      <c r="B64" s="50" t="s">
        <v>399</v>
      </c>
      <c r="C64" s="49" t="s">
        <v>668</v>
      </c>
      <c r="D64" s="77" t="s">
        <v>339</v>
      </c>
      <c r="E64" s="50" t="s">
        <v>143</v>
      </c>
      <c r="F64" s="49" t="s">
        <v>144</v>
      </c>
      <c r="G64" s="52">
        <v>0.51</v>
      </c>
      <c r="H64" s="52">
        <v>1.08</v>
      </c>
      <c r="I64" s="51">
        <v>-26572611</v>
      </c>
      <c r="J64" s="51">
        <v>-2970</v>
      </c>
      <c r="K64" s="56">
        <v>8947.01</v>
      </c>
      <c r="L64" s="62">
        <v>9110</v>
      </c>
      <c r="M64" s="61" t="s">
        <v>362</v>
      </c>
      <c r="N64" s="60" t="s">
        <v>441</v>
      </c>
      <c r="O64" s="59">
        <v>-2.88</v>
      </c>
      <c r="P64" s="51">
        <v>-484089</v>
      </c>
      <c r="Q64" s="52">
        <v>-1.82</v>
      </c>
      <c r="R64" s="51">
        <v>801900</v>
      </c>
      <c r="S64" s="51">
        <v>106679</v>
      </c>
      <c r="T64" s="50" t="s">
        <v>269</v>
      </c>
      <c r="U64" s="49" t="s">
        <v>343</v>
      </c>
      <c r="V64" s="48" t="s">
        <v>342</v>
      </c>
      <c r="W64" s="48" t="s">
        <v>342</v>
      </c>
    </row>
    <row r="65" spans="1:23">
      <c r="A65" s="40" t="s">
        <v>436</v>
      </c>
      <c r="B65" s="40" t="s">
        <v>399</v>
      </c>
      <c r="C65" s="39" t="s">
        <v>668</v>
      </c>
      <c r="D65" s="72" t="s">
        <v>339</v>
      </c>
      <c r="E65" s="40" t="s">
        <v>204</v>
      </c>
      <c r="F65" s="39" t="s">
        <v>205</v>
      </c>
      <c r="G65" s="42">
        <v>1</v>
      </c>
      <c r="H65" s="42">
        <v>2.14</v>
      </c>
      <c r="I65" s="41">
        <v>-52714346</v>
      </c>
      <c r="J65" s="41">
        <v>-240</v>
      </c>
      <c r="K65" s="46">
        <v>219643.11</v>
      </c>
      <c r="L65" s="66">
        <v>222500</v>
      </c>
      <c r="M65" s="65" t="s">
        <v>367</v>
      </c>
      <c r="N65" s="64" t="s">
        <v>398</v>
      </c>
      <c r="O65" s="63">
        <v>0.91</v>
      </c>
      <c r="P65" s="41">
        <v>-685654</v>
      </c>
      <c r="Q65" s="42">
        <v>-1.3</v>
      </c>
      <c r="R65" s="41">
        <v>-480000</v>
      </c>
      <c r="S65" s="41">
        <v>211654</v>
      </c>
      <c r="T65" s="40" t="s">
        <v>269</v>
      </c>
      <c r="U65" s="39" t="s">
        <v>343</v>
      </c>
      <c r="V65" s="38" t="s">
        <v>342</v>
      </c>
      <c r="W65" s="38" t="s">
        <v>342</v>
      </c>
    </row>
    <row r="66" spans="1:23">
      <c r="A66" s="50" t="s">
        <v>435</v>
      </c>
      <c r="B66" s="50" t="s">
        <v>399</v>
      </c>
      <c r="C66" s="49" t="s">
        <v>668</v>
      </c>
      <c r="D66" s="77" t="s">
        <v>339</v>
      </c>
      <c r="E66" s="50" t="s">
        <v>145</v>
      </c>
      <c r="F66" s="49" t="s">
        <v>146</v>
      </c>
      <c r="G66" s="52">
        <v>0.9</v>
      </c>
      <c r="H66" s="52">
        <v>1.92</v>
      </c>
      <c r="I66" s="51">
        <v>-43928894</v>
      </c>
      <c r="J66" s="51">
        <v>-4229</v>
      </c>
      <c r="K66" s="56">
        <v>10387.540000000001</v>
      </c>
      <c r="L66" s="76">
        <v>11350</v>
      </c>
      <c r="M66" s="75" t="s">
        <v>367</v>
      </c>
      <c r="N66" s="74" t="s">
        <v>401</v>
      </c>
      <c r="O66" s="73">
        <v>1.34</v>
      </c>
      <c r="P66" s="51">
        <v>-4070256</v>
      </c>
      <c r="Q66" s="52">
        <v>-9.27</v>
      </c>
      <c r="R66" s="51">
        <v>-634350</v>
      </c>
      <c r="S66" s="51">
        <v>247860</v>
      </c>
      <c r="T66" s="50" t="s">
        <v>269</v>
      </c>
      <c r="U66" s="49" t="s">
        <v>343</v>
      </c>
      <c r="V66" s="48" t="s">
        <v>342</v>
      </c>
      <c r="W66" s="48" t="s">
        <v>342</v>
      </c>
    </row>
    <row r="67" spans="1:23">
      <c r="A67" s="40" t="s">
        <v>434</v>
      </c>
      <c r="B67" s="40" t="s">
        <v>399</v>
      </c>
      <c r="C67" s="39" t="s">
        <v>668</v>
      </c>
      <c r="D67" s="72" t="s">
        <v>339</v>
      </c>
      <c r="E67" s="40" t="s">
        <v>274</v>
      </c>
      <c r="F67" s="39" t="s">
        <v>275</v>
      </c>
      <c r="G67" s="42">
        <v>1.69</v>
      </c>
      <c r="H67" s="42">
        <v>3.6</v>
      </c>
      <c r="I67" s="41">
        <v>-84188934</v>
      </c>
      <c r="J67" s="41">
        <v>-430</v>
      </c>
      <c r="K67" s="46">
        <v>195788.22</v>
      </c>
      <c r="L67" s="66">
        <v>208500</v>
      </c>
      <c r="M67" s="65" t="s">
        <v>367</v>
      </c>
      <c r="N67" s="64" t="s">
        <v>437</v>
      </c>
      <c r="O67" s="63">
        <v>2.46</v>
      </c>
      <c r="P67" s="41">
        <v>-5466066</v>
      </c>
      <c r="Q67" s="42">
        <v>-6.49</v>
      </c>
      <c r="R67" s="41">
        <v>-2150000</v>
      </c>
      <c r="S67" s="41">
        <v>338066</v>
      </c>
      <c r="T67" s="40" t="s">
        <v>269</v>
      </c>
      <c r="U67" s="39" t="s">
        <v>343</v>
      </c>
      <c r="V67" s="38" t="s">
        <v>342</v>
      </c>
      <c r="W67" s="38" t="s">
        <v>342</v>
      </c>
    </row>
    <row r="68" spans="1:23">
      <c r="A68" s="50" t="s">
        <v>433</v>
      </c>
      <c r="B68" s="50" t="s">
        <v>399</v>
      </c>
      <c r="C68" s="49" t="s">
        <v>668</v>
      </c>
      <c r="D68" s="77" t="s">
        <v>339</v>
      </c>
      <c r="E68" s="50" t="s">
        <v>147</v>
      </c>
      <c r="F68" s="49" t="s">
        <v>148</v>
      </c>
      <c r="G68" s="52">
        <v>1.63</v>
      </c>
      <c r="H68" s="52">
        <v>3.47</v>
      </c>
      <c r="I68" s="51">
        <v>-81252708</v>
      </c>
      <c r="J68" s="51">
        <v>-413</v>
      </c>
      <c r="K68" s="56">
        <v>196737.79</v>
      </c>
      <c r="L68" s="51">
        <v>209500</v>
      </c>
      <c r="M68" s="55" t="s">
        <v>269</v>
      </c>
      <c r="N68" s="54" t="s">
        <v>342</v>
      </c>
      <c r="O68" s="53">
        <v>0</v>
      </c>
      <c r="P68" s="51">
        <v>-5270792</v>
      </c>
      <c r="Q68" s="52">
        <v>-6.49</v>
      </c>
      <c r="R68" s="51">
        <v>0</v>
      </c>
      <c r="S68" s="51">
        <v>528792</v>
      </c>
      <c r="T68" s="50" t="s">
        <v>269</v>
      </c>
      <c r="U68" s="49" t="s">
        <v>343</v>
      </c>
      <c r="V68" s="48" t="s">
        <v>342</v>
      </c>
      <c r="W68" s="48" t="s">
        <v>342</v>
      </c>
    </row>
    <row r="69" spans="1:23">
      <c r="A69" s="40" t="s">
        <v>430</v>
      </c>
      <c r="B69" s="40" t="s">
        <v>399</v>
      </c>
      <c r="C69" s="39" t="s">
        <v>668</v>
      </c>
      <c r="D69" s="72" t="s">
        <v>339</v>
      </c>
      <c r="E69" s="40" t="s">
        <v>153</v>
      </c>
      <c r="F69" s="39" t="s">
        <v>154</v>
      </c>
      <c r="G69" s="42">
        <v>1.36</v>
      </c>
      <c r="H69" s="42">
        <v>2.89</v>
      </c>
      <c r="I69" s="41">
        <v>-81654294</v>
      </c>
      <c r="J69" s="41">
        <v>-890</v>
      </c>
      <c r="K69" s="58">
        <v>91746.4</v>
      </c>
      <c r="L69" s="41">
        <v>81000</v>
      </c>
      <c r="M69" s="45" t="s">
        <v>269</v>
      </c>
      <c r="N69" s="44" t="s">
        <v>342</v>
      </c>
      <c r="O69" s="43">
        <v>0</v>
      </c>
      <c r="P69" s="41">
        <v>9564294</v>
      </c>
      <c r="Q69" s="42">
        <v>11.71</v>
      </c>
      <c r="R69" s="41">
        <v>0</v>
      </c>
      <c r="S69" s="41">
        <v>327806</v>
      </c>
      <c r="T69" s="40" t="s">
        <v>269</v>
      </c>
      <c r="U69" s="39" t="s">
        <v>343</v>
      </c>
      <c r="V69" s="38" t="s">
        <v>342</v>
      </c>
      <c r="W69" s="38" t="s">
        <v>342</v>
      </c>
    </row>
    <row r="70" spans="1:23">
      <c r="A70" s="50" t="s">
        <v>429</v>
      </c>
      <c r="B70" s="50" t="s">
        <v>399</v>
      </c>
      <c r="C70" s="49" t="s">
        <v>668</v>
      </c>
      <c r="D70" s="77" t="s">
        <v>339</v>
      </c>
      <c r="E70" s="50" t="s">
        <v>310</v>
      </c>
      <c r="F70" s="49" t="s">
        <v>311</v>
      </c>
      <c r="G70" s="52">
        <v>0.62</v>
      </c>
      <c r="H70" s="52">
        <v>1.33</v>
      </c>
      <c r="I70" s="51">
        <v>-36542905</v>
      </c>
      <c r="J70" s="51">
        <v>-2200</v>
      </c>
      <c r="K70" s="56">
        <v>16610.41</v>
      </c>
      <c r="L70" s="62">
        <v>15100</v>
      </c>
      <c r="M70" s="61" t="s">
        <v>362</v>
      </c>
      <c r="N70" s="60" t="s">
        <v>371</v>
      </c>
      <c r="O70" s="59">
        <v>-1.95</v>
      </c>
      <c r="P70" s="51">
        <v>3322905</v>
      </c>
      <c r="Q70" s="52">
        <v>9.09</v>
      </c>
      <c r="R70" s="51">
        <v>660000</v>
      </c>
      <c r="S70" s="51">
        <v>336730</v>
      </c>
      <c r="T70" s="50" t="s">
        <v>269</v>
      </c>
      <c r="U70" s="49" t="s">
        <v>343</v>
      </c>
      <c r="V70" s="48" t="s">
        <v>342</v>
      </c>
      <c r="W70" s="48" t="s">
        <v>342</v>
      </c>
    </row>
    <row r="71" spans="1:23">
      <c r="A71" s="40" t="s">
        <v>427</v>
      </c>
      <c r="B71" s="40" t="s">
        <v>399</v>
      </c>
      <c r="C71" s="39" t="s">
        <v>668</v>
      </c>
      <c r="D71" s="72" t="s">
        <v>339</v>
      </c>
      <c r="E71" s="40" t="s">
        <v>432</v>
      </c>
      <c r="F71" s="39" t="s">
        <v>431</v>
      </c>
      <c r="G71" s="42">
        <v>1.35</v>
      </c>
      <c r="H71" s="42">
        <v>2.87</v>
      </c>
      <c r="I71" s="41">
        <v>-71006668</v>
      </c>
      <c r="J71" s="41">
        <v>-3000</v>
      </c>
      <c r="K71" s="46">
        <v>23668.89</v>
      </c>
      <c r="L71" s="70">
        <v>23850</v>
      </c>
      <c r="M71" s="69" t="s">
        <v>362</v>
      </c>
      <c r="N71" s="68" t="s">
        <v>401</v>
      </c>
      <c r="O71" s="67">
        <v>-0.62</v>
      </c>
      <c r="P71" s="41">
        <v>-543332</v>
      </c>
      <c r="Q71" s="42">
        <v>-0.77</v>
      </c>
      <c r="R71" s="41">
        <v>450000</v>
      </c>
      <c r="S71" s="41">
        <v>285132</v>
      </c>
      <c r="T71" s="40" t="s">
        <v>269</v>
      </c>
      <c r="U71" s="39" t="s">
        <v>343</v>
      </c>
      <c r="V71" s="38" t="s">
        <v>342</v>
      </c>
      <c r="W71" s="38" t="s">
        <v>342</v>
      </c>
    </row>
    <row r="72" spans="1:23">
      <c r="A72" s="50" t="s">
        <v>375</v>
      </c>
      <c r="B72" s="50" t="s">
        <v>399</v>
      </c>
      <c r="C72" s="49" t="s">
        <v>668</v>
      </c>
      <c r="D72" s="77" t="s">
        <v>339</v>
      </c>
      <c r="E72" s="50" t="s">
        <v>261</v>
      </c>
      <c r="F72" s="49" t="s">
        <v>262</v>
      </c>
      <c r="G72" s="52">
        <v>0.53</v>
      </c>
      <c r="H72" s="52">
        <v>1.1299999999999999</v>
      </c>
      <c r="I72" s="51">
        <v>-27250641</v>
      </c>
      <c r="J72" s="51">
        <v>-426</v>
      </c>
      <c r="K72" s="56">
        <v>63968.639999999999</v>
      </c>
      <c r="L72" s="76">
        <v>66200</v>
      </c>
      <c r="M72" s="75" t="s">
        <v>367</v>
      </c>
      <c r="N72" s="74" t="s">
        <v>384</v>
      </c>
      <c r="O72" s="73">
        <v>1.53</v>
      </c>
      <c r="P72" s="51">
        <v>-950559</v>
      </c>
      <c r="Q72" s="52">
        <v>-3.49</v>
      </c>
      <c r="R72" s="51">
        <v>-426000</v>
      </c>
      <c r="S72" s="51">
        <v>228548</v>
      </c>
      <c r="T72" s="50" t="s">
        <v>269</v>
      </c>
      <c r="U72" s="49" t="s">
        <v>343</v>
      </c>
      <c r="V72" s="48" t="s">
        <v>342</v>
      </c>
      <c r="W72" s="48" t="s">
        <v>342</v>
      </c>
    </row>
    <row r="73" spans="1:23">
      <c r="A73" s="40" t="s">
        <v>422</v>
      </c>
      <c r="B73" s="40" t="s">
        <v>399</v>
      </c>
      <c r="C73" s="39" t="s">
        <v>668</v>
      </c>
      <c r="D73" s="72" t="s">
        <v>339</v>
      </c>
      <c r="E73" s="40" t="s">
        <v>163</v>
      </c>
      <c r="F73" s="39" t="s">
        <v>164</v>
      </c>
      <c r="G73" s="42">
        <v>0.4</v>
      </c>
      <c r="H73" s="42">
        <v>0.86</v>
      </c>
      <c r="I73" s="41">
        <v>-20823406</v>
      </c>
      <c r="J73" s="41">
        <v>-80</v>
      </c>
      <c r="K73" s="46">
        <v>260292.58</v>
      </c>
      <c r="L73" s="66">
        <v>268500</v>
      </c>
      <c r="M73" s="65" t="s">
        <v>367</v>
      </c>
      <c r="N73" s="64" t="s">
        <v>428</v>
      </c>
      <c r="O73" s="63">
        <v>0.19</v>
      </c>
      <c r="P73" s="41">
        <v>-656594</v>
      </c>
      <c r="Q73" s="42">
        <v>-3.15</v>
      </c>
      <c r="R73" s="41">
        <v>-40000</v>
      </c>
      <c r="S73" s="41">
        <v>448984</v>
      </c>
      <c r="T73" s="40" t="s">
        <v>269</v>
      </c>
      <c r="U73" s="39" t="s">
        <v>343</v>
      </c>
      <c r="V73" s="38" t="s">
        <v>342</v>
      </c>
      <c r="W73" s="38" t="s">
        <v>342</v>
      </c>
    </row>
    <row r="74" spans="1:23">
      <c r="A74" s="50" t="s">
        <v>421</v>
      </c>
      <c r="B74" s="50" t="s">
        <v>399</v>
      </c>
      <c r="C74" s="49" t="s">
        <v>668</v>
      </c>
      <c r="D74" s="77" t="s">
        <v>339</v>
      </c>
      <c r="E74" s="50" t="s">
        <v>165</v>
      </c>
      <c r="F74" s="49" t="s">
        <v>166</v>
      </c>
      <c r="G74" s="52">
        <v>0.69</v>
      </c>
      <c r="H74" s="52">
        <v>1.48</v>
      </c>
      <c r="I74" s="51">
        <v>-28485282</v>
      </c>
      <c r="J74" s="51">
        <v>-1083</v>
      </c>
      <c r="K74" s="78">
        <v>26302.2</v>
      </c>
      <c r="L74" s="62">
        <v>34100</v>
      </c>
      <c r="M74" s="61" t="s">
        <v>362</v>
      </c>
      <c r="N74" s="60" t="s">
        <v>426</v>
      </c>
      <c r="O74" s="59">
        <v>-3.94</v>
      </c>
      <c r="P74" s="51">
        <v>-8445018</v>
      </c>
      <c r="Q74" s="52">
        <v>-29.65</v>
      </c>
      <c r="R74" s="51">
        <v>1516200</v>
      </c>
      <c r="S74" s="51">
        <v>228602</v>
      </c>
      <c r="T74" s="50" t="s">
        <v>269</v>
      </c>
      <c r="U74" s="49" t="s">
        <v>343</v>
      </c>
      <c r="V74" s="48" t="s">
        <v>342</v>
      </c>
      <c r="W74" s="48" t="s">
        <v>342</v>
      </c>
    </row>
    <row r="75" spans="1:23">
      <c r="A75" s="40" t="s">
        <v>420</v>
      </c>
      <c r="B75" s="40" t="s">
        <v>399</v>
      </c>
      <c r="C75" s="39" t="s">
        <v>668</v>
      </c>
      <c r="D75" s="72" t="s">
        <v>339</v>
      </c>
      <c r="E75" s="40" t="s">
        <v>425</v>
      </c>
      <c r="F75" s="39" t="s">
        <v>424</v>
      </c>
      <c r="G75" s="42">
        <v>1.65</v>
      </c>
      <c r="H75" s="42">
        <v>3.51</v>
      </c>
      <c r="I75" s="41">
        <v>-88275692</v>
      </c>
      <c r="J75" s="41">
        <v>-810</v>
      </c>
      <c r="K75" s="46">
        <v>108982.34</v>
      </c>
      <c r="L75" s="70">
        <v>108000</v>
      </c>
      <c r="M75" s="69" t="s">
        <v>362</v>
      </c>
      <c r="N75" s="68" t="s">
        <v>423</v>
      </c>
      <c r="O75" s="67">
        <v>-0.55000000000000004</v>
      </c>
      <c r="P75" s="41">
        <v>795692</v>
      </c>
      <c r="Q75" s="42">
        <v>0.9</v>
      </c>
      <c r="R75" s="41">
        <v>486000</v>
      </c>
      <c r="S75" s="41">
        <v>430939</v>
      </c>
      <c r="T75" s="40" t="s">
        <v>269</v>
      </c>
      <c r="U75" s="39" t="s">
        <v>343</v>
      </c>
      <c r="V75" s="38" t="s">
        <v>342</v>
      </c>
      <c r="W75" s="38" t="s">
        <v>342</v>
      </c>
    </row>
    <row r="76" spans="1:23">
      <c r="A76" s="50" t="s">
        <v>418</v>
      </c>
      <c r="B76" s="50" t="s">
        <v>399</v>
      </c>
      <c r="C76" s="49" t="s">
        <v>668</v>
      </c>
      <c r="D76" s="77" t="s">
        <v>339</v>
      </c>
      <c r="E76" s="50" t="s">
        <v>316</v>
      </c>
      <c r="F76" s="49" t="s">
        <v>317</v>
      </c>
      <c r="G76" s="52">
        <v>0.36</v>
      </c>
      <c r="H76" s="52">
        <v>0.77</v>
      </c>
      <c r="I76" s="51">
        <v>-22013378</v>
      </c>
      <c r="J76" s="51">
        <v>-760</v>
      </c>
      <c r="K76" s="56">
        <v>28964.97</v>
      </c>
      <c r="L76" s="76">
        <v>25500</v>
      </c>
      <c r="M76" s="75" t="s">
        <v>367</v>
      </c>
      <c r="N76" s="74" t="s">
        <v>391</v>
      </c>
      <c r="O76" s="73">
        <v>3.24</v>
      </c>
      <c r="P76" s="51">
        <v>2633378</v>
      </c>
      <c r="Q76" s="52">
        <v>11.96</v>
      </c>
      <c r="R76" s="51">
        <v>-608000</v>
      </c>
      <c r="S76" s="51">
        <v>88322</v>
      </c>
      <c r="T76" s="50" t="s">
        <v>269</v>
      </c>
      <c r="U76" s="49" t="s">
        <v>343</v>
      </c>
      <c r="V76" s="48" t="s">
        <v>342</v>
      </c>
      <c r="W76" s="48" t="s">
        <v>342</v>
      </c>
    </row>
    <row r="77" spans="1:23">
      <c r="A77" s="40" t="s">
        <v>417</v>
      </c>
      <c r="B77" s="40" t="s">
        <v>399</v>
      </c>
      <c r="C77" s="39" t="s">
        <v>668</v>
      </c>
      <c r="D77" s="72" t="s">
        <v>339</v>
      </c>
      <c r="E77" s="40" t="s">
        <v>240</v>
      </c>
      <c r="F77" s="39" t="s">
        <v>241</v>
      </c>
      <c r="G77" s="42">
        <v>1.35</v>
      </c>
      <c r="H77" s="42">
        <v>2.87</v>
      </c>
      <c r="I77" s="41">
        <v>-74901863</v>
      </c>
      <c r="J77" s="41">
        <v>-855</v>
      </c>
      <c r="K77" s="46">
        <v>87604.52</v>
      </c>
      <c r="L77" s="66">
        <v>83800</v>
      </c>
      <c r="M77" s="65" t="s">
        <v>367</v>
      </c>
      <c r="N77" s="64" t="s">
        <v>371</v>
      </c>
      <c r="O77" s="63">
        <v>0.36</v>
      </c>
      <c r="P77" s="41">
        <v>3252863</v>
      </c>
      <c r="Q77" s="42">
        <v>4.34</v>
      </c>
      <c r="R77" s="41">
        <v>-256500</v>
      </c>
      <c r="S77" s="41">
        <v>399612</v>
      </c>
      <c r="T77" s="40" t="s">
        <v>269</v>
      </c>
      <c r="U77" s="39" t="s">
        <v>343</v>
      </c>
      <c r="V77" s="38" t="s">
        <v>342</v>
      </c>
      <c r="W77" s="38" t="s">
        <v>342</v>
      </c>
    </row>
    <row r="78" spans="1:23">
      <c r="A78" s="50" t="s">
        <v>413</v>
      </c>
      <c r="B78" s="50" t="s">
        <v>399</v>
      </c>
      <c r="C78" s="49" t="s">
        <v>668</v>
      </c>
      <c r="D78" s="77" t="s">
        <v>339</v>
      </c>
      <c r="E78" s="50" t="s">
        <v>218</v>
      </c>
      <c r="F78" s="49" t="s">
        <v>219</v>
      </c>
      <c r="G78" s="52">
        <v>1.57</v>
      </c>
      <c r="H78" s="52">
        <v>3.34</v>
      </c>
      <c r="I78" s="51">
        <v>-92152852</v>
      </c>
      <c r="J78" s="51">
        <v>-3437</v>
      </c>
      <c r="K78" s="51">
        <v>26812</v>
      </c>
      <c r="L78" s="76">
        <v>24200</v>
      </c>
      <c r="M78" s="75" t="s">
        <v>367</v>
      </c>
      <c r="N78" s="74" t="s">
        <v>419</v>
      </c>
      <c r="O78" s="73">
        <v>3.2</v>
      </c>
      <c r="P78" s="51">
        <v>8977452</v>
      </c>
      <c r="Q78" s="52">
        <v>9.74</v>
      </c>
      <c r="R78" s="51">
        <v>-2577750</v>
      </c>
      <c r="S78" s="51">
        <v>369698</v>
      </c>
      <c r="T78" s="50" t="s">
        <v>269</v>
      </c>
      <c r="U78" s="49" t="s">
        <v>343</v>
      </c>
      <c r="V78" s="48" t="s">
        <v>342</v>
      </c>
      <c r="W78" s="48" t="s">
        <v>342</v>
      </c>
    </row>
    <row r="79" spans="1:23">
      <c r="A79" s="40" t="s">
        <v>412</v>
      </c>
      <c r="B79" s="40" t="s">
        <v>399</v>
      </c>
      <c r="C79" s="39" t="s">
        <v>668</v>
      </c>
      <c r="D79" s="72" t="s">
        <v>339</v>
      </c>
      <c r="E79" s="40" t="s">
        <v>263</v>
      </c>
      <c r="F79" s="39" t="s">
        <v>264</v>
      </c>
      <c r="G79" s="42">
        <v>1.08</v>
      </c>
      <c r="H79" s="42">
        <v>2.31</v>
      </c>
      <c r="I79" s="41">
        <v>-57031702</v>
      </c>
      <c r="J79" s="41">
        <v>-460</v>
      </c>
      <c r="K79" s="46">
        <v>123981.96</v>
      </c>
      <c r="L79" s="70">
        <v>125000</v>
      </c>
      <c r="M79" s="69" t="s">
        <v>362</v>
      </c>
      <c r="N79" s="68" t="s">
        <v>398</v>
      </c>
      <c r="O79" s="67">
        <v>-1.57</v>
      </c>
      <c r="P79" s="41">
        <v>-468298</v>
      </c>
      <c r="Q79" s="42">
        <v>-0.82</v>
      </c>
      <c r="R79" s="41">
        <v>920000</v>
      </c>
      <c r="S79" s="41">
        <v>228998</v>
      </c>
      <c r="T79" s="40" t="s">
        <v>269</v>
      </c>
      <c r="U79" s="39" t="s">
        <v>343</v>
      </c>
      <c r="V79" s="38" t="s">
        <v>342</v>
      </c>
      <c r="W79" s="38" t="s">
        <v>342</v>
      </c>
    </row>
    <row r="80" spans="1:23">
      <c r="A80" s="50" t="s">
        <v>409</v>
      </c>
      <c r="B80" s="50" t="s">
        <v>399</v>
      </c>
      <c r="C80" s="49" t="s">
        <v>668</v>
      </c>
      <c r="D80" s="77" t="s">
        <v>339</v>
      </c>
      <c r="E80" s="50" t="s">
        <v>416</v>
      </c>
      <c r="F80" s="49" t="s">
        <v>415</v>
      </c>
      <c r="G80" s="52">
        <v>0.43</v>
      </c>
      <c r="H80" s="52">
        <v>0.93</v>
      </c>
      <c r="I80" s="51">
        <v>-21836845</v>
      </c>
      <c r="J80" s="51">
        <v>-1240</v>
      </c>
      <c r="K80" s="56">
        <v>17610.36</v>
      </c>
      <c r="L80" s="62">
        <v>18700</v>
      </c>
      <c r="M80" s="61" t="s">
        <v>362</v>
      </c>
      <c r="N80" s="60" t="s">
        <v>414</v>
      </c>
      <c r="O80" s="59">
        <v>-1.06</v>
      </c>
      <c r="P80" s="51">
        <v>-1351155</v>
      </c>
      <c r="Q80" s="52">
        <v>-6.19</v>
      </c>
      <c r="R80" s="51">
        <v>248000</v>
      </c>
      <c r="S80" s="51">
        <v>87655</v>
      </c>
      <c r="T80" s="50" t="s">
        <v>269</v>
      </c>
      <c r="U80" s="49" t="s">
        <v>343</v>
      </c>
      <c r="V80" s="48" t="s">
        <v>342</v>
      </c>
      <c r="W80" s="48" t="s">
        <v>342</v>
      </c>
    </row>
    <row r="81" spans="1:23">
      <c r="A81" s="40" t="s">
        <v>408</v>
      </c>
      <c r="B81" s="40" t="s">
        <v>399</v>
      </c>
      <c r="C81" s="39" t="s">
        <v>668</v>
      </c>
      <c r="D81" s="72" t="s">
        <v>339</v>
      </c>
      <c r="E81" s="40" t="s">
        <v>280</v>
      </c>
      <c r="F81" s="39" t="s">
        <v>281</v>
      </c>
      <c r="G81" s="42">
        <v>1.67</v>
      </c>
      <c r="H81" s="42">
        <v>3.55</v>
      </c>
      <c r="I81" s="41">
        <v>-92573312</v>
      </c>
      <c r="J81" s="41">
        <v>-560</v>
      </c>
      <c r="K81" s="46">
        <v>165309.49</v>
      </c>
      <c r="L81" s="66">
        <v>158000</v>
      </c>
      <c r="M81" s="65" t="s">
        <v>367</v>
      </c>
      <c r="N81" s="64" t="s">
        <v>398</v>
      </c>
      <c r="O81" s="63">
        <v>1.28</v>
      </c>
      <c r="P81" s="41">
        <v>4093312</v>
      </c>
      <c r="Q81" s="42">
        <v>4.42</v>
      </c>
      <c r="R81" s="41">
        <v>-1120000</v>
      </c>
      <c r="S81" s="41">
        <v>371688</v>
      </c>
      <c r="T81" s="40" t="s">
        <v>269</v>
      </c>
      <c r="U81" s="39" t="s">
        <v>343</v>
      </c>
      <c r="V81" s="38" t="s">
        <v>342</v>
      </c>
      <c r="W81" s="38" t="s">
        <v>342</v>
      </c>
    </row>
    <row r="82" spans="1:23">
      <c r="A82" s="50" t="s">
        <v>407</v>
      </c>
      <c r="B82" s="50" t="s">
        <v>399</v>
      </c>
      <c r="C82" s="49" t="s">
        <v>668</v>
      </c>
      <c r="D82" s="77" t="s">
        <v>339</v>
      </c>
      <c r="E82" s="50" t="s">
        <v>411</v>
      </c>
      <c r="F82" s="49" t="s">
        <v>410</v>
      </c>
      <c r="G82" s="52">
        <v>0.72</v>
      </c>
      <c r="H82" s="52">
        <v>1.53</v>
      </c>
      <c r="I82" s="51">
        <v>-39702944</v>
      </c>
      <c r="J82" s="51">
        <v>-620</v>
      </c>
      <c r="K82" s="56">
        <v>64037.01</v>
      </c>
      <c r="L82" s="62">
        <v>61600</v>
      </c>
      <c r="M82" s="61" t="s">
        <v>362</v>
      </c>
      <c r="N82" s="60" t="s">
        <v>355</v>
      </c>
      <c r="O82" s="59">
        <v>-0.16</v>
      </c>
      <c r="P82" s="51">
        <v>1510944</v>
      </c>
      <c r="Q82" s="52">
        <v>3.81</v>
      </c>
      <c r="R82" s="51">
        <v>62000</v>
      </c>
      <c r="S82" s="51">
        <v>159356</v>
      </c>
      <c r="T82" s="50" t="s">
        <v>269</v>
      </c>
      <c r="U82" s="49" t="s">
        <v>343</v>
      </c>
      <c r="V82" s="48" t="s">
        <v>342</v>
      </c>
      <c r="W82" s="48" t="s">
        <v>342</v>
      </c>
    </row>
    <row r="83" spans="1:23">
      <c r="A83" s="40" t="s">
        <v>405</v>
      </c>
      <c r="B83" s="40" t="s">
        <v>399</v>
      </c>
      <c r="C83" s="39" t="s">
        <v>668</v>
      </c>
      <c r="D83" s="72" t="s">
        <v>339</v>
      </c>
      <c r="E83" s="40" t="s">
        <v>296</v>
      </c>
      <c r="F83" s="39" t="s">
        <v>297</v>
      </c>
      <c r="G83" s="42">
        <v>1.65</v>
      </c>
      <c r="H83" s="42">
        <v>3.53</v>
      </c>
      <c r="I83" s="41">
        <v>-98061257</v>
      </c>
      <c r="J83" s="41">
        <v>-2866</v>
      </c>
      <c r="K83" s="46">
        <v>34215.370000000003</v>
      </c>
      <c r="L83" s="70">
        <v>30650</v>
      </c>
      <c r="M83" s="69" t="s">
        <v>362</v>
      </c>
      <c r="N83" s="68" t="s">
        <v>355</v>
      </c>
      <c r="O83" s="67">
        <v>-0.33</v>
      </c>
      <c r="P83" s="41">
        <v>10218357</v>
      </c>
      <c r="Q83" s="42">
        <v>10.42</v>
      </c>
      <c r="R83" s="41">
        <v>286600</v>
      </c>
      <c r="S83" s="41">
        <v>393593</v>
      </c>
      <c r="T83" s="40" t="s">
        <v>269</v>
      </c>
      <c r="U83" s="39" t="s">
        <v>343</v>
      </c>
      <c r="V83" s="38" t="s">
        <v>342</v>
      </c>
      <c r="W83" s="38" t="s">
        <v>342</v>
      </c>
    </row>
    <row r="84" spans="1:23">
      <c r="A84" s="50" t="s">
        <v>402</v>
      </c>
      <c r="B84" s="50" t="s">
        <v>399</v>
      </c>
      <c r="C84" s="49" t="s">
        <v>668</v>
      </c>
      <c r="D84" s="77" t="s">
        <v>339</v>
      </c>
      <c r="E84" s="50" t="s">
        <v>312</v>
      </c>
      <c r="F84" s="49" t="s">
        <v>313</v>
      </c>
      <c r="G84" s="52">
        <v>0.37</v>
      </c>
      <c r="H84" s="52">
        <v>0.78</v>
      </c>
      <c r="I84" s="51">
        <v>-20329877</v>
      </c>
      <c r="J84" s="51">
        <v>-160</v>
      </c>
      <c r="K84" s="56">
        <v>127061.73</v>
      </c>
      <c r="L84" s="76">
        <v>122800</v>
      </c>
      <c r="M84" s="75" t="s">
        <v>367</v>
      </c>
      <c r="N84" s="74" t="s">
        <v>371</v>
      </c>
      <c r="O84" s="73">
        <v>0.24</v>
      </c>
      <c r="P84" s="51">
        <v>681877</v>
      </c>
      <c r="Q84" s="52">
        <v>3.35</v>
      </c>
      <c r="R84" s="51">
        <v>-48000</v>
      </c>
      <c r="S84" s="51">
        <v>81623</v>
      </c>
      <c r="T84" s="50" t="s">
        <v>269</v>
      </c>
      <c r="U84" s="49" t="s">
        <v>343</v>
      </c>
      <c r="V84" s="48" t="s">
        <v>342</v>
      </c>
      <c r="W84" s="48" t="s">
        <v>342</v>
      </c>
    </row>
    <row r="85" spans="1:23">
      <c r="A85" s="40" t="s">
        <v>400</v>
      </c>
      <c r="B85" s="40" t="s">
        <v>399</v>
      </c>
      <c r="C85" s="39" t="s">
        <v>669</v>
      </c>
      <c r="D85" s="47" t="s">
        <v>338</v>
      </c>
      <c r="E85" s="40" t="s">
        <v>322</v>
      </c>
      <c r="F85" s="39" t="s">
        <v>323</v>
      </c>
      <c r="G85" s="42">
        <v>1.52</v>
      </c>
      <c r="H85" s="42">
        <v>2.2599999999999998</v>
      </c>
      <c r="I85" s="41">
        <v>83523930</v>
      </c>
      <c r="J85" s="41">
        <v>195</v>
      </c>
      <c r="K85" s="46">
        <v>428327.85</v>
      </c>
      <c r="L85" s="70">
        <v>415000</v>
      </c>
      <c r="M85" s="69" t="s">
        <v>362</v>
      </c>
      <c r="N85" s="68" t="s">
        <v>406</v>
      </c>
      <c r="O85" s="67">
        <v>-2.12</v>
      </c>
      <c r="P85" s="41">
        <v>-2598930</v>
      </c>
      <c r="Q85" s="42">
        <v>-3.11</v>
      </c>
      <c r="R85" s="41">
        <v>-1755000</v>
      </c>
      <c r="S85" s="41">
        <v>83430</v>
      </c>
      <c r="T85" s="40" t="s">
        <v>269</v>
      </c>
      <c r="U85" s="39" t="s">
        <v>343</v>
      </c>
      <c r="V85" s="38" t="s">
        <v>342</v>
      </c>
      <c r="W85" s="38" t="s">
        <v>342</v>
      </c>
    </row>
    <row r="86" spans="1:23">
      <c r="A86" s="50" t="s">
        <v>397</v>
      </c>
      <c r="B86" s="50" t="s">
        <v>399</v>
      </c>
      <c r="C86" s="49" t="s">
        <v>669</v>
      </c>
      <c r="D86" s="57" t="s">
        <v>338</v>
      </c>
      <c r="E86" s="50" t="s">
        <v>404</v>
      </c>
      <c r="F86" s="49" t="s">
        <v>403</v>
      </c>
      <c r="G86" s="52">
        <v>3.46</v>
      </c>
      <c r="H86" s="52">
        <v>5.13</v>
      </c>
      <c r="I86" s="51">
        <v>196950490</v>
      </c>
      <c r="J86" s="51">
        <v>22720</v>
      </c>
      <c r="K86" s="78">
        <v>8668.6</v>
      </c>
      <c r="L86" s="62">
        <v>8070</v>
      </c>
      <c r="M86" s="61" t="s">
        <v>362</v>
      </c>
      <c r="N86" s="60" t="s">
        <v>383</v>
      </c>
      <c r="O86" s="59">
        <v>-1.1000000000000001</v>
      </c>
      <c r="P86" s="51">
        <v>-13600090</v>
      </c>
      <c r="Q86" s="52">
        <v>-6.91</v>
      </c>
      <c r="R86" s="51">
        <v>-2044800</v>
      </c>
      <c r="S86" s="51">
        <v>138670</v>
      </c>
      <c r="T86" s="50" t="s">
        <v>269</v>
      </c>
      <c r="U86" s="49" t="s">
        <v>343</v>
      </c>
      <c r="V86" s="48" t="s">
        <v>342</v>
      </c>
      <c r="W86" s="48" t="s">
        <v>342</v>
      </c>
    </row>
    <row r="87" spans="1:23">
      <c r="A87" s="40" t="s">
        <v>396</v>
      </c>
      <c r="B87" s="40" t="s">
        <v>399</v>
      </c>
      <c r="C87" s="39" t="s">
        <v>669</v>
      </c>
      <c r="D87" s="72" t="s">
        <v>339</v>
      </c>
      <c r="E87" s="40" t="s">
        <v>308</v>
      </c>
      <c r="F87" s="39" t="s">
        <v>309</v>
      </c>
      <c r="G87" s="42">
        <v>3.21</v>
      </c>
      <c r="H87" s="42">
        <v>6.85</v>
      </c>
      <c r="I87" s="41">
        <v>-179102854</v>
      </c>
      <c r="J87" s="41">
        <v>-4090</v>
      </c>
      <c r="K87" s="46">
        <v>43790.43</v>
      </c>
      <c r="L87" s="70">
        <v>41700</v>
      </c>
      <c r="M87" s="69" t="s">
        <v>362</v>
      </c>
      <c r="N87" s="68" t="s">
        <v>401</v>
      </c>
      <c r="O87" s="67">
        <v>-0.36</v>
      </c>
      <c r="P87" s="41">
        <v>8549854</v>
      </c>
      <c r="Q87" s="42">
        <v>4.7699999999999996</v>
      </c>
      <c r="R87" s="41">
        <v>613500</v>
      </c>
      <c r="S87" s="41">
        <v>492180</v>
      </c>
      <c r="T87" s="40" t="s">
        <v>269</v>
      </c>
      <c r="U87" s="39" t="s">
        <v>343</v>
      </c>
      <c r="V87" s="38" t="s">
        <v>342</v>
      </c>
      <c r="W87" s="38" t="s">
        <v>342</v>
      </c>
    </row>
    <row r="88" spans="1:23">
      <c r="A88" s="50" t="s">
        <v>394</v>
      </c>
      <c r="B88" s="50" t="s">
        <v>399</v>
      </c>
      <c r="C88" s="49" t="s">
        <v>669</v>
      </c>
      <c r="D88" s="77" t="s">
        <v>339</v>
      </c>
      <c r="E88" s="50" t="s">
        <v>90</v>
      </c>
      <c r="F88" s="49" t="s">
        <v>91</v>
      </c>
      <c r="G88" s="52">
        <v>1.34</v>
      </c>
      <c r="H88" s="52">
        <v>2.86</v>
      </c>
      <c r="I88" s="51">
        <v>-77784258</v>
      </c>
      <c r="J88" s="51">
        <v>-640</v>
      </c>
      <c r="K88" s="78">
        <v>121537.9</v>
      </c>
      <c r="L88" s="62">
        <v>111500</v>
      </c>
      <c r="M88" s="61" t="s">
        <v>362</v>
      </c>
      <c r="N88" s="60" t="s">
        <v>398</v>
      </c>
      <c r="O88" s="59">
        <v>-1.76</v>
      </c>
      <c r="P88" s="51">
        <v>6424258</v>
      </c>
      <c r="Q88" s="52">
        <v>8.26</v>
      </c>
      <c r="R88" s="51">
        <v>1280000</v>
      </c>
      <c r="S88" s="51">
        <v>211318</v>
      </c>
      <c r="T88" s="50" t="s">
        <v>269</v>
      </c>
      <c r="U88" s="49" t="s">
        <v>343</v>
      </c>
      <c r="V88" s="48" t="s">
        <v>342</v>
      </c>
      <c r="W88" s="48" t="s">
        <v>342</v>
      </c>
    </row>
    <row r="89" spans="1:23">
      <c r="A89" s="40" t="s">
        <v>390</v>
      </c>
      <c r="B89" s="40" t="s">
        <v>378</v>
      </c>
      <c r="C89" s="39" t="s">
        <v>255</v>
      </c>
      <c r="D89" s="47" t="s">
        <v>338</v>
      </c>
      <c r="E89" s="40" t="s">
        <v>298</v>
      </c>
      <c r="F89" s="39" t="s">
        <v>299</v>
      </c>
      <c r="G89" s="42">
        <v>1.06</v>
      </c>
      <c r="H89" s="42">
        <v>14.65</v>
      </c>
      <c r="I89" s="41">
        <v>56330670</v>
      </c>
      <c r="J89" s="41">
        <v>1611</v>
      </c>
      <c r="K89" s="46">
        <v>34966.28</v>
      </c>
      <c r="L89" s="66">
        <v>34950</v>
      </c>
      <c r="M89" s="65" t="s">
        <v>367</v>
      </c>
      <c r="N89" s="64" t="s">
        <v>395</v>
      </c>
      <c r="O89" s="63">
        <v>1.1599999999999999</v>
      </c>
      <c r="P89" s="41">
        <v>-26220</v>
      </c>
      <c r="Q89" s="42">
        <v>-0.05</v>
      </c>
      <c r="R89" s="41">
        <v>644400</v>
      </c>
      <c r="S89" s="41">
        <v>33770</v>
      </c>
      <c r="T89" s="40" t="s">
        <v>269</v>
      </c>
      <c r="U89" s="39" t="s">
        <v>343</v>
      </c>
      <c r="V89" s="38" t="s">
        <v>342</v>
      </c>
      <c r="W89" s="38" t="s">
        <v>342</v>
      </c>
    </row>
    <row r="90" spans="1:23">
      <c r="A90" s="50" t="s">
        <v>388</v>
      </c>
      <c r="B90" s="50" t="s">
        <v>378</v>
      </c>
      <c r="C90" s="49" t="s">
        <v>255</v>
      </c>
      <c r="D90" s="57" t="s">
        <v>338</v>
      </c>
      <c r="E90" s="50" t="s">
        <v>50</v>
      </c>
      <c r="F90" s="49" t="s">
        <v>51</v>
      </c>
      <c r="G90" s="52">
        <v>0.99</v>
      </c>
      <c r="H90" s="52">
        <v>13.73</v>
      </c>
      <c r="I90" s="51">
        <v>51848830</v>
      </c>
      <c r="J90" s="51">
        <v>2713</v>
      </c>
      <c r="K90" s="56">
        <v>19111.25</v>
      </c>
      <c r="L90" s="76">
        <v>19450</v>
      </c>
      <c r="M90" s="75" t="s">
        <v>367</v>
      </c>
      <c r="N90" s="74" t="s">
        <v>395</v>
      </c>
      <c r="O90" s="73">
        <v>2.1</v>
      </c>
      <c r="P90" s="51">
        <v>919020</v>
      </c>
      <c r="Q90" s="52">
        <v>1.77</v>
      </c>
      <c r="R90" s="51">
        <v>1085200</v>
      </c>
      <c r="S90" s="51">
        <v>51780</v>
      </c>
      <c r="T90" s="50" t="s">
        <v>269</v>
      </c>
      <c r="U90" s="49" t="s">
        <v>343</v>
      </c>
      <c r="V90" s="48" t="s">
        <v>342</v>
      </c>
      <c r="W90" s="48" t="s">
        <v>342</v>
      </c>
    </row>
    <row r="91" spans="1:23">
      <c r="A91" s="40" t="s">
        <v>387</v>
      </c>
      <c r="B91" s="40" t="s">
        <v>378</v>
      </c>
      <c r="C91" s="39" t="s">
        <v>255</v>
      </c>
      <c r="D91" s="47" t="s">
        <v>338</v>
      </c>
      <c r="E91" s="40" t="s">
        <v>393</v>
      </c>
      <c r="F91" s="39" t="s">
        <v>392</v>
      </c>
      <c r="G91" s="42">
        <v>1.01</v>
      </c>
      <c r="H91" s="42">
        <v>13.97</v>
      </c>
      <c r="I91" s="41">
        <v>56098120</v>
      </c>
      <c r="J91" s="41">
        <v>869</v>
      </c>
      <c r="K91" s="58">
        <v>64554.8</v>
      </c>
      <c r="L91" s="66">
        <v>61800</v>
      </c>
      <c r="M91" s="65" t="s">
        <v>367</v>
      </c>
      <c r="N91" s="64" t="s">
        <v>391</v>
      </c>
      <c r="O91" s="63">
        <v>1.31</v>
      </c>
      <c r="P91" s="41">
        <v>-2393920</v>
      </c>
      <c r="Q91" s="42">
        <v>-4.2699999999999996</v>
      </c>
      <c r="R91" s="41">
        <v>695200</v>
      </c>
      <c r="S91" s="41">
        <v>42120</v>
      </c>
      <c r="T91" s="40" t="s">
        <v>269</v>
      </c>
      <c r="U91" s="39" t="s">
        <v>343</v>
      </c>
      <c r="V91" s="38" t="s">
        <v>342</v>
      </c>
      <c r="W91" s="38" t="s">
        <v>342</v>
      </c>
    </row>
    <row r="92" spans="1:23">
      <c r="A92" s="50" t="s">
        <v>383</v>
      </c>
      <c r="B92" s="50" t="s">
        <v>378</v>
      </c>
      <c r="C92" s="49" t="s">
        <v>255</v>
      </c>
      <c r="D92" s="57" t="s">
        <v>338</v>
      </c>
      <c r="E92" s="50" t="s">
        <v>305</v>
      </c>
      <c r="F92" s="49" t="s">
        <v>306</v>
      </c>
      <c r="G92" s="52">
        <v>0.46</v>
      </c>
      <c r="H92" s="52">
        <v>6.4</v>
      </c>
      <c r="I92" s="51">
        <v>21519750</v>
      </c>
      <c r="J92" s="51">
        <v>95</v>
      </c>
      <c r="K92" s="56">
        <v>226523.68</v>
      </c>
      <c r="L92" s="62">
        <v>259000</v>
      </c>
      <c r="M92" s="61" t="s">
        <v>362</v>
      </c>
      <c r="N92" s="60" t="s">
        <v>389</v>
      </c>
      <c r="O92" s="59">
        <v>-1.33</v>
      </c>
      <c r="P92" s="51">
        <v>3085250</v>
      </c>
      <c r="Q92" s="52">
        <v>14.34</v>
      </c>
      <c r="R92" s="51">
        <v>-332500</v>
      </c>
      <c r="S92" s="51">
        <v>10750</v>
      </c>
      <c r="T92" s="50" t="s">
        <v>269</v>
      </c>
      <c r="U92" s="49" t="s">
        <v>343</v>
      </c>
      <c r="V92" s="48" t="s">
        <v>342</v>
      </c>
      <c r="W92" s="48" t="s">
        <v>342</v>
      </c>
    </row>
    <row r="93" spans="1:23">
      <c r="A93" s="40" t="s">
        <v>381</v>
      </c>
      <c r="B93" s="40" t="s">
        <v>378</v>
      </c>
      <c r="C93" s="39" t="s">
        <v>254</v>
      </c>
      <c r="D93" s="47" t="s">
        <v>338</v>
      </c>
      <c r="E93" s="40" t="s">
        <v>282</v>
      </c>
      <c r="F93" s="39" t="s">
        <v>283</v>
      </c>
      <c r="G93" s="42">
        <v>0.81</v>
      </c>
      <c r="H93" s="42">
        <v>11.26</v>
      </c>
      <c r="I93" s="41">
        <v>47135561</v>
      </c>
      <c r="J93" s="41">
        <v>2473</v>
      </c>
      <c r="K93" s="46">
        <v>19060.07</v>
      </c>
      <c r="L93" s="66">
        <v>17500</v>
      </c>
      <c r="M93" s="65" t="s">
        <v>367</v>
      </c>
      <c r="N93" s="64" t="s">
        <v>371</v>
      </c>
      <c r="O93" s="63">
        <v>1.74</v>
      </c>
      <c r="P93" s="41">
        <v>-3858061</v>
      </c>
      <c r="Q93" s="42">
        <v>-8.19</v>
      </c>
      <c r="R93" s="41">
        <v>741900</v>
      </c>
      <c r="S93" s="41">
        <v>91964</v>
      </c>
      <c r="T93" s="40" t="s">
        <v>269</v>
      </c>
      <c r="U93" s="39" t="s">
        <v>343</v>
      </c>
      <c r="V93" s="38" t="s">
        <v>342</v>
      </c>
      <c r="W93" s="38" t="s">
        <v>342</v>
      </c>
    </row>
    <row r="94" spans="1:23">
      <c r="A94" s="50" t="s">
        <v>379</v>
      </c>
      <c r="B94" s="50" t="s">
        <v>378</v>
      </c>
      <c r="C94" s="49" t="s">
        <v>254</v>
      </c>
      <c r="D94" s="57" t="s">
        <v>338</v>
      </c>
      <c r="E94" s="50" t="s">
        <v>386</v>
      </c>
      <c r="F94" s="49" t="s">
        <v>385</v>
      </c>
      <c r="G94" s="52">
        <v>0.49</v>
      </c>
      <c r="H94" s="52">
        <v>6.83</v>
      </c>
      <c r="I94" s="51">
        <v>26569000</v>
      </c>
      <c r="J94" s="51">
        <v>163</v>
      </c>
      <c r="K94" s="51">
        <v>163000</v>
      </c>
      <c r="L94" s="62">
        <v>161000</v>
      </c>
      <c r="M94" s="61" t="s">
        <v>362</v>
      </c>
      <c r="N94" s="60" t="s">
        <v>384</v>
      </c>
      <c r="O94" s="59">
        <v>-0.62</v>
      </c>
      <c r="P94" s="51">
        <v>-326000</v>
      </c>
      <c r="Q94" s="52">
        <v>-1.23</v>
      </c>
      <c r="R94" s="51">
        <v>-326000</v>
      </c>
      <c r="S94" s="51">
        <v>0</v>
      </c>
      <c r="T94" s="50" t="s">
        <v>269</v>
      </c>
      <c r="U94" s="49" t="s">
        <v>343</v>
      </c>
      <c r="V94" s="48" t="s">
        <v>342</v>
      </c>
      <c r="W94" s="48" t="s">
        <v>342</v>
      </c>
    </row>
    <row r="95" spans="1:23">
      <c r="A95" s="40" t="s">
        <v>374</v>
      </c>
      <c r="B95" s="40" t="s">
        <v>378</v>
      </c>
      <c r="C95" s="39" t="s">
        <v>254</v>
      </c>
      <c r="D95" s="47" t="s">
        <v>338</v>
      </c>
      <c r="E95" s="40" t="s">
        <v>202</v>
      </c>
      <c r="F95" s="39" t="s">
        <v>203</v>
      </c>
      <c r="G95" s="42">
        <v>1.37</v>
      </c>
      <c r="H95" s="42">
        <v>18.95</v>
      </c>
      <c r="I95" s="41">
        <v>64807230</v>
      </c>
      <c r="J95" s="41">
        <v>487</v>
      </c>
      <c r="K95" s="46">
        <v>133074.39000000001</v>
      </c>
      <c r="L95" s="70">
        <v>149500</v>
      </c>
      <c r="M95" s="69" t="s">
        <v>362</v>
      </c>
      <c r="N95" s="68" t="s">
        <v>382</v>
      </c>
      <c r="O95" s="67">
        <v>-0.99</v>
      </c>
      <c r="P95" s="41">
        <v>7999270</v>
      </c>
      <c r="Q95" s="42">
        <v>12.34</v>
      </c>
      <c r="R95" s="41">
        <v>-730500</v>
      </c>
      <c r="S95" s="41">
        <v>64730</v>
      </c>
      <c r="T95" s="40" t="s">
        <v>269</v>
      </c>
      <c r="U95" s="39" t="s">
        <v>343</v>
      </c>
      <c r="V95" s="38" t="s">
        <v>342</v>
      </c>
      <c r="W95" s="38" t="s">
        <v>342</v>
      </c>
    </row>
    <row r="96" spans="1:23">
      <c r="A96" s="50" t="s">
        <v>372</v>
      </c>
      <c r="B96" s="50" t="s">
        <v>378</v>
      </c>
      <c r="C96" s="49" t="s">
        <v>197</v>
      </c>
      <c r="D96" s="77" t="s">
        <v>339</v>
      </c>
      <c r="E96" s="50" t="s">
        <v>270</v>
      </c>
      <c r="F96" s="49" t="s">
        <v>271</v>
      </c>
      <c r="G96" s="52">
        <v>12.11</v>
      </c>
      <c r="H96" s="52">
        <v>100</v>
      </c>
      <c r="I96" s="51">
        <v>-605822919</v>
      </c>
      <c r="J96" s="51">
        <v>-5</v>
      </c>
      <c r="K96" s="56">
        <v>242.33</v>
      </c>
      <c r="L96" s="90">
        <v>256.7</v>
      </c>
      <c r="M96" s="61" t="s">
        <v>362</v>
      </c>
      <c r="N96" s="60" t="s">
        <v>380</v>
      </c>
      <c r="O96" s="59">
        <v>0.27</v>
      </c>
      <c r="P96" s="51">
        <v>-35927081</v>
      </c>
      <c r="Q96" s="52">
        <v>-5.93</v>
      </c>
      <c r="R96" s="51">
        <v>1750000</v>
      </c>
      <c r="S96" s="51">
        <v>259000</v>
      </c>
      <c r="T96" s="50" t="s">
        <v>269</v>
      </c>
      <c r="U96" s="49" t="s">
        <v>343</v>
      </c>
      <c r="V96" s="48" t="s">
        <v>342</v>
      </c>
      <c r="W96" s="48" t="s">
        <v>342</v>
      </c>
    </row>
    <row r="97" spans="1:23">
      <c r="A97" s="40" t="s">
        <v>370</v>
      </c>
      <c r="B97" s="40" t="s">
        <v>378</v>
      </c>
      <c r="C97" s="39" t="s">
        <v>260</v>
      </c>
      <c r="D97" s="47" t="s">
        <v>338</v>
      </c>
      <c r="E97" s="40" t="s">
        <v>377</v>
      </c>
      <c r="F97" s="39" t="s">
        <v>376</v>
      </c>
      <c r="G97" s="42">
        <v>1.02</v>
      </c>
      <c r="H97" s="42">
        <v>14.17</v>
      </c>
      <c r="I97" s="41">
        <v>58080480</v>
      </c>
      <c r="J97" s="41">
        <v>8758</v>
      </c>
      <c r="K97" s="46">
        <v>6631.71</v>
      </c>
      <c r="L97" s="70">
        <v>6220</v>
      </c>
      <c r="M97" s="69" t="s">
        <v>362</v>
      </c>
      <c r="N97" s="68" t="s">
        <v>375</v>
      </c>
      <c r="O97" s="67">
        <v>-1.1100000000000001</v>
      </c>
      <c r="P97" s="41">
        <v>-3605720</v>
      </c>
      <c r="Q97" s="42">
        <v>-6.21</v>
      </c>
      <c r="R97" s="41">
        <v>-613060</v>
      </c>
      <c r="S97" s="41">
        <v>44690</v>
      </c>
      <c r="T97" s="40" t="s">
        <v>269</v>
      </c>
      <c r="U97" s="39" t="s">
        <v>343</v>
      </c>
      <c r="V97" s="38" t="s">
        <v>342</v>
      </c>
      <c r="W97" s="38" t="s">
        <v>342</v>
      </c>
    </row>
    <row r="98" spans="1:23">
      <c r="A98" s="50" t="s">
        <v>365</v>
      </c>
      <c r="B98" s="50" t="s">
        <v>349</v>
      </c>
      <c r="C98" s="49" t="s">
        <v>251</v>
      </c>
      <c r="D98" s="57" t="s">
        <v>338</v>
      </c>
      <c r="E98" s="50" t="s">
        <v>295</v>
      </c>
      <c r="F98" s="49" t="s">
        <v>307</v>
      </c>
      <c r="G98" s="52">
        <v>0.01</v>
      </c>
      <c r="H98" s="52">
        <v>0.22</v>
      </c>
      <c r="I98" s="51">
        <v>846430</v>
      </c>
      <c r="J98" s="51">
        <v>383</v>
      </c>
      <c r="K98" s="51">
        <v>2210</v>
      </c>
      <c r="L98" s="62">
        <v>2335</v>
      </c>
      <c r="M98" s="61" t="s">
        <v>362</v>
      </c>
      <c r="N98" s="60" t="s">
        <v>373</v>
      </c>
      <c r="O98" s="59">
        <v>-2.2999999999999998</v>
      </c>
      <c r="P98" s="51">
        <v>47875</v>
      </c>
      <c r="Q98" s="52">
        <v>5.66</v>
      </c>
      <c r="R98" s="51">
        <v>-21065</v>
      </c>
      <c r="S98" s="51">
        <v>0</v>
      </c>
      <c r="T98" s="50" t="s">
        <v>269</v>
      </c>
      <c r="U98" s="49" t="s">
        <v>343</v>
      </c>
      <c r="V98" s="48" t="s">
        <v>342</v>
      </c>
      <c r="W98" s="48" t="s">
        <v>342</v>
      </c>
    </row>
    <row r="99" spans="1:23">
      <c r="A99" s="40" t="s">
        <v>360</v>
      </c>
      <c r="B99" s="40" t="s">
        <v>349</v>
      </c>
      <c r="C99" s="39" t="s">
        <v>672</v>
      </c>
      <c r="D99" s="47" t="s">
        <v>338</v>
      </c>
      <c r="E99" s="40" t="s">
        <v>580</v>
      </c>
      <c r="F99" s="39" t="s">
        <v>579</v>
      </c>
      <c r="G99" s="42">
        <v>1.89</v>
      </c>
      <c r="H99" s="42">
        <v>25.58</v>
      </c>
      <c r="I99" s="41">
        <v>92187498</v>
      </c>
      <c r="J99" s="41">
        <v>101000000</v>
      </c>
      <c r="K99" s="46">
        <v>9127.48</v>
      </c>
      <c r="L99" s="46">
        <v>9929.8700000000008</v>
      </c>
      <c r="M99" s="45" t="s">
        <v>269</v>
      </c>
      <c r="N99" s="44" t="s">
        <v>342</v>
      </c>
      <c r="O99" s="43">
        <v>0</v>
      </c>
      <c r="P99" s="41">
        <v>8104189</v>
      </c>
      <c r="Q99" s="42">
        <v>8.7899999999999991</v>
      </c>
      <c r="R99" s="41">
        <v>0</v>
      </c>
      <c r="S99" s="41">
        <v>0</v>
      </c>
      <c r="T99" s="40" t="s">
        <v>269</v>
      </c>
      <c r="U99" s="39" t="s">
        <v>343</v>
      </c>
      <c r="V99" s="38" t="s">
        <v>342</v>
      </c>
      <c r="W99" s="38" t="s">
        <v>342</v>
      </c>
    </row>
    <row r="100" spans="1:23">
      <c r="A100" s="50" t="s">
        <v>359</v>
      </c>
      <c r="B100" s="50" t="s">
        <v>349</v>
      </c>
      <c r="C100" s="49" t="s">
        <v>672</v>
      </c>
      <c r="D100" s="57" t="s">
        <v>338</v>
      </c>
      <c r="E100" s="50" t="s">
        <v>348</v>
      </c>
      <c r="F100" s="49" t="s">
        <v>347</v>
      </c>
      <c r="G100" s="52">
        <v>3.6</v>
      </c>
      <c r="H100" s="52">
        <v>48.66</v>
      </c>
      <c r="I100" s="51">
        <v>200388635</v>
      </c>
      <c r="J100" s="51">
        <v>200000000</v>
      </c>
      <c r="K100" s="56">
        <v>10019.43</v>
      </c>
      <c r="L100" s="56">
        <v>9538.92</v>
      </c>
      <c r="M100" s="55" t="s">
        <v>269</v>
      </c>
      <c r="N100" s="54" t="s">
        <v>342</v>
      </c>
      <c r="O100" s="53">
        <v>0</v>
      </c>
      <c r="P100" s="51">
        <v>-9610235</v>
      </c>
      <c r="Q100" s="52">
        <v>-4.8</v>
      </c>
      <c r="R100" s="51">
        <v>0</v>
      </c>
      <c r="S100" s="51">
        <v>0</v>
      </c>
      <c r="T100" s="50" t="s">
        <v>269</v>
      </c>
      <c r="U100" s="49" t="s">
        <v>343</v>
      </c>
      <c r="V100" s="48" t="s">
        <v>342</v>
      </c>
      <c r="W100" s="48" t="s">
        <v>342</v>
      </c>
    </row>
    <row r="101" spans="1:23">
      <c r="A101" s="40" t="s">
        <v>358</v>
      </c>
      <c r="B101" s="40" t="s">
        <v>349</v>
      </c>
      <c r="C101" s="39" t="s">
        <v>672</v>
      </c>
      <c r="D101" s="47" t="s">
        <v>338</v>
      </c>
      <c r="E101" s="40" t="s">
        <v>581</v>
      </c>
      <c r="F101" s="49" t="s">
        <v>769</v>
      </c>
      <c r="G101" s="42">
        <v>1.88</v>
      </c>
      <c r="H101" s="42">
        <v>25.51</v>
      </c>
      <c r="I101" s="41">
        <v>100021739</v>
      </c>
      <c r="J101" s="41">
        <v>100000000</v>
      </c>
      <c r="K101" s="46">
        <v>10002.17</v>
      </c>
      <c r="L101" s="41">
        <v>10000</v>
      </c>
      <c r="M101" s="45" t="s">
        <v>269</v>
      </c>
      <c r="N101" s="44" t="s">
        <v>342</v>
      </c>
      <c r="O101" s="43">
        <v>0</v>
      </c>
      <c r="P101" s="41">
        <v>0</v>
      </c>
      <c r="Q101" s="42">
        <v>0</v>
      </c>
      <c r="R101" s="41">
        <v>-21739</v>
      </c>
      <c r="S101" s="41">
        <v>0</v>
      </c>
      <c r="T101" s="40" t="s">
        <v>269</v>
      </c>
      <c r="U101" s="39" t="s">
        <v>343</v>
      </c>
      <c r="V101" s="38" t="s">
        <v>342</v>
      </c>
      <c r="W101" s="38" t="s">
        <v>342</v>
      </c>
    </row>
    <row r="102" spans="1:23">
      <c r="A102" s="50" t="s">
        <v>355</v>
      </c>
      <c r="B102" s="50" t="s">
        <v>345</v>
      </c>
      <c r="C102" s="49" t="s">
        <v>318</v>
      </c>
      <c r="D102" s="57" t="s">
        <v>338</v>
      </c>
      <c r="E102" s="50" t="s">
        <v>319</v>
      </c>
      <c r="F102" s="49" t="s">
        <v>344</v>
      </c>
      <c r="G102" s="52">
        <v>14.3</v>
      </c>
      <c r="H102" s="52">
        <v>100</v>
      </c>
      <c r="I102" s="51">
        <v>800000000</v>
      </c>
      <c r="J102" s="51">
        <v>800000000</v>
      </c>
      <c r="K102" s="51">
        <v>10000</v>
      </c>
      <c r="L102" s="56">
        <v>9471.67</v>
      </c>
      <c r="M102" s="55" t="s">
        <v>269</v>
      </c>
      <c r="N102" s="54" t="s">
        <v>342</v>
      </c>
      <c r="O102" s="53">
        <v>0</v>
      </c>
      <c r="P102" s="51">
        <v>-42266400</v>
      </c>
      <c r="Q102" s="52">
        <v>-5.28</v>
      </c>
      <c r="R102" s="51">
        <v>0</v>
      </c>
      <c r="S102" s="51">
        <v>0</v>
      </c>
      <c r="T102" s="50" t="s">
        <v>269</v>
      </c>
      <c r="U102" s="49" t="s">
        <v>343</v>
      </c>
      <c r="V102" s="48" t="s">
        <v>342</v>
      </c>
      <c r="W102" s="48" t="s">
        <v>342</v>
      </c>
    </row>
    <row r="103" spans="1:23">
      <c r="A103" s="113" t="s">
        <v>341</v>
      </c>
      <c r="B103" s="114"/>
      <c r="C103" s="115"/>
      <c r="D103" s="35" t="s">
        <v>269</v>
      </c>
      <c r="E103" s="35" t="s">
        <v>269</v>
      </c>
      <c r="F103" s="35" t="s">
        <v>269</v>
      </c>
      <c r="G103" s="37">
        <v>155.44</v>
      </c>
      <c r="H103" s="37">
        <v>600</v>
      </c>
      <c r="I103" s="36">
        <v>1955425862</v>
      </c>
      <c r="J103" s="36">
        <v>1201119895</v>
      </c>
      <c r="K103" s="35" t="s">
        <v>269</v>
      </c>
      <c r="L103" s="35" t="s">
        <v>269</v>
      </c>
      <c r="M103" s="116" t="s">
        <v>269</v>
      </c>
      <c r="N103" s="117"/>
      <c r="O103" s="35" t="s">
        <v>269</v>
      </c>
      <c r="P103" s="36">
        <v>17964344</v>
      </c>
      <c r="Q103" s="37">
        <v>98.03</v>
      </c>
      <c r="R103" s="35" t="s">
        <v>269</v>
      </c>
      <c r="S103" s="36">
        <v>19237311</v>
      </c>
      <c r="T103" s="35" t="s">
        <v>269</v>
      </c>
      <c r="U103" s="35" t="s">
        <v>269</v>
      </c>
      <c r="V103" s="35" t="s">
        <v>269</v>
      </c>
      <c r="W103" s="35" t="s">
        <v>269</v>
      </c>
    </row>
  </sheetData>
  <mergeCells count="24">
    <mergeCell ref="J1:J2"/>
    <mergeCell ref="K1:K2"/>
    <mergeCell ref="L1:L2"/>
    <mergeCell ref="A1:A2"/>
    <mergeCell ref="B1:B2"/>
    <mergeCell ref="C1:C2"/>
    <mergeCell ref="D1:D2"/>
    <mergeCell ref="E1:E2"/>
    <mergeCell ref="T1:T2"/>
    <mergeCell ref="U1:U2"/>
    <mergeCell ref="V1:V2"/>
    <mergeCell ref="W1:W2"/>
    <mergeCell ref="A103:C103"/>
    <mergeCell ref="M103:N103"/>
    <mergeCell ref="M1:N2"/>
    <mergeCell ref="O1:O2"/>
    <mergeCell ref="P1:P2"/>
    <mergeCell ref="Q1:Q2"/>
    <mergeCell ref="F1:F2"/>
    <mergeCell ref="R1:R2"/>
    <mergeCell ref="S1:S2"/>
    <mergeCell ref="G1:G2"/>
    <mergeCell ref="H1:H2"/>
    <mergeCell ref="I1:I2"/>
  </mergeCells>
  <phoneticPr fontId="1" type="noConversion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W106"/>
  <sheetViews>
    <sheetView topLeftCell="A72" workbookViewId="0">
      <selection activeCell="C105" sqref="C105"/>
    </sheetView>
  </sheetViews>
  <sheetFormatPr defaultRowHeight="16.5"/>
  <cols>
    <col min="1" max="1" width="3.75" bestFit="1" customWidth="1"/>
    <col min="2" max="2" width="7.5" bestFit="1" customWidth="1"/>
    <col min="3" max="3" width="10" bestFit="1" customWidth="1"/>
    <col min="4" max="4" width="4.125" bestFit="1" customWidth="1"/>
    <col min="5" max="5" width="11.625" bestFit="1" customWidth="1"/>
    <col min="6" max="6" width="18.75" bestFit="1" customWidth="1"/>
    <col min="7" max="7" width="10.5" bestFit="1" customWidth="1"/>
    <col min="8" max="8" width="13.875" bestFit="1" customWidth="1"/>
    <col min="9" max="10" width="13" bestFit="1" customWidth="1"/>
    <col min="11" max="11" width="10.25" bestFit="1" customWidth="1"/>
    <col min="12" max="12" width="8.25" bestFit="1" customWidth="1"/>
    <col min="13" max="13" width="2.75" bestFit="1" customWidth="1"/>
    <col min="14" max="14" width="5.75" bestFit="1" customWidth="1"/>
    <col min="15" max="15" width="6" bestFit="1" customWidth="1"/>
    <col min="16" max="16" width="11.375" bestFit="1" customWidth="1"/>
    <col min="17" max="17" width="9.75" bestFit="1" customWidth="1"/>
    <col min="18" max="18" width="11.375" bestFit="1" customWidth="1"/>
    <col min="19" max="19" width="10.5" bestFit="1" customWidth="1"/>
    <col min="20" max="20" width="4.75" bestFit="1" customWidth="1"/>
    <col min="21" max="22" width="7.5" bestFit="1" customWidth="1"/>
    <col min="23" max="23" width="4.5" bestFit="1" customWidth="1"/>
  </cols>
  <sheetData>
    <row r="1" spans="1:23">
      <c r="A1" s="111" t="s">
        <v>576</v>
      </c>
      <c r="B1" s="111" t="s">
        <v>575</v>
      </c>
      <c r="C1" s="111" t="s">
        <v>574</v>
      </c>
      <c r="D1" s="111" t="s">
        <v>573</v>
      </c>
      <c r="E1" s="111" t="s">
        <v>572</v>
      </c>
      <c r="F1" s="111" t="s">
        <v>571</v>
      </c>
      <c r="G1" s="111" t="s">
        <v>570</v>
      </c>
      <c r="H1" s="111" t="s">
        <v>569</v>
      </c>
      <c r="I1" s="111" t="s">
        <v>568</v>
      </c>
      <c r="J1" s="111" t="s">
        <v>567</v>
      </c>
      <c r="K1" s="111" t="s">
        <v>566</v>
      </c>
      <c r="L1" s="111" t="s">
        <v>565</v>
      </c>
      <c r="M1" s="118" t="s">
        <v>564</v>
      </c>
      <c r="N1" s="119"/>
      <c r="O1" s="111" t="s">
        <v>563</v>
      </c>
      <c r="P1" s="111" t="s">
        <v>562</v>
      </c>
      <c r="Q1" s="111" t="s">
        <v>561</v>
      </c>
      <c r="R1" s="111" t="s">
        <v>560</v>
      </c>
      <c r="S1" s="111" t="s">
        <v>559</v>
      </c>
      <c r="T1" s="111" t="s">
        <v>558</v>
      </c>
      <c r="U1" s="111" t="s">
        <v>557</v>
      </c>
      <c r="V1" s="111" t="s">
        <v>556</v>
      </c>
      <c r="W1" s="111" t="s">
        <v>555</v>
      </c>
    </row>
    <row r="2" spans="1:23">
      <c r="A2" s="112"/>
      <c r="B2" s="112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20"/>
      <c r="N2" s="121"/>
      <c r="O2" s="112"/>
      <c r="P2" s="112"/>
      <c r="Q2" s="112"/>
      <c r="R2" s="112"/>
      <c r="S2" s="112"/>
      <c r="T2" s="112"/>
      <c r="U2" s="112"/>
      <c r="V2" s="112"/>
      <c r="W2" s="112"/>
    </row>
    <row r="3" spans="1:23">
      <c r="A3" s="81" t="s">
        <v>554</v>
      </c>
      <c r="B3" s="81" t="s">
        <v>399</v>
      </c>
      <c r="C3" s="80" t="s">
        <v>625</v>
      </c>
      <c r="D3" s="89" t="s">
        <v>338</v>
      </c>
      <c r="E3" s="81" t="s">
        <v>0</v>
      </c>
      <c r="F3" s="80" t="s">
        <v>1</v>
      </c>
      <c r="G3" s="83">
        <v>2.61</v>
      </c>
      <c r="H3" s="83">
        <v>3.6</v>
      </c>
      <c r="I3" s="82">
        <v>239272740</v>
      </c>
      <c r="J3" s="82">
        <v>2980</v>
      </c>
      <c r="K3" s="88">
        <v>80292.87</v>
      </c>
      <c r="L3" s="87">
        <v>83400</v>
      </c>
      <c r="M3" s="86" t="s">
        <v>362</v>
      </c>
      <c r="N3" s="85" t="s">
        <v>414</v>
      </c>
      <c r="O3" s="84">
        <v>-0.24</v>
      </c>
      <c r="P3" s="82">
        <v>9259260</v>
      </c>
      <c r="Q3" s="83">
        <v>3.87</v>
      </c>
      <c r="R3" s="82">
        <v>-596000</v>
      </c>
      <c r="S3" s="82">
        <v>896254</v>
      </c>
      <c r="T3" s="81" t="s">
        <v>269</v>
      </c>
      <c r="U3" s="80" t="s">
        <v>343</v>
      </c>
      <c r="V3" s="79" t="s">
        <v>342</v>
      </c>
      <c r="W3" s="79" t="s">
        <v>342</v>
      </c>
    </row>
    <row r="4" spans="1:23">
      <c r="A4" s="50" t="s">
        <v>553</v>
      </c>
      <c r="B4" s="50" t="s">
        <v>399</v>
      </c>
      <c r="C4" s="49" t="s">
        <v>625</v>
      </c>
      <c r="D4" s="57" t="s">
        <v>338</v>
      </c>
      <c r="E4" s="50" t="s">
        <v>4</v>
      </c>
      <c r="F4" s="49" t="s">
        <v>5</v>
      </c>
      <c r="G4" s="52">
        <v>2</v>
      </c>
      <c r="H4" s="52">
        <v>2.76</v>
      </c>
      <c r="I4" s="51">
        <v>180727340</v>
      </c>
      <c r="J4" s="51">
        <v>4903</v>
      </c>
      <c r="K4" s="56">
        <v>36860.559999999998</v>
      </c>
      <c r="L4" s="62">
        <v>38850</v>
      </c>
      <c r="M4" s="61" t="s">
        <v>362</v>
      </c>
      <c r="N4" s="60" t="s">
        <v>453</v>
      </c>
      <c r="O4" s="59">
        <v>-0.13</v>
      </c>
      <c r="P4" s="51">
        <v>9754210</v>
      </c>
      <c r="Q4" s="52">
        <v>5.4</v>
      </c>
      <c r="R4" s="51">
        <v>-245150</v>
      </c>
      <c r="S4" s="51">
        <v>128240</v>
      </c>
      <c r="T4" s="50" t="s">
        <v>269</v>
      </c>
      <c r="U4" s="49" t="s">
        <v>343</v>
      </c>
      <c r="V4" s="48" t="s">
        <v>342</v>
      </c>
      <c r="W4" s="48" t="s">
        <v>342</v>
      </c>
    </row>
    <row r="5" spans="1:23">
      <c r="A5" s="40" t="s">
        <v>552</v>
      </c>
      <c r="B5" s="40" t="s">
        <v>399</v>
      </c>
      <c r="C5" s="39" t="s">
        <v>625</v>
      </c>
      <c r="D5" s="47" t="s">
        <v>338</v>
      </c>
      <c r="E5" s="40" t="s">
        <v>324</v>
      </c>
      <c r="F5" s="39" t="s">
        <v>325</v>
      </c>
      <c r="G5" s="42">
        <v>0.97</v>
      </c>
      <c r="H5" s="42">
        <v>1.33</v>
      </c>
      <c r="I5" s="41">
        <v>96870770</v>
      </c>
      <c r="J5" s="41">
        <v>350</v>
      </c>
      <c r="K5" s="46">
        <v>276773.63</v>
      </c>
      <c r="L5" s="70">
        <v>264000</v>
      </c>
      <c r="M5" s="69" t="s">
        <v>362</v>
      </c>
      <c r="N5" s="68" t="s">
        <v>398</v>
      </c>
      <c r="O5" s="67">
        <v>-0.75</v>
      </c>
      <c r="P5" s="41">
        <v>-4470770</v>
      </c>
      <c r="Q5" s="42">
        <v>-4.62</v>
      </c>
      <c r="R5" s="41">
        <v>-700000</v>
      </c>
      <c r="S5" s="41">
        <v>96770</v>
      </c>
      <c r="T5" s="40" t="s">
        <v>269</v>
      </c>
      <c r="U5" s="39" t="s">
        <v>343</v>
      </c>
      <c r="V5" s="38" t="s">
        <v>342</v>
      </c>
      <c r="W5" s="38" t="s">
        <v>342</v>
      </c>
    </row>
    <row r="6" spans="1:23">
      <c r="A6" s="50" t="s">
        <v>551</v>
      </c>
      <c r="B6" s="50" t="s">
        <v>399</v>
      </c>
      <c r="C6" s="49" t="s">
        <v>625</v>
      </c>
      <c r="D6" s="57" t="s">
        <v>338</v>
      </c>
      <c r="E6" s="50" t="s">
        <v>6</v>
      </c>
      <c r="F6" s="49" t="s">
        <v>7</v>
      </c>
      <c r="G6" s="52">
        <v>3.13</v>
      </c>
      <c r="H6" s="52">
        <v>4.3099999999999996</v>
      </c>
      <c r="I6" s="51">
        <v>330080321</v>
      </c>
      <c r="J6" s="51">
        <v>8664</v>
      </c>
      <c r="K6" s="56">
        <v>38097.910000000003</v>
      </c>
      <c r="L6" s="62">
        <v>34400</v>
      </c>
      <c r="M6" s="61" t="s">
        <v>362</v>
      </c>
      <c r="N6" s="60" t="s">
        <v>401</v>
      </c>
      <c r="O6" s="59">
        <v>-0.43</v>
      </c>
      <c r="P6" s="51">
        <v>-32038721</v>
      </c>
      <c r="Q6" s="52">
        <v>-9.7100000000000009</v>
      </c>
      <c r="R6" s="51">
        <v>-1299600</v>
      </c>
      <c r="S6" s="51">
        <v>677060</v>
      </c>
      <c r="T6" s="50" t="s">
        <v>269</v>
      </c>
      <c r="U6" s="49" t="s">
        <v>343</v>
      </c>
      <c r="V6" s="48" t="s">
        <v>342</v>
      </c>
      <c r="W6" s="48" t="s">
        <v>342</v>
      </c>
    </row>
    <row r="7" spans="1:23">
      <c r="A7" s="40" t="s">
        <v>550</v>
      </c>
      <c r="B7" s="40" t="s">
        <v>399</v>
      </c>
      <c r="C7" s="39" t="s">
        <v>625</v>
      </c>
      <c r="D7" s="47" t="s">
        <v>338</v>
      </c>
      <c r="E7" s="40" t="s">
        <v>314</v>
      </c>
      <c r="F7" s="39" t="s">
        <v>315</v>
      </c>
      <c r="G7" s="42">
        <v>2.2200000000000002</v>
      </c>
      <c r="H7" s="42">
        <v>3.06</v>
      </c>
      <c r="I7" s="41">
        <v>201651860</v>
      </c>
      <c r="J7" s="41">
        <v>17763</v>
      </c>
      <c r="K7" s="46">
        <v>11352.35</v>
      </c>
      <c r="L7" s="70">
        <v>11900</v>
      </c>
      <c r="M7" s="69" t="s">
        <v>362</v>
      </c>
      <c r="N7" s="68" t="s">
        <v>443</v>
      </c>
      <c r="O7" s="67">
        <v>-2.06</v>
      </c>
      <c r="P7" s="41">
        <v>9727840</v>
      </c>
      <c r="Q7" s="42">
        <v>4.82</v>
      </c>
      <c r="R7" s="41">
        <v>-3763850</v>
      </c>
      <c r="S7" s="41">
        <v>137660</v>
      </c>
      <c r="T7" s="40" t="s">
        <v>269</v>
      </c>
      <c r="U7" s="39" t="s">
        <v>343</v>
      </c>
      <c r="V7" s="38" t="s">
        <v>342</v>
      </c>
      <c r="W7" s="38" t="s">
        <v>342</v>
      </c>
    </row>
    <row r="8" spans="1:23">
      <c r="A8" s="50" t="s">
        <v>549</v>
      </c>
      <c r="B8" s="50" t="s">
        <v>399</v>
      </c>
      <c r="C8" s="49" t="s">
        <v>625</v>
      </c>
      <c r="D8" s="57" t="s">
        <v>338</v>
      </c>
      <c r="E8" s="50" t="s">
        <v>284</v>
      </c>
      <c r="F8" s="49" t="s">
        <v>285</v>
      </c>
      <c r="G8" s="52">
        <v>1.95</v>
      </c>
      <c r="H8" s="52">
        <v>2.69</v>
      </c>
      <c r="I8" s="51">
        <v>202297340</v>
      </c>
      <c r="J8" s="51">
        <v>2883</v>
      </c>
      <c r="K8" s="56">
        <v>70169.039999999994</v>
      </c>
      <c r="L8" s="51">
        <v>64400</v>
      </c>
      <c r="M8" s="55" t="s">
        <v>269</v>
      </c>
      <c r="N8" s="54" t="s">
        <v>342</v>
      </c>
      <c r="O8" s="53">
        <v>0</v>
      </c>
      <c r="P8" s="51">
        <v>-16632140</v>
      </c>
      <c r="Q8" s="52">
        <v>-8.2200000000000006</v>
      </c>
      <c r="R8" s="51">
        <v>0</v>
      </c>
      <c r="S8" s="51">
        <v>153040</v>
      </c>
      <c r="T8" s="50" t="s">
        <v>269</v>
      </c>
      <c r="U8" s="49" t="s">
        <v>343</v>
      </c>
      <c r="V8" s="48" t="s">
        <v>342</v>
      </c>
      <c r="W8" s="48" t="s">
        <v>342</v>
      </c>
    </row>
    <row r="9" spans="1:23">
      <c r="A9" s="40" t="s">
        <v>548</v>
      </c>
      <c r="B9" s="40" t="s">
        <v>399</v>
      </c>
      <c r="C9" s="39" t="s">
        <v>625</v>
      </c>
      <c r="D9" s="47" t="s">
        <v>338</v>
      </c>
      <c r="E9" s="40" t="s">
        <v>14</v>
      </c>
      <c r="F9" s="39" t="s">
        <v>15</v>
      </c>
      <c r="G9" s="42">
        <v>1.04</v>
      </c>
      <c r="H9" s="42">
        <v>1.43</v>
      </c>
      <c r="I9" s="41">
        <v>94150159</v>
      </c>
      <c r="J9" s="41">
        <v>742</v>
      </c>
      <c r="K9" s="46">
        <v>126887.01</v>
      </c>
      <c r="L9" s="66">
        <v>133500</v>
      </c>
      <c r="M9" s="65" t="s">
        <v>367</v>
      </c>
      <c r="N9" s="64" t="s">
        <v>382</v>
      </c>
      <c r="O9" s="63">
        <v>1.1399999999999999</v>
      </c>
      <c r="P9" s="41">
        <v>4906841</v>
      </c>
      <c r="Q9" s="42">
        <v>5.21</v>
      </c>
      <c r="R9" s="41">
        <v>1113000</v>
      </c>
      <c r="S9" s="41">
        <v>1223152</v>
      </c>
      <c r="T9" s="40" t="s">
        <v>269</v>
      </c>
      <c r="U9" s="39" t="s">
        <v>343</v>
      </c>
      <c r="V9" s="38" t="s">
        <v>342</v>
      </c>
      <c r="W9" s="38" t="s">
        <v>342</v>
      </c>
    </row>
    <row r="10" spans="1:23">
      <c r="A10" s="50" t="s">
        <v>547</v>
      </c>
      <c r="B10" s="50" t="s">
        <v>399</v>
      </c>
      <c r="C10" s="49" t="s">
        <v>625</v>
      </c>
      <c r="D10" s="57" t="s">
        <v>338</v>
      </c>
      <c r="E10" s="50" t="s">
        <v>16</v>
      </c>
      <c r="F10" s="49" t="s">
        <v>17</v>
      </c>
      <c r="G10" s="52">
        <v>2.0099999999999998</v>
      </c>
      <c r="H10" s="52">
        <v>2.77</v>
      </c>
      <c r="I10" s="51">
        <v>176763450</v>
      </c>
      <c r="J10" s="51">
        <v>861</v>
      </c>
      <c r="K10" s="56">
        <v>205300.17</v>
      </c>
      <c r="L10" s="62">
        <v>222500</v>
      </c>
      <c r="M10" s="61" t="s">
        <v>362</v>
      </c>
      <c r="N10" s="60" t="s">
        <v>398</v>
      </c>
      <c r="O10" s="59">
        <v>-0.89</v>
      </c>
      <c r="P10" s="51">
        <v>14809050</v>
      </c>
      <c r="Q10" s="52">
        <v>8.3800000000000008</v>
      </c>
      <c r="R10" s="51">
        <v>-1722000</v>
      </c>
      <c r="S10" s="51">
        <v>963998</v>
      </c>
      <c r="T10" s="50" t="s">
        <v>269</v>
      </c>
      <c r="U10" s="49" t="s">
        <v>343</v>
      </c>
      <c r="V10" s="48" t="s">
        <v>342</v>
      </c>
      <c r="W10" s="48" t="s">
        <v>342</v>
      </c>
    </row>
    <row r="11" spans="1:23">
      <c r="A11" s="40" t="s">
        <v>546</v>
      </c>
      <c r="B11" s="40" t="s">
        <v>399</v>
      </c>
      <c r="C11" s="39" t="s">
        <v>625</v>
      </c>
      <c r="D11" s="47" t="s">
        <v>338</v>
      </c>
      <c r="E11" s="40" t="s">
        <v>20</v>
      </c>
      <c r="F11" s="39" t="s">
        <v>21</v>
      </c>
      <c r="G11" s="42">
        <v>4.8600000000000003</v>
      </c>
      <c r="H11" s="42">
        <v>6.7</v>
      </c>
      <c r="I11" s="41">
        <v>394857262</v>
      </c>
      <c r="J11" s="41">
        <v>287</v>
      </c>
      <c r="K11" s="46">
        <v>1375809.28</v>
      </c>
      <c r="L11" s="70">
        <v>1612000</v>
      </c>
      <c r="M11" s="69" t="s">
        <v>362</v>
      </c>
      <c r="N11" s="68" t="s">
        <v>545</v>
      </c>
      <c r="O11" s="67">
        <v>-1.65</v>
      </c>
      <c r="P11" s="41">
        <v>67786738</v>
      </c>
      <c r="Q11" s="42">
        <v>17.170000000000002</v>
      </c>
      <c r="R11" s="41">
        <v>-7749000</v>
      </c>
      <c r="S11" s="41">
        <v>1592862</v>
      </c>
      <c r="T11" s="40" t="s">
        <v>269</v>
      </c>
      <c r="U11" s="39" t="s">
        <v>343</v>
      </c>
      <c r="V11" s="38" t="s">
        <v>342</v>
      </c>
      <c r="W11" s="38" t="s">
        <v>342</v>
      </c>
    </row>
    <row r="12" spans="1:23">
      <c r="A12" s="50" t="s">
        <v>366</v>
      </c>
      <c r="B12" s="50" t="s">
        <v>399</v>
      </c>
      <c r="C12" s="49" t="s">
        <v>625</v>
      </c>
      <c r="D12" s="57" t="s">
        <v>338</v>
      </c>
      <c r="E12" s="50" t="s">
        <v>286</v>
      </c>
      <c r="F12" s="49" t="s">
        <v>287</v>
      </c>
      <c r="G12" s="52">
        <v>0.49</v>
      </c>
      <c r="H12" s="52">
        <v>0.67</v>
      </c>
      <c r="I12" s="51">
        <v>40944244</v>
      </c>
      <c r="J12" s="51">
        <v>2482</v>
      </c>
      <c r="K12" s="56">
        <v>16496.47</v>
      </c>
      <c r="L12" s="62">
        <v>18900</v>
      </c>
      <c r="M12" s="61" t="s">
        <v>362</v>
      </c>
      <c r="N12" s="60" t="s">
        <v>453</v>
      </c>
      <c r="O12" s="59">
        <v>-0.26</v>
      </c>
      <c r="P12" s="51">
        <v>5965556</v>
      </c>
      <c r="Q12" s="52">
        <v>14.57</v>
      </c>
      <c r="R12" s="51">
        <v>-124100</v>
      </c>
      <c r="S12" s="51">
        <v>515480</v>
      </c>
      <c r="T12" s="50" t="s">
        <v>269</v>
      </c>
      <c r="U12" s="49" t="s">
        <v>343</v>
      </c>
      <c r="V12" s="48" t="s">
        <v>342</v>
      </c>
      <c r="W12" s="48" t="s">
        <v>342</v>
      </c>
    </row>
    <row r="13" spans="1:23">
      <c r="A13" s="40" t="s">
        <v>544</v>
      </c>
      <c r="B13" s="40" t="s">
        <v>399</v>
      </c>
      <c r="C13" s="39" t="s">
        <v>625</v>
      </c>
      <c r="D13" s="47" t="s">
        <v>338</v>
      </c>
      <c r="E13" s="40" t="s">
        <v>543</v>
      </c>
      <c r="F13" s="39" t="s">
        <v>542</v>
      </c>
      <c r="G13" s="42">
        <v>2.0699999999999998</v>
      </c>
      <c r="H13" s="42">
        <v>2.86</v>
      </c>
      <c r="I13" s="41">
        <v>184777999</v>
      </c>
      <c r="J13" s="41">
        <v>6677</v>
      </c>
      <c r="K13" s="46">
        <v>27673.81</v>
      </c>
      <c r="L13" s="70">
        <v>29600</v>
      </c>
      <c r="M13" s="69" t="s">
        <v>362</v>
      </c>
      <c r="N13" s="68" t="s">
        <v>453</v>
      </c>
      <c r="O13" s="67">
        <v>-0.17</v>
      </c>
      <c r="P13" s="41">
        <v>12861201</v>
      </c>
      <c r="Q13" s="42">
        <v>6.96</v>
      </c>
      <c r="R13" s="41">
        <v>-333850</v>
      </c>
      <c r="S13" s="41">
        <v>954828</v>
      </c>
      <c r="T13" s="40" t="s">
        <v>269</v>
      </c>
      <c r="U13" s="39" t="s">
        <v>343</v>
      </c>
      <c r="V13" s="38" t="s">
        <v>342</v>
      </c>
      <c r="W13" s="38" t="s">
        <v>342</v>
      </c>
    </row>
    <row r="14" spans="1:23">
      <c r="A14" s="50" t="s">
        <v>541</v>
      </c>
      <c r="B14" s="50" t="s">
        <v>399</v>
      </c>
      <c r="C14" s="49" t="s">
        <v>625</v>
      </c>
      <c r="D14" s="57" t="s">
        <v>338</v>
      </c>
      <c r="E14" s="50" t="s">
        <v>303</v>
      </c>
      <c r="F14" s="49" t="s">
        <v>304</v>
      </c>
      <c r="G14" s="52">
        <v>0.48</v>
      </c>
      <c r="H14" s="52">
        <v>0.66</v>
      </c>
      <c r="I14" s="51">
        <v>49082360</v>
      </c>
      <c r="J14" s="51">
        <v>33456</v>
      </c>
      <c r="K14" s="56">
        <v>1467.07</v>
      </c>
      <c r="L14" s="62">
        <v>1365</v>
      </c>
      <c r="M14" s="61" t="s">
        <v>362</v>
      </c>
      <c r="N14" s="60" t="s">
        <v>527</v>
      </c>
      <c r="O14" s="59">
        <v>-1.44</v>
      </c>
      <c r="P14" s="51">
        <v>-3414920</v>
      </c>
      <c r="Q14" s="52">
        <v>-6.96</v>
      </c>
      <c r="R14" s="51">
        <v>-669120</v>
      </c>
      <c r="S14" s="51">
        <v>30290</v>
      </c>
      <c r="T14" s="50" t="s">
        <v>269</v>
      </c>
      <c r="U14" s="49" t="s">
        <v>343</v>
      </c>
      <c r="V14" s="48" t="s">
        <v>342</v>
      </c>
      <c r="W14" s="48" t="s">
        <v>342</v>
      </c>
    </row>
    <row r="15" spans="1:23">
      <c r="A15" s="40" t="s">
        <v>539</v>
      </c>
      <c r="B15" s="40" t="s">
        <v>399</v>
      </c>
      <c r="C15" s="39" t="s">
        <v>625</v>
      </c>
      <c r="D15" s="47" t="s">
        <v>338</v>
      </c>
      <c r="E15" s="40" t="s">
        <v>24</v>
      </c>
      <c r="F15" s="39" t="s">
        <v>25</v>
      </c>
      <c r="G15" s="42">
        <v>2</v>
      </c>
      <c r="H15" s="42">
        <v>2.76</v>
      </c>
      <c r="I15" s="41">
        <v>182732340</v>
      </c>
      <c r="J15" s="41">
        <v>2849</v>
      </c>
      <c r="K15" s="46">
        <v>64139.12</v>
      </c>
      <c r="L15" s="66">
        <v>67000</v>
      </c>
      <c r="M15" s="65" t="s">
        <v>367</v>
      </c>
      <c r="N15" s="64" t="s">
        <v>540</v>
      </c>
      <c r="O15" s="63">
        <v>1.36</v>
      </c>
      <c r="P15" s="41">
        <v>8150660</v>
      </c>
      <c r="Q15" s="42">
        <v>4.46</v>
      </c>
      <c r="R15" s="41">
        <v>2135700</v>
      </c>
      <c r="S15" s="41">
        <v>666352</v>
      </c>
      <c r="T15" s="40" t="s">
        <v>269</v>
      </c>
      <c r="U15" s="39" t="s">
        <v>343</v>
      </c>
      <c r="V15" s="38" t="s">
        <v>342</v>
      </c>
      <c r="W15" s="38" t="s">
        <v>342</v>
      </c>
    </row>
    <row r="16" spans="1:23">
      <c r="A16" s="50" t="s">
        <v>538</v>
      </c>
      <c r="B16" s="50" t="s">
        <v>399</v>
      </c>
      <c r="C16" s="49" t="s">
        <v>625</v>
      </c>
      <c r="D16" s="57" t="s">
        <v>338</v>
      </c>
      <c r="E16" s="50" t="s">
        <v>28</v>
      </c>
      <c r="F16" s="49" t="s">
        <v>29</v>
      </c>
      <c r="G16" s="52">
        <v>1.33</v>
      </c>
      <c r="H16" s="52">
        <v>1.83</v>
      </c>
      <c r="I16" s="51">
        <v>113048506</v>
      </c>
      <c r="J16" s="51">
        <v>2203</v>
      </c>
      <c r="K16" s="56">
        <v>51315.71</v>
      </c>
      <c r="L16" s="62">
        <v>57400</v>
      </c>
      <c r="M16" s="61" t="s">
        <v>362</v>
      </c>
      <c r="N16" s="60" t="s">
        <v>355</v>
      </c>
      <c r="O16" s="59">
        <v>-0.17</v>
      </c>
      <c r="P16" s="51">
        <v>13403694</v>
      </c>
      <c r="Q16" s="52">
        <v>11.86</v>
      </c>
      <c r="R16" s="51">
        <v>-220300</v>
      </c>
      <c r="S16" s="51">
        <v>344838</v>
      </c>
      <c r="T16" s="50" t="s">
        <v>269</v>
      </c>
      <c r="U16" s="49" t="s">
        <v>343</v>
      </c>
      <c r="V16" s="48" t="s">
        <v>342</v>
      </c>
      <c r="W16" s="48" t="s">
        <v>342</v>
      </c>
    </row>
    <row r="17" spans="1:23">
      <c r="A17" s="40" t="s">
        <v>537</v>
      </c>
      <c r="B17" s="40" t="s">
        <v>399</v>
      </c>
      <c r="C17" s="39" t="s">
        <v>625</v>
      </c>
      <c r="D17" s="47" t="s">
        <v>338</v>
      </c>
      <c r="E17" s="40" t="s">
        <v>30</v>
      </c>
      <c r="F17" s="39" t="s">
        <v>31</v>
      </c>
      <c r="G17" s="42">
        <v>0.98</v>
      </c>
      <c r="H17" s="42">
        <v>1.35</v>
      </c>
      <c r="I17" s="41">
        <v>99339272</v>
      </c>
      <c r="J17" s="41">
        <v>191</v>
      </c>
      <c r="K17" s="58">
        <v>520100.9</v>
      </c>
      <c r="L17" s="66">
        <v>490000</v>
      </c>
      <c r="M17" s="65" t="s">
        <v>367</v>
      </c>
      <c r="N17" s="64" t="s">
        <v>451</v>
      </c>
      <c r="O17" s="63">
        <v>0.82</v>
      </c>
      <c r="P17" s="41">
        <v>-5749272</v>
      </c>
      <c r="Q17" s="42">
        <v>-5.79</v>
      </c>
      <c r="R17" s="41">
        <v>764000</v>
      </c>
      <c r="S17" s="41">
        <v>1747886</v>
      </c>
      <c r="T17" s="40" t="s">
        <v>269</v>
      </c>
      <c r="U17" s="39" t="s">
        <v>343</v>
      </c>
      <c r="V17" s="38" t="s">
        <v>342</v>
      </c>
      <c r="W17" s="38" t="s">
        <v>342</v>
      </c>
    </row>
    <row r="18" spans="1:23">
      <c r="A18" s="50" t="s">
        <v>534</v>
      </c>
      <c r="B18" s="50" t="s">
        <v>399</v>
      </c>
      <c r="C18" s="49" t="s">
        <v>625</v>
      </c>
      <c r="D18" s="57" t="s">
        <v>338</v>
      </c>
      <c r="E18" s="50" t="s">
        <v>536</v>
      </c>
      <c r="F18" s="49" t="s">
        <v>535</v>
      </c>
      <c r="G18" s="52">
        <v>1.1299999999999999</v>
      </c>
      <c r="H18" s="52">
        <v>1.56</v>
      </c>
      <c r="I18" s="51">
        <v>118960020</v>
      </c>
      <c r="J18" s="51">
        <v>2010</v>
      </c>
      <c r="K18" s="56">
        <v>59184.09</v>
      </c>
      <c r="L18" s="76">
        <v>53900</v>
      </c>
      <c r="M18" s="75" t="s">
        <v>367</v>
      </c>
      <c r="N18" s="74" t="s">
        <v>371</v>
      </c>
      <c r="O18" s="73">
        <v>0.56000000000000005</v>
      </c>
      <c r="P18" s="51">
        <v>-10621020</v>
      </c>
      <c r="Q18" s="52">
        <v>-8.93</v>
      </c>
      <c r="R18" s="51">
        <v>603000</v>
      </c>
      <c r="S18" s="51">
        <v>1061412</v>
      </c>
      <c r="T18" s="50" t="s">
        <v>269</v>
      </c>
      <c r="U18" s="49" t="s">
        <v>343</v>
      </c>
      <c r="V18" s="48" t="s">
        <v>342</v>
      </c>
      <c r="W18" s="48" t="s">
        <v>342</v>
      </c>
    </row>
    <row r="19" spans="1:23">
      <c r="A19" s="40" t="s">
        <v>531</v>
      </c>
      <c r="B19" s="40" t="s">
        <v>399</v>
      </c>
      <c r="C19" s="39" t="s">
        <v>625</v>
      </c>
      <c r="D19" s="47" t="s">
        <v>338</v>
      </c>
      <c r="E19" s="40" t="s">
        <v>533</v>
      </c>
      <c r="F19" s="39" t="s">
        <v>532</v>
      </c>
      <c r="G19" s="42">
        <v>1.51</v>
      </c>
      <c r="H19" s="42">
        <v>2.08</v>
      </c>
      <c r="I19" s="41">
        <v>141286506</v>
      </c>
      <c r="J19" s="41">
        <v>557</v>
      </c>
      <c r="K19" s="58">
        <v>253656.2</v>
      </c>
      <c r="L19" s="66">
        <v>258500</v>
      </c>
      <c r="M19" s="65" t="s">
        <v>367</v>
      </c>
      <c r="N19" s="64" t="s">
        <v>437</v>
      </c>
      <c r="O19" s="63">
        <v>1.97</v>
      </c>
      <c r="P19" s="41">
        <v>2697994</v>
      </c>
      <c r="Q19" s="42">
        <v>1.91</v>
      </c>
      <c r="R19" s="41">
        <v>2785000</v>
      </c>
      <c r="S19" s="41">
        <v>748820</v>
      </c>
      <c r="T19" s="40" t="s">
        <v>269</v>
      </c>
      <c r="U19" s="39" t="s">
        <v>343</v>
      </c>
      <c r="V19" s="38" t="s">
        <v>342</v>
      </c>
      <c r="W19" s="38" t="s">
        <v>342</v>
      </c>
    </row>
    <row r="20" spans="1:23">
      <c r="A20" s="50" t="s">
        <v>530</v>
      </c>
      <c r="B20" s="50" t="s">
        <v>399</v>
      </c>
      <c r="C20" s="49" t="s">
        <v>625</v>
      </c>
      <c r="D20" s="57" t="s">
        <v>338</v>
      </c>
      <c r="E20" s="50" t="s">
        <v>272</v>
      </c>
      <c r="F20" s="49" t="s">
        <v>273</v>
      </c>
      <c r="G20" s="52">
        <v>1.02</v>
      </c>
      <c r="H20" s="52">
        <v>1.4</v>
      </c>
      <c r="I20" s="51">
        <v>84304337</v>
      </c>
      <c r="J20" s="51">
        <v>1715</v>
      </c>
      <c r="K20" s="56">
        <v>49157.05</v>
      </c>
      <c r="L20" s="62">
        <v>56700</v>
      </c>
      <c r="M20" s="61" t="s">
        <v>362</v>
      </c>
      <c r="N20" s="60" t="s">
        <v>528</v>
      </c>
      <c r="O20" s="59">
        <v>-2.74</v>
      </c>
      <c r="P20" s="51">
        <v>12936163</v>
      </c>
      <c r="Q20" s="52">
        <v>15.34</v>
      </c>
      <c r="R20" s="51">
        <v>-2744000</v>
      </c>
      <c r="S20" s="51">
        <v>189140</v>
      </c>
      <c r="T20" s="50" t="s">
        <v>269</v>
      </c>
      <c r="U20" s="49" t="s">
        <v>343</v>
      </c>
      <c r="V20" s="48" t="s">
        <v>342</v>
      </c>
      <c r="W20" s="48" t="s">
        <v>342</v>
      </c>
    </row>
    <row r="21" spans="1:23">
      <c r="A21" s="40" t="s">
        <v>529</v>
      </c>
      <c r="B21" s="40" t="s">
        <v>399</v>
      </c>
      <c r="C21" s="39" t="s">
        <v>625</v>
      </c>
      <c r="D21" s="47" t="s">
        <v>338</v>
      </c>
      <c r="E21" s="40" t="s">
        <v>36</v>
      </c>
      <c r="F21" s="39" t="s">
        <v>37</v>
      </c>
      <c r="G21" s="42">
        <v>0.99</v>
      </c>
      <c r="H21" s="42">
        <v>1.37</v>
      </c>
      <c r="I21" s="41">
        <v>124718880</v>
      </c>
      <c r="J21" s="41">
        <v>1042</v>
      </c>
      <c r="K21" s="46">
        <v>119691.82</v>
      </c>
      <c r="L21" s="70">
        <v>90900</v>
      </c>
      <c r="M21" s="69" t="s">
        <v>362</v>
      </c>
      <c r="N21" s="68" t="s">
        <v>391</v>
      </c>
      <c r="O21" s="67">
        <v>-0.87</v>
      </c>
      <c r="P21" s="41">
        <v>-30001080</v>
      </c>
      <c r="Q21" s="42">
        <v>-24.05</v>
      </c>
      <c r="R21" s="41">
        <v>-833600</v>
      </c>
      <c r="S21" s="41">
        <v>157876</v>
      </c>
      <c r="T21" s="40" t="s">
        <v>269</v>
      </c>
      <c r="U21" s="39" t="s">
        <v>343</v>
      </c>
      <c r="V21" s="38" t="s">
        <v>342</v>
      </c>
      <c r="W21" s="38" t="s">
        <v>342</v>
      </c>
    </row>
    <row r="22" spans="1:23">
      <c r="A22" s="50" t="s">
        <v>527</v>
      </c>
      <c r="B22" s="50" t="s">
        <v>399</v>
      </c>
      <c r="C22" s="49" t="s">
        <v>625</v>
      </c>
      <c r="D22" s="57" t="s">
        <v>338</v>
      </c>
      <c r="E22" s="50" t="s">
        <v>258</v>
      </c>
      <c r="F22" s="49" t="s">
        <v>259</v>
      </c>
      <c r="G22" s="52">
        <v>3.3</v>
      </c>
      <c r="H22" s="52">
        <v>4.55</v>
      </c>
      <c r="I22" s="51">
        <v>279073849</v>
      </c>
      <c r="J22" s="51">
        <v>4460</v>
      </c>
      <c r="K22" s="56">
        <v>62572.61</v>
      </c>
      <c r="L22" s="76">
        <v>70500</v>
      </c>
      <c r="M22" s="75" t="s">
        <v>367</v>
      </c>
      <c r="N22" s="74" t="s">
        <v>528</v>
      </c>
      <c r="O22" s="73">
        <v>2.3199999999999998</v>
      </c>
      <c r="P22" s="51">
        <v>35356151</v>
      </c>
      <c r="Q22" s="52">
        <v>12.67</v>
      </c>
      <c r="R22" s="51">
        <v>7136000</v>
      </c>
      <c r="S22" s="51">
        <v>336834</v>
      </c>
      <c r="T22" s="50" t="s">
        <v>269</v>
      </c>
      <c r="U22" s="49" t="s">
        <v>343</v>
      </c>
      <c r="V22" s="48" t="s">
        <v>342</v>
      </c>
      <c r="W22" s="48" t="s">
        <v>342</v>
      </c>
    </row>
    <row r="23" spans="1:23">
      <c r="A23" s="40" t="s">
        <v>526</v>
      </c>
      <c r="B23" s="40" t="s">
        <v>399</v>
      </c>
      <c r="C23" s="39" t="s">
        <v>625</v>
      </c>
      <c r="D23" s="47" t="s">
        <v>338</v>
      </c>
      <c r="E23" s="40" t="s">
        <v>328</v>
      </c>
      <c r="F23" s="39" t="s">
        <v>329</v>
      </c>
      <c r="G23" s="42">
        <v>1.4</v>
      </c>
      <c r="H23" s="42">
        <v>1.93</v>
      </c>
      <c r="I23" s="41">
        <v>135353000</v>
      </c>
      <c r="J23" s="41">
        <v>23835</v>
      </c>
      <c r="K23" s="46">
        <v>5678.75</v>
      </c>
      <c r="L23" s="70">
        <v>5590</v>
      </c>
      <c r="M23" s="69" t="s">
        <v>362</v>
      </c>
      <c r="N23" s="68" t="s">
        <v>355</v>
      </c>
      <c r="O23" s="67">
        <v>-1.76</v>
      </c>
      <c r="P23" s="41">
        <v>-2115350</v>
      </c>
      <c r="Q23" s="42">
        <v>-1.56</v>
      </c>
      <c r="R23" s="41">
        <v>-2383500</v>
      </c>
      <c r="S23" s="41">
        <v>102850</v>
      </c>
      <c r="T23" s="40" t="s">
        <v>269</v>
      </c>
      <c r="U23" s="39" t="s">
        <v>343</v>
      </c>
      <c r="V23" s="38" t="s">
        <v>342</v>
      </c>
      <c r="W23" s="38" t="s">
        <v>342</v>
      </c>
    </row>
    <row r="24" spans="1:23">
      <c r="A24" s="50" t="s">
        <v>523</v>
      </c>
      <c r="B24" s="50" t="s">
        <v>399</v>
      </c>
      <c r="C24" s="49" t="s">
        <v>625</v>
      </c>
      <c r="D24" s="57" t="s">
        <v>338</v>
      </c>
      <c r="E24" s="50" t="s">
        <v>525</v>
      </c>
      <c r="F24" s="49" t="s">
        <v>524</v>
      </c>
      <c r="G24" s="52">
        <v>1</v>
      </c>
      <c r="H24" s="52">
        <v>1.38</v>
      </c>
      <c r="I24" s="51">
        <v>97455850</v>
      </c>
      <c r="J24" s="51">
        <v>2511</v>
      </c>
      <c r="K24" s="56">
        <v>38811.57</v>
      </c>
      <c r="L24" s="62">
        <v>38050</v>
      </c>
      <c r="M24" s="61" t="s">
        <v>362</v>
      </c>
      <c r="N24" s="60" t="s">
        <v>414</v>
      </c>
      <c r="O24" s="59">
        <v>-0.52</v>
      </c>
      <c r="P24" s="51">
        <v>-1912300</v>
      </c>
      <c r="Q24" s="52">
        <v>-1.96</v>
      </c>
      <c r="R24" s="51">
        <v>-502200</v>
      </c>
      <c r="S24" s="51">
        <v>795112</v>
      </c>
      <c r="T24" s="50" t="s">
        <v>269</v>
      </c>
      <c r="U24" s="49" t="s">
        <v>343</v>
      </c>
      <c r="V24" s="48" t="s">
        <v>342</v>
      </c>
      <c r="W24" s="48" t="s">
        <v>342</v>
      </c>
    </row>
    <row r="25" spans="1:23">
      <c r="A25" s="40" t="s">
        <v>520</v>
      </c>
      <c r="B25" s="40" t="s">
        <v>399</v>
      </c>
      <c r="C25" s="39" t="s">
        <v>625</v>
      </c>
      <c r="D25" s="47" t="s">
        <v>338</v>
      </c>
      <c r="E25" s="40" t="s">
        <v>522</v>
      </c>
      <c r="F25" s="39" t="s">
        <v>521</v>
      </c>
      <c r="G25" s="42">
        <v>2.2599999999999998</v>
      </c>
      <c r="H25" s="42">
        <v>3.11</v>
      </c>
      <c r="I25" s="41">
        <v>204118630</v>
      </c>
      <c r="J25" s="41">
        <v>18471</v>
      </c>
      <c r="K25" s="46">
        <v>11050.76</v>
      </c>
      <c r="L25" s="70">
        <v>11650</v>
      </c>
      <c r="M25" s="69" t="s">
        <v>362</v>
      </c>
      <c r="N25" s="68" t="s">
        <v>355</v>
      </c>
      <c r="O25" s="67">
        <v>-0.85</v>
      </c>
      <c r="P25" s="41">
        <v>11068520</v>
      </c>
      <c r="Q25" s="42">
        <v>5.42</v>
      </c>
      <c r="R25" s="41">
        <v>-1847100</v>
      </c>
      <c r="S25" s="41">
        <v>163580</v>
      </c>
      <c r="T25" s="40" t="s">
        <v>269</v>
      </c>
      <c r="U25" s="39" t="s">
        <v>343</v>
      </c>
      <c r="V25" s="38" t="s">
        <v>342</v>
      </c>
      <c r="W25" s="38" t="s">
        <v>342</v>
      </c>
    </row>
    <row r="26" spans="1:23">
      <c r="A26" s="50" t="s">
        <v>516</v>
      </c>
      <c r="B26" s="50" t="s">
        <v>399</v>
      </c>
      <c r="C26" s="49" t="s">
        <v>625</v>
      </c>
      <c r="D26" s="57" t="s">
        <v>338</v>
      </c>
      <c r="E26" s="50" t="s">
        <v>519</v>
      </c>
      <c r="F26" s="49" t="s">
        <v>518</v>
      </c>
      <c r="G26" s="52">
        <v>1.22</v>
      </c>
      <c r="H26" s="52">
        <v>1.68</v>
      </c>
      <c r="I26" s="51">
        <v>116983320</v>
      </c>
      <c r="J26" s="51">
        <v>1525</v>
      </c>
      <c r="K26" s="56">
        <v>76710.37</v>
      </c>
      <c r="L26" s="76">
        <v>76200</v>
      </c>
      <c r="M26" s="75" t="s">
        <v>367</v>
      </c>
      <c r="N26" s="74" t="s">
        <v>517</v>
      </c>
      <c r="O26" s="73">
        <v>5.39</v>
      </c>
      <c r="P26" s="51">
        <v>-778320</v>
      </c>
      <c r="Q26" s="52">
        <v>-0.67</v>
      </c>
      <c r="R26" s="51">
        <v>5947500</v>
      </c>
      <c r="S26" s="51">
        <v>78320</v>
      </c>
      <c r="T26" s="50" t="s">
        <v>269</v>
      </c>
      <c r="U26" s="49" t="s">
        <v>343</v>
      </c>
      <c r="V26" s="48" t="s">
        <v>342</v>
      </c>
      <c r="W26" s="48" t="s">
        <v>342</v>
      </c>
    </row>
    <row r="27" spans="1:23">
      <c r="A27" s="40" t="s">
        <v>512</v>
      </c>
      <c r="B27" s="40" t="s">
        <v>399</v>
      </c>
      <c r="C27" s="39" t="s">
        <v>625</v>
      </c>
      <c r="D27" s="47" t="s">
        <v>338</v>
      </c>
      <c r="E27" s="40" t="s">
        <v>515</v>
      </c>
      <c r="F27" s="39" t="s">
        <v>514</v>
      </c>
      <c r="G27" s="42">
        <v>1.47</v>
      </c>
      <c r="H27" s="42">
        <v>2.02</v>
      </c>
      <c r="I27" s="41">
        <v>143153320</v>
      </c>
      <c r="J27" s="41">
        <v>891</v>
      </c>
      <c r="K27" s="58">
        <v>160665.9</v>
      </c>
      <c r="L27" s="66">
        <v>157000</v>
      </c>
      <c r="M27" s="65" t="s">
        <v>367</v>
      </c>
      <c r="N27" s="64" t="s">
        <v>513</v>
      </c>
      <c r="O27" s="63">
        <v>4.67</v>
      </c>
      <c r="P27" s="41">
        <v>-3266320</v>
      </c>
      <c r="Q27" s="42">
        <v>-2.2799999999999998</v>
      </c>
      <c r="R27" s="41">
        <v>6237000</v>
      </c>
      <c r="S27" s="41">
        <v>117320</v>
      </c>
      <c r="T27" s="40" t="s">
        <v>269</v>
      </c>
      <c r="U27" s="39" t="s">
        <v>343</v>
      </c>
      <c r="V27" s="38" t="s">
        <v>342</v>
      </c>
      <c r="W27" s="38" t="s">
        <v>342</v>
      </c>
    </row>
    <row r="28" spans="1:23">
      <c r="A28" s="50" t="s">
        <v>511</v>
      </c>
      <c r="B28" s="50" t="s">
        <v>399</v>
      </c>
      <c r="C28" s="49" t="s">
        <v>625</v>
      </c>
      <c r="D28" s="57" t="s">
        <v>338</v>
      </c>
      <c r="E28" s="50" t="s">
        <v>48</v>
      </c>
      <c r="F28" s="49" t="s">
        <v>49</v>
      </c>
      <c r="G28" s="52">
        <v>2.56</v>
      </c>
      <c r="H28" s="52">
        <v>3.53</v>
      </c>
      <c r="I28" s="51">
        <v>236283480</v>
      </c>
      <c r="J28" s="51">
        <v>8006</v>
      </c>
      <c r="K28" s="78">
        <v>29513.3</v>
      </c>
      <c r="L28" s="62">
        <v>30500</v>
      </c>
      <c r="M28" s="61" t="s">
        <v>362</v>
      </c>
      <c r="N28" s="60" t="s">
        <v>371</v>
      </c>
      <c r="O28" s="59">
        <v>-0.97</v>
      </c>
      <c r="P28" s="51">
        <v>7899520</v>
      </c>
      <c r="Q28" s="52">
        <v>3.34</v>
      </c>
      <c r="R28" s="51">
        <v>-2401800</v>
      </c>
      <c r="S28" s="51">
        <v>1070516</v>
      </c>
      <c r="T28" s="50" t="s">
        <v>269</v>
      </c>
      <c r="U28" s="49" t="s">
        <v>343</v>
      </c>
      <c r="V28" s="48" t="s">
        <v>342</v>
      </c>
      <c r="W28" s="48" t="s">
        <v>342</v>
      </c>
    </row>
    <row r="29" spans="1:23">
      <c r="A29" s="40" t="s">
        <v>510</v>
      </c>
      <c r="B29" s="40" t="s">
        <v>399</v>
      </c>
      <c r="C29" s="39" t="s">
        <v>625</v>
      </c>
      <c r="D29" s="47" t="s">
        <v>338</v>
      </c>
      <c r="E29" s="40" t="s">
        <v>52</v>
      </c>
      <c r="F29" s="39" t="s">
        <v>53</v>
      </c>
      <c r="G29" s="42">
        <v>2.0099999999999998</v>
      </c>
      <c r="H29" s="42">
        <v>2.77</v>
      </c>
      <c r="I29" s="41">
        <v>197402618</v>
      </c>
      <c r="J29" s="41">
        <v>900</v>
      </c>
      <c r="K29" s="46">
        <v>219336.24</v>
      </c>
      <c r="L29" s="70">
        <v>213000</v>
      </c>
      <c r="M29" s="69" t="s">
        <v>362</v>
      </c>
      <c r="N29" s="68" t="s">
        <v>384</v>
      </c>
      <c r="O29" s="67">
        <v>-0.47</v>
      </c>
      <c r="P29" s="41">
        <v>-5702618</v>
      </c>
      <c r="Q29" s="42">
        <v>-2.89</v>
      </c>
      <c r="R29" s="41">
        <v>-900000</v>
      </c>
      <c r="S29" s="41">
        <v>1103334</v>
      </c>
      <c r="T29" s="40" t="s">
        <v>269</v>
      </c>
      <c r="U29" s="39" t="s">
        <v>343</v>
      </c>
      <c r="V29" s="38" t="s">
        <v>342</v>
      </c>
      <c r="W29" s="38" t="s">
        <v>342</v>
      </c>
    </row>
    <row r="30" spans="1:23">
      <c r="A30" s="50" t="s">
        <v>507</v>
      </c>
      <c r="B30" s="50" t="s">
        <v>399</v>
      </c>
      <c r="C30" s="49" t="s">
        <v>625</v>
      </c>
      <c r="D30" s="57" t="s">
        <v>338</v>
      </c>
      <c r="E30" s="50" t="s">
        <v>248</v>
      </c>
      <c r="F30" s="49" t="s">
        <v>249</v>
      </c>
      <c r="G30" s="52">
        <v>0.37</v>
      </c>
      <c r="H30" s="52">
        <v>0.52</v>
      </c>
      <c r="I30" s="51">
        <v>40861228</v>
      </c>
      <c r="J30" s="51">
        <v>1182</v>
      </c>
      <c r="K30" s="56">
        <v>34569.57</v>
      </c>
      <c r="L30" s="76">
        <v>30500</v>
      </c>
      <c r="M30" s="75" t="s">
        <v>367</v>
      </c>
      <c r="N30" s="74" t="s">
        <v>453</v>
      </c>
      <c r="O30" s="73">
        <v>0.16</v>
      </c>
      <c r="P30" s="51">
        <v>-4810228</v>
      </c>
      <c r="Q30" s="52">
        <v>-11.77</v>
      </c>
      <c r="R30" s="51">
        <v>59100</v>
      </c>
      <c r="S30" s="51">
        <v>134732</v>
      </c>
      <c r="T30" s="50" t="s">
        <v>269</v>
      </c>
      <c r="U30" s="49" t="s">
        <v>343</v>
      </c>
      <c r="V30" s="48" t="s">
        <v>342</v>
      </c>
      <c r="W30" s="48" t="s">
        <v>342</v>
      </c>
    </row>
    <row r="31" spans="1:23">
      <c r="A31" s="40" t="s">
        <v>504</v>
      </c>
      <c r="B31" s="40" t="s">
        <v>399</v>
      </c>
      <c r="C31" s="39" t="s">
        <v>625</v>
      </c>
      <c r="D31" s="47" t="s">
        <v>338</v>
      </c>
      <c r="E31" s="40" t="s">
        <v>509</v>
      </c>
      <c r="F31" s="39" t="s">
        <v>508</v>
      </c>
      <c r="G31" s="42">
        <v>0.52</v>
      </c>
      <c r="H31" s="42">
        <v>0.71</v>
      </c>
      <c r="I31" s="41">
        <v>48652400</v>
      </c>
      <c r="J31" s="41">
        <v>652</v>
      </c>
      <c r="K31" s="46">
        <v>74620.25</v>
      </c>
      <c r="L31" s="70">
        <v>76100</v>
      </c>
      <c r="M31" s="69" t="s">
        <v>362</v>
      </c>
      <c r="N31" s="68" t="s">
        <v>355</v>
      </c>
      <c r="O31" s="67">
        <v>-0.13</v>
      </c>
      <c r="P31" s="41">
        <v>964800</v>
      </c>
      <c r="Q31" s="42">
        <v>1.98</v>
      </c>
      <c r="R31" s="41">
        <v>-65200</v>
      </c>
      <c r="S31" s="41">
        <v>48600</v>
      </c>
      <c r="T31" s="40" t="s">
        <v>269</v>
      </c>
      <c r="U31" s="39" t="s">
        <v>343</v>
      </c>
      <c r="V31" s="38" t="s">
        <v>342</v>
      </c>
      <c r="W31" s="38" t="s">
        <v>342</v>
      </c>
    </row>
    <row r="32" spans="1:23">
      <c r="A32" s="50" t="s">
        <v>501</v>
      </c>
      <c r="B32" s="50" t="s">
        <v>399</v>
      </c>
      <c r="C32" s="49" t="s">
        <v>625</v>
      </c>
      <c r="D32" s="57" t="s">
        <v>338</v>
      </c>
      <c r="E32" s="50" t="s">
        <v>506</v>
      </c>
      <c r="F32" s="49" t="s">
        <v>505</v>
      </c>
      <c r="G32" s="52">
        <v>0.95</v>
      </c>
      <c r="H32" s="52">
        <v>1.31</v>
      </c>
      <c r="I32" s="51">
        <v>110283810</v>
      </c>
      <c r="J32" s="51">
        <v>2730</v>
      </c>
      <c r="K32" s="51">
        <v>40397</v>
      </c>
      <c r="L32" s="62">
        <v>33150</v>
      </c>
      <c r="M32" s="61" t="s">
        <v>362</v>
      </c>
      <c r="N32" s="60" t="s">
        <v>423</v>
      </c>
      <c r="O32" s="59">
        <v>-1.78</v>
      </c>
      <c r="P32" s="51">
        <v>-19784310</v>
      </c>
      <c r="Q32" s="52">
        <v>-17.940000000000001</v>
      </c>
      <c r="R32" s="51">
        <v>-1638000</v>
      </c>
      <c r="S32" s="51">
        <v>281697</v>
      </c>
      <c r="T32" s="50" t="s">
        <v>269</v>
      </c>
      <c r="U32" s="49" t="s">
        <v>343</v>
      </c>
      <c r="V32" s="48" t="s">
        <v>342</v>
      </c>
      <c r="W32" s="48" t="s">
        <v>342</v>
      </c>
    </row>
    <row r="33" spans="1:23">
      <c r="A33" s="40" t="s">
        <v>500</v>
      </c>
      <c r="B33" s="40" t="s">
        <v>399</v>
      </c>
      <c r="C33" s="39" t="s">
        <v>625</v>
      </c>
      <c r="D33" s="47" t="s">
        <v>338</v>
      </c>
      <c r="E33" s="40" t="s">
        <v>503</v>
      </c>
      <c r="F33" s="39" t="s">
        <v>502</v>
      </c>
      <c r="G33" s="42">
        <v>0.51</v>
      </c>
      <c r="H33" s="42">
        <v>0.7</v>
      </c>
      <c r="I33" s="41">
        <v>48714160</v>
      </c>
      <c r="J33" s="41">
        <v>272</v>
      </c>
      <c r="K33" s="46">
        <v>179096.18</v>
      </c>
      <c r="L33" s="70">
        <v>180000</v>
      </c>
      <c r="M33" s="69" t="s">
        <v>362</v>
      </c>
      <c r="N33" s="68" t="s">
        <v>451</v>
      </c>
      <c r="O33" s="67">
        <v>-2.17</v>
      </c>
      <c r="P33" s="41">
        <v>245840</v>
      </c>
      <c r="Q33" s="42">
        <v>0.5</v>
      </c>
      <c r="R33" s="41">
        <v>-1088000</v>
      </c>
      <c r="S33" s="41">
        <v>48660</v>
      </c>
      <c r="T33" s="40" t="s">
        <v>269</v>
      </c>
      <c r="U33" s="39" t="s">
        <v>343</v>
      </c>
      <c r="V33" s="38" t="s">
        <v>342</v>
      </c>
      <c r="W33" s="38" t="s">
        <v>342</v>
      </c>
    </row>
    <row r="34" spans="1:23">
      <c r="A34" s="50" t="s">
        <v>499</v>
      </c>
      <c r="B34" s="50" t="s">
        <v>399</v>
      </c>
      <c r="C34" s="49" t="s">
        <v>625</v>
      </c>
      <c r="D34" s="57" t="s">
        <v>338</v>
      </c>
      <c r="E34" s="50" t="s">
        <v>76</v>
      </c>
      <c r="F34" s="49" t="s">
        <v>77</v>
      </c>
      <c r="G34" s="52">
        <v>1.61</v>
      </c>
      <c r="H34" s="52">
        <v>2.2200000000000002</v>
      </c>
      <c r="I34" s="51">
        <v>144058960</v>
      </c>
      <c r="J34" s="51">
        <v>5395</v>
      </c>
      <c r="K34" s="56">
        <v>26702.31</v>
      </c>
      <c r="L34" s="62">
        <v>28500</v>
      </c>
      <c r="M34" s="61" t="s">
        <v>362</v>
      </c>
      <c r="N34" s="60" t="s">
        <v>428</v>
      </c>
      <c r="O34" s="59">
        <v>-1.72</v>
      </c>
      <c r="P34" s="51">
        <v>9698540</v>
      </c>
      <c r="Q34" s="52">
        <v>6.73</v>
      </c>
      <c r="R34" s="51">
        <v>-2697500</v>
      </c>
      <c r="S34" s="51">
        <v>641526</v>
      </c>
      <c r="T34" s="50" t="s">
        <v>269</v>
      </c>
      <c r="U34" s="49" t="s">
        <v>343</v>
      </c>
      <c r="V34" s="48" t="s">
        <v>342</v>
      </c>
      <c r="W34" s="48" t="s">
        <v>342</v>
      </c>
    </row>
    <row r="35" spans="1:23">
      <c r="A35" s="40" t="s">
        <v>495</v>
      </c>
      <c r="B35" s="40" t="s">
        <v>399</v>
      </c>
      <c r="C35" s="39" t="s">
        <v>625</v>
      </c>
      <c r="D35" s="47" t="s">
        <v>338</v>
      </c>
      <c r="E35" s="40" t="s">
        <v>78</v>
      </c>
      <c r="F35" s="39" t="s">
        <v>79</v>
      </c>
      <c r="G35" s="42">
        <v>0.5</v>
      </c>
      <c r="H35" s="42">
        <v>0.69</v>
      </c>
      <c r="I35" s="41">
        <v>48855320</v>
      </c>
      <c r="J35" s="41">
        <v>5170</v>
      </c>
      <c r="K35" s="46">
        <v>9449.77</v>
      </c>
      <c r="L35" s="41">
        <v>9260</v>
      </c>
      <c r="M35" s="45" t="s">
        <v>269</v>
      </c>
      <c r="N35" s="44" t="s">
        <v>342</v>
      </c>
      <c r="O35" s="43">
        <v>0</v>
      </c>
      <c r="P35" s="41">
        <v>-981120</v>
      </c>
      <c r="Q35" s="42">
        <v>-2.0099999999999998</v>
      </c>
      <c r="R35" s="41">
        <v>0</v>
      </c>
      <c r="S35" s="41">
        <v>42950</v>
      </c>
      <c r="T35" s="40" t="s">
        <v>269</v>
      </c>
      <c r="U35" s="39" t="s">
        <v>343</v>
      </c>
      <c r="V35" s="38" t="s">
        <v>342</v>
      </c>
      <c r="W35" s="38" t="s">
        <v>342</v>
      </c>
    </row>
    <row r="36" spans="1:23">
      <c r="A36" s="50" t="s">
        <v>492</v>
      </c>
      <c r="B36" s="50" t="s">
        <v>399</v>
      </c>
      <c r="C36" s="49" t="s">
        <v>625</v>
      </c>
      <c r="D36" s="57" t="s">
        <v>338</v>
      </c>
      <c r="E36" s="50" t="s">
        <v>498</v>
      </c>
      <c r="F36" s="49" t="s">
        <v>497</v>
      </c>
      <c r="G36" s="52">
        <v>0</v>
      </c>
      <c r="H36" s="52">
        <v>0</v>
      </c>
      <c r="I36" s="51">
        <v>5966920</v>
      </c>
      <c r="J36" s="51">
        <v>0</v>
      </c>
      <c r="K36" s="51">
        <v>0</v>
      </c>
      <c r="L36" s="62">
        <v>19850</v>
      </c>
      <c r="M36" s="61" t="s">
        <v>362</v>
      </c>
      <c r="N36" s="60" t="s">
        <v>496</v>
      </c>
      <c r="O36" s="59">
        <v>-4.57</v>
      </c>
      <c r="P36" s="51">
        <v>-5966920</v>
      </c>
      <c r="Q36" s="52">
        <v>-6.19</v>
      </c>
      <c r="R36" s="51">
        <v>-3620000</v>
      </c>
      <c r="S36" s="51">
        <v>96370</v>
      </c>
      <c r="T36" s="50" t="s">
        <v>269</v>
      </c>
      <c r="U36" s="49" t="s">
        <v>343</v>
      </c>
      <c r="V36" s="48" t="s">
        <v>342</v>
      </c>
      <c r="W36" s="48" t="s">
        <v>342</v>
      </c>
    </row>
    <row r="37" spans="1:23">
      <c r="A37" s="40" t="s">
        <v>491</v>
      </c>
      <c r="B37" s="40" t="s">
        <v>399</v>
      </c>
      <c r="C37" s="39" t="s">
        <v>625</v>
      </c>
      <c r="D37" s="47" t="s">
        <v>338</v>
      </c>
      <c r="E37" s="40" t="s">
        <v>494</v>
      </c>
      <c r="F37" s="39" t="s">
        <v>493</v>
      </c>
      <c r="G37" s="42">
        <v>2.4900000000000002</v>
      </c>
      <c r="H37" s="42">
        <v>3.43</v>
      </c>
      <c r="I37" s="41">
        <v>244751268</v>
      </c>
      <c r="J37" s="41">
        <v>1652</v>
      </c>
      <c r="K37" s="46">
        <v>148154.51999999999</v>
      </c>
      <c r="L37" s="66">
        <v>143500</v>
      </c>
      <c r="M37" s="65" t="s">
        <v>367</v>
      </c>
      <c r="N37" s="64" t="s">
        <v>384</v>
      </c>
      <c r="O37" s="63">
        <v>0.7</v>
      </c>
      <c r="P37" s="41">
        <v>-7689268</v>
      </c>
      <c r="Q37" s="42">
        <v>-3.14</v>
      </c>
      <c r="R37" s="41">
        <v>1652000</v>
      </c>
      <c r="S37" s="41">
        <v>1003322</v>
      </c>
      <c r="T37" s="40" t="s">
        <v>269</v>
      </c>
      <c r="U37" s="39" t="s">
        <v>343</v>
      </c>
      <c r="V37" s="38" t="s">
        <v>342</v>
      </c>
      <c r="W37" s="38" t="s">
        <v>342</v>
      </c>
    </row>
    <row r="38" spans="1:23">
      <c r="A38" s="50" t="s">
        <v>490</v>
      </c>
      <c r="B38" s="50" t="s">
        <v>399</v>
      </c>
      <c r="C38" s="49" t="s">
        <v>625</v>
      </c>
      <c r="D38" s="57" t="s">
        <v>338</v>
      </c>
      <c r="E38" s="50" t="s">
        <v>265</v>
      </c>
      <c r="F38" s="49" t="s">
        <v>266</v>
      </c>
      <c r="G38" s="52">
        <v>2.61</v>
      </c>
      <c r="H38" s="52">
        <v>3.59</v>
      </c>
      <c r="I38" s="51">
        <v>235400500</v>
      </c>
      <c r="J38" s="51">
        <v>59587</v>
      </c>
      <c r="K38" s="56">
        <v>3950.53</v>
      </c>
      <c r="L38" s="62">
        <v>4165</v>
      </c>
      <c r="M38" s="61" t="s">
        <v>362</v>
      </c>
      <c r="N38" s="60" t="s">
        <v>414</v>
      </c>
      <c r="O38" s="59">
        <v>-4.58</v>
      </c>
      <c r="P38" s="51">
        <v>12779355</v>
      </c>
      <c r="Q38" s="52">
        <v>5.43</v>
      </c>
      <c r="R38" s="51">
        <v>-11917400</v>
      </c>
      <c r="S38" s="51">
        <v>155000</v>
      </c>
      <c r="T38" s="50" t="s">
        <v>269</v>
      </c>
      <c r="U38" s="49" t="s">
        <v>343</v>
      </c>
      <c r="V38" s="48" t="s">
        <v>342</v>
      </c>
      <c r="W38" s="48" t="s">
        <v>342</v>
      </c>
    </row>
    <row r="39" spans="1:23">
      <c r="A39" s="40" t="s">
        <v>489</v>
      </c>
      <c r="B39" s="40" t="s">
        <v>399</v>
      </c>
      <c r="C39" s="39" t="s">
        <v>625</v>
      </c>
      <c r="D39" s="47" t="s">
        <v>338</v>
      </c>
      <c r="E39" s="40" t="s">
        <v>88</v>
      </c>
      <c r="F39" s="39" t="s">
        <v>89</v>
      </c>
      <c r="G39" s="42">
        <v>1.29</v>
      </c>
      <c r="H39" s="42">
        <v>1.78</v>
      </c>
      <c r="I39" s="41">
        <v>114071791</v>
      </c>
      <c r="J39" s="41">
        <v>3800</v>
      </c>
      <c r="K39" s="46">
        <v>30018.89</v>
      </c>
      <c r="L39" s="66">
        <v>32500</v>
      </c>
      <c r="M39" s="65" t="s">
        <v>367</v>
      </c>
      <c r="N39" s="64" t="s">
        <v>355</v>
      </c>
      <c r="O39" s="63">
        <v>0.31</v>
      </c>
      <c r="P39" s="41">
        <v>9428209</v>
      </c>
      <c r="Q39" s="42">
        <v>8.27</v>
      </c>
      <c r="R39" s="41">
        <v>380000</v>
      </c>
      <c r="S39" s="41">
        <v>210906</v>
      </c>
      <c r="T39" s="40" t="s">
        <v>269</v>
      </c>
      <c r="U39" s="39" t="s">
        <v>343</v>
      </c>
      <c r="V39" s="38" t="s">
        <v>342</v>
      </c>
      <c r="W39" s="38" t="s">
        <v>342</v>
      </c>
    </row>
    <row r="40" spans="1:23">
      <c r="A40" s="50" t="s">
        <v>485</v>
      </c>
      <c r="B40" s="50" t="s">
        <v>399</v>
      </c>
      <c r="C40" s="49" t="s">
        <v>625</v>
      </c>
      <c r="D40" s="57" t="s">
        <v>338</v>
      </c>
      <c r="E40" s="50" t="s">
        <v>252</v>
      </c>
      <c r="F40" s="49" t="s">
        <v>253</v>
      </c>
      <c r="G40" s="52">
        <v>3.71</v>
      </c>
      <c r="H40" s="52">
        <v>5.12</v>
      </c>
      <c r="I40" s="51">
        <v>327671703</v>
      </c>
      <c r="J40" s="51">
        <v>9467</v>
      </c>
      <c r="K40" s="56">
        <v>34611.99</v>
      </c>
      <c r="L40" s="62">
        <v>37350</v>
      </c>
      <c r="M40" s="61" t="s">
        <v>362</v>
      </c>
      <c r="N40" s="60" t="s">
        <v>419</v>
      </c>
      <c r="O40" s="59">
        <v>-1.97</v>
      </c>
      <c r="P40" s="51">
        <v>25920747</v>
      </c>
      <c r="Q40" s="52">
        <v>7.91</v>
      </c>
      <c r="R40" s="51">
        <v>-7100250</v>
      </c>
      <c r="S40" s="51">
        <v>531956</v>
      </c>
      <c r="T40" s="50" t="s">
        <v>269</v>
      </c>
      <c r="U40" s="49" t="s">
        <v>343</v>
      </c>
      <c r="V40" s="48" t="s">
        <v>342</v>
      </c>
      <c r="W40" s="48" t="s">
        <v>342</v>
      </c>
    </row>
    <row r="41" spans="1:23">
      <c r="A41" s="40" t="s">
        <v>484</v>
      </c>
      <c r="B41" s="40" t="s">
        <v>399</v>
      </c>
      <c r="C41" s="39" t="s">
        <v>625</v>
      </c>
      <c r="D41" s="47" t="s">
        <v>338</v>
      </c>
      <c r="E41" s="40" t="s">
        <v>488</v>
      </c>
      <c r="F41" s="39" t="s">
        <v>487</v>
      </c>
      <c r="G41" s="42">
        <v>1.39</v>
      </c>
      <c r="H41" s="42">
        <v>1.92</v>
      </c>
      <c r="I41" s="41">
        <v>132195533</v>
      </c>
      <c r="J41" s="41">
        <v>4916</v>
      </c>
      <c r="K41" s="46">
        <v>26890.87</v>
      </c>
      <c r="L41" s="66">
        <v>27000</v>
      </c>
      <c r="M41" s="65" t="s">
        <v>367</v>
      </c>
      <c r="N41" s="64" t="s">
        <v>486</v>
      </c>
      <c r="O41" s="63">
        <v>2.08</v>
      </c>
      <c r="P41" s="41">
        <v>536467</v>
      </c>
      <c r="Q41" s="42">
        <v>0.41</v>
      </c>
      <c r="R41" s="41">
        <v>2703800</v>
      </c>
      <c r="S41" s="41">
        <v>394032</v>
      </c>
      <c r="T41" s="40" t="s">
        <v>269</v>
      </c>
      <c r="U41" s="39" t="s">
        <v>343</v>
      </c>
      <c r="V41" s="38" t="s">
        <v>342</v>
      </c>
      <c r="W41" s="38" t="s">
        <v>342</v>
      </c>
    </row>
    <row r="42" spans="1:23">
      <c r="A42" s="50" t="s">
        <v>482</v>
      </c>
      <c r="B42" s="50" t="s">
        <v>399</v>
      </c>
      <c r="C42" s="49" t="s">
        <v>625</v>
      </c>
      <c r="D42" s="57" t="s">
        <v>338</v>
      </c>
      <c r="E42" s="50" t="s">
        <v>276</v>
      </c>
      <c r="F42" s="49" t="s">
        <v>277</v>
      </c>
      <c r="G42" s="52">
        <v>0</v>
      </c>
      <c r="H42" s="52">
        <v>0</v>
      </c>
      <c r="I42" s="51">
        <v>1136958</v>
      </c>
      <c r="J42" s="51">
        <v>0</v>
      </c>
      <c r="K42" s="51">
        <v>0</v>
      </c>
      <c r="L42" s="62">
        <v>16000</v>
      </c>
      <c r="M42" s="61" t="s">
        <v>362</v>
      </c>
      <c r="N42" s="60" t="s">
        <v>371</v>
      </c>
      <c r="O42" s="59">
        <v>-1.84</v>
      </c>
      <c r="P42" s="51">
        <v>-1136958</v>
      </c>
      <c r="Q42" s="52">
        <v>-7.57</v>
      </c>
      <c r="R42" s="51">
        <v>-394200</v>
      </c>
      <c r="S42" s="51">
        <v>296769</v>
      </c>
      <c r="T42" s="50" t="s">
        <v>269</v>
      </c>
      <c r="U42" s="49" t="s">
        <v>343</v>
      </c>
      <c r="V42" s="48" t="s">
        <v>342</v>
      </c>
      <c r="W42" s="48" t="s">
        <v>342</v>
      </c>
    </row>
    <row r="43" spans="1:23">
      <c r="A43" s="40" t="s">
        <v>480</v>
      </c>
      <c r="B43" s="40" t="s">
        <v>399</v>
      </c>
      <c r="C43" s="39" t="s">
        <v>625</v>
      </c>
      <c r="D43" s="47" t="s">
        <v>338</v>
      </c>
      <c r="E43" s="40" t="s">
        <v>334</v>
      </c>
      <c r="F43" s="39" t="s">
        <v>335</v>
      </c>
      <c r="G43" s="42">
        <v>0.51</v>
      </c>
      <c r="H43" s="42">
        <v>0.7</v>
      </c>
      <c r="I43" s="41">
        <v>49241140</v>
      </c>
      <c r="J43" s="41">
        <v>745</v>
      </c>
      <c r="K43" s="46">
        <v>66095.490000000005</v>
      </c>
      <c r="L43" s="70">
        <v>65400</v>
      </c>
      <c r="M43" s="69" t="s">
        <v>362</v>
      </c>
      <c r="N43" s="68" t="s">
        <v>423</v>
      </c>
      <c r="O43" s="67">
        <v>-0.91</v>
      </c>
      <c r="P43" s="41">
        <v>-518140</v>
      </c>
      <c r="Q43" s="42">
        <v>-1.05</v>
      </c>
      <c r="R43" s="41">
        <v>-447000</v>
      </c>
      <c r="S43" s="41">
        <v>34440</v>
      </c>
      <c r="T43" s="40" t="s">
        <v>269</v>
      </c>
      <c r="U43" s="39" t="s">
        <v>343</v>
      </c>
      <c r="V43" s="38" t="s">
        <v>342</v>
      </c>
      <c r="W43" s="38" t="s">
        <v>342</v>
      </c>
    </row>
    <row r="44" spans="1:23">
      <c r="A44" s="50" t="s">
        <v>478</v>
      </c>
      <c r="B44" s="50" t="s">
        <v>399</v>
      </c>
      <c r="C44" s="49" t="s">
        <v>625</v>
      </c>
      <c r="D44" s="57" t="s">
        <v>338</v>
      </c>
      <c r="E44" s="50" t="s">
        <v>100</v>
      </c>
      <c r="F44" s="49" t="s">
        <v>101</v>
      </c>
      <c r="G44" s="52">
        <v>1.1299999999999999</v>
      </c>
      <c r="H44" s="52">
        <v>1.56</v>
      </c>
      <c r="I44" s="51">
        <v>96723910</v>
      </c>
      <c r="J44" s="51">
        <v>257</v>
      </c>
      <c r="K44" s="56">
        <v>376357.63</v>
      </c>
      <c r="L44" s="62">
        <v>420300</v>
      </c>
      <c r="M44" s="61" t="s">
        <v>362</v>
      </c>
      <c r="N44" s="60" t="s">
        <v>483</v>
      </c>
      <c r="O44" s="59">
        <v>-2.2999999999999998</v>
      </c>
      <c r="P44" s="51">
        <v>11293190</v>
      </c>
      <c r="Q44" s="52">
        <v>11.68</v>
      </c>
      <c r="R44" s="51">
        <v>-2544300</v>
      </c>
      <c r="S44" s="51">
        <v>1178075</v>
      </c>
      <c r="T44" s="50" t="s">
        <v>269</v>
      </c>
      <c r="U44" s="49" t="s">
        <v>343</v>
      </c>
      <c r="V44" s="48" t="s">
        <v>342</v>
      </c>
      <c r="W44" s="48" t="s">
        <v>342</v>
      </c>
    </row>
    <row r="45" spans="1:23">
      <c r="A45" s="40" t="s">
        <v>361</v>
      </c>
      <c r="B45" s="40" t="s">
        <v>399</v>
      </c>
      <c r="C45" s="39" t="s">
        <v>625</v>
      </c>
      <c r="D45" s="47" t="s">
        <v>338</v>
      </c>
      <c r="E45" s="40" t="s">
        <v>290</v>
      </c>
      <c r="F45" s="39" t="s">
        <v>291</v>
      </c>
      <c r="G45" s="42">
        <v>0.54</v>
      </c>
      <c r="H45" s="42">
        <v>0.75</v>
      </c>
      <c r="I45" s="41">
        <v>47181074</v>
      </c>
      <c r="J45" s="41">
        <v>735</v>
      </c>
      <c r="K45" s="46">
        <v>64191.94</v>
      </c>
      <c r="L45" s="70">
        <v>71100</v>
      </c>
      <c r="M45" s="69" t="s">
        <v>362</v>
      </c>
      <c r="N45" s="68" t="s">
        <v>481</v>
      </c>
      <c r="O45" s="67">
        <v>-2.6</v>
      </c>
      <c r="P45" s="41">
        <v>5077426</v>
      </c>
      <c r="Q45" s="42">
        <v>10.76</v>
      </c>
      <c r="R45" s="41">
        <v>-1396500</v>
      </c>
      <c r="S45" s="41">
        <v>300724</v>
      </c>
      <c r="T45" s="40" t="s">
        <v>269</v>
      </c>
      <c r="U45" s="39" t="s">
        <v>343</v>
      </c>
      <c r="V45" s="38" t="s">
        <v>342</v>
      </c>
      <c r="W45" s="38" t="s">
        <v>342</v>
      </c>
    </row>
    <row r="46" spans="1:23">
      <c r="A46" s="50" t="s">
        <v>473</v>
      </c>
      <c r="B46" s="50" t="s">
        <v>399</v>
      </c>
      <c r="C46" s="49" t="s">
        <v>625</v>
      </c>
      <c r="D46" s="57" t="s">
        <v>338</v>
      </c>
      <c r="E46" s="50" t="s">
        <v>336</v>
      </c>
      <c r="F46" s="49" t="s">
        <v>337</v>
      </c>
      <c r="G46" s="52">
        <v>0.97</v>
      </c>
      <c r="H46" s="52">
        <v>1.34</v>
      </c>
      <c r="I46" s="51">
        <v>97372310</v>
      </c>
      <c r="J46" s="51">
        <v>3794</v>
      </c>
      <c r="K46" s="56">
        <v>25664.82</v>
      </c>
      <c r="L46" s="62">
        <v>24550</v>
      </c>
      <c r="M46" s="61" t="s">
        <v>362</v>
      </c>
      <c r="N46" s="60" t="s">
        <v>479</v>
      </c>
      <c r="O46" s="59">
        <v>-1.8</v>
      </c>
      <c r="P46" s="51">
        <v>-4229610</v>
      </c>
      <c r="Q46" s="52">
        <v>-4.34</v>
      </c>
      <c r="R46" s="51">
        <v>-1707300</v>
      </c>
      <c r="S46" s="51">
        <v>88510</v>
      </c>
      <c r="T46" s="50" t="s">
        <v>269</v>
      </c>
      <c r="U46" s="49" t="s">
        <v>343</v>
      </c>
      <c r="V46" s="48" t="s">
        <v>342</v>
      </c>
      <c r="W46" s="48" t="s">
        <v>342</v>
      </c>
    </row>
    <row r="47" spans="1:23">
      <c r="A47" s="40" t="s">
        <v>471</v>
      </c>
      <c r="B47" s="40" t="s">
        <v>399</v>
      </c>
      <c r="C47" s="39" t="s">
        <v>668</v>
      </c>
      <c r="D47" s="72" t="s">
        <v>339</v>
      </c>
      <c r="E47" s="40" t="s">
        <v>477</v>
      </c>
      <c r="F47" s="39" t="s">
        <v>476</v>
      </c>
      <c r="G47" s="42">
        <v>0.55000000000000004</v>
      </c>
      <c r="H47" s="42">
        <v>1.06</v>
      </c>
      <c r="I47" s="41">
        <v>-49786134</v>
      </c>
      <c r="J47" s="41">
        <v>-450</v>
      </c>
      <c r="K47" s="46">
        <v>110635.85</v>
      </c>
      <c r="L47" s="70">
        <v>118000</v>
      </c>
      <c r="M47" s="69" t="s">
        <v>362</v>
      </c>
      <c r="N47" s="68" t="s">
        <v>382</v>
      </c>
      <c r="O47" s="67">
        <v>-1.26</v>
      </c>
      <c r="P47" s="41">
        <v>-3313866</v>
      </c>
      <c r="Q47" s="42">
        <v>-6.66</v>
      </c>
      <c r="R47" s="41">
        <v>675000</v>
      </c>
      <c r="S47" s="41">
        <v>459080</v>
      </c>
      <c r="T47" s="40" t="s">
        <v>269</v>
      </c>
      <c r="U47" s="39" t="s">
        <v>343</v>
      </c>
      <c r="V47" s="38" t="s">
        <v>342</v>
      </c>
      <c r="W47" s="38" t="s">
        <v>342</v>
      </c>
    </row>
    <row r="48" spans="1:23">
      <c r="A48" s="50" t="s">
        <v>469</v>
      </c>
      <c r="B48" s="50" t="s">
        <v>399</v>
      </c>
      <c r="C48" s="49" t="s">
        <v>668</v>
      </c>
      <c r="D48" s="77" t="s">
        <v>339</v>
      </c>
      <c r="E48" s="50" t="s">
        <v>475</v>
      </c>
      <c r="F48" s="49" t="s">
        <v>474</v>
      </c>
      <c r="G48" s="52">
        <v>1.05</v>
      </c>
      <c r="H48" s="52">
        <v>2</v>
      </c>
      <c r="I48" s="51">
        <v>-104349085</v>
      </c>
      <c r="J48" s="51">
        <v>-526</v>
      </c>
      <c r="K48" s="56">
        <v>198382.29</v>
      </c>
      <c r="L48" s="62">
        <v>191000</v>
      </c>
      <c r="M48" s="61" t="s">
        <v>362</v>
      </c>
      <c r="N48" s="60" t="s">
        <v>382</v>
      </c>
      <c r="O48" s="59">
        <v>-0.78</v>
      </c>
      <c r="P48" s="51">
        <v>3883085</v>
      </c>
      <c r="Q48" s="52">
        <v>3.72</v>
      </c>
      <c r="R48" s="51">
        <v>789000</v>
      </c>
      <c r="S48" s="51">
        <v>819706</v>
      </c>
      <c r="T48" s="50" t="s">
        <v>269</v>
      </c>
      <c r="U48" s="49" t="s">
        <v>343</v>
      </c>
      <c r="V48" s="48" t="s">
        <v>342</v>
      </c>
      <c r="W48" s="48" t="s">
        <v>342</v>
      </c>
    </row>
    <row r="49" spans="1:23">
      <c r="A49" s="40" t="s">
        <v>466</v>
      </c>
      <c r="B49" s="40" t="s">
        <v>399</v>
      </c>
      <c r="C49" s="39" t="s">
        <v>668</v>
      </c>
      <c r="D49" s="72" t="s">
        <v>339</v>
      </c>
      <c r="E49" s="40" t="s">
        <v>293</v>
      </c>
      <c r="F49" s="39" t="s">
        <v>294</v>
      </c>
      <c r="G49" s="42">
        <v>2.0299999999999998</v>
      </c>
      <c r="H49" s="42">
        <v>3.87</v>
      </c>
      <c r="I49" s="41">
        <v>-171608168</v>
      </c>
      <c r="J49" s="41">
        <v>-2742</v>
      </c>
      <c r="K49" s="46">
        <v>62585.04</v>
      </c>
      <c r="L49" s="66">
        <v>70700</v>
      </c>
      <c r="M49" s="65" t="s">
        <v>367</v>
      </c>
      <c r="N49" s="64" t="s">
        <v>472</v>
      </c>
      <c r="O49" s="63">
        <v>2.61</v>
      </c>
      <c r="P49" s="41">
        <v>-22251232</v>
      </c>
      <c r="Q49" s="42">
        <v>-12.97</v>
      </c>
      <c r="R49" s="41">
        <v>-4935600</v>
      </c>
      <c r="S49" s="41">
        <v>946710</v>
      </c>
      <c r="T49" s="40" t="s">
        <v>269</v>
      </c>
      <c r="U49" s="39" t="s">
        <v>343</v>
      </c>
      <c r="V49" s="38" t="s">
        <v>342</v>
      </c>
      <c r="W49" s="38" t="s">
        <v>342</v>
      </c>
    </row>
    <row r="50" spans="1:23">
      <c r="A50" s="50" t="s">
        <v>464</v>
      </c>
      <c r="B50" s="50" t="s">
        <v>399</v>
      </c>
      <c r="C50" s="49" t="s">
        <v>668</v>
      </c>
      <c r="D50" s="77" t="s">
        <v>339</v>
      </c>
      <c r="E50" s="50" t="s">
        <v>8</v>
      </c>
      <c r="F50" s="49" t="s">
        <v>9</v>
      </c>
      <c r="G50" s="52">
        <v>1.19</v>
      </c>
      <c r="H50" s="52">
        <v>2.27</v>
      </c>
      <c r="I50" s="51">
        <v>-135863690</v>
      </c>
      <c r="J50" s="51">
        <v>-156</v>
      </c>
      <c r="K50" s="56">
        <v>870921.09</v>
      </c>
      <c r="L50" s="76">
        <v>729000</v>
      </c>
      <c r="M50" s="75" t="s">
        <v>367</v>
      </c>
      <c r="N50" s="74" t="s">
        <v>470</v>
      </c>
      <c r="O50" s="73">
        <v>2.39</v>
      </c>
      <c r="P50" s="51">
        <v>22139690</v>
      </c>
      <c r="Q50" s="52">
        <v>16.3</v>
      </c>
      <c r="R50" s="51">
        <v>-2652000</v>
      </c>
      <c r="S50" s="51">
        <v>815764</v>
      </c>
      <c r="T50" s="50" t="s">
        <v>269</v>
      </c>
      <c r="U50" s="49" t="s">
        <v>343</v>
      </c>
      <c r="V50" s="48" t="s">
        <v>342</v>
      </c>
      <c r="W50" s="48" t="s">
        <v>342</v>
      </c>
    </row>
    <row r="51" spans="1:23">
      <c r="A51" s="40" t="s">
        <v>461</v>
      </c>
      <c r="B51" s="40" t="s">
        <v>399</v>
      </c>
      <c r="C51" s="39" t="s">
        <v>668</v>
      </c>
      <c r="D51" s="72" t="s">
        <v>339</v>
      </c>
      <c r="E51" s="40" t="s">
        <v>468</v>
      </c>
      <c r="F51" s="39" t="s">
        <v>467</v>
      </c>
      <c r="G51" s="42">
        <v>1.05</v>
      </c>
      <c r="H51" s="42">
        <v>2.0099999999999998</v>
      </c>
      <c r="I51" s="41">
        <v>-117416857</v>
      </c>
      <c r="J51" s="41">
        <v>-3556</v>
      </c>
      <c r="K51" s="46">
        <v>33019.360000000001</v>
      </c>
      <c r="L51" s="66">
        <v>28300</v>
      </c>
      <c r="M51" s="65" t="s">
        <v>367</v>
      </c>
      <c r="N51" s="64" t="s">
        <v>414</v>
      </c>
      <c r="O51" s="63">
        <v>0.71</v>
      </c>
      <c r="P51" s="41">
        <v>16782057</v>
      </c>
      <c r="Q51" s="42">
        <v>14.29</v>
      </c>
      <c r="R51" s="41">
        <v>-711200</v>
      </c>
      <c r="S51" s="41">
        <v>650772</v>
      </c>
      <c r="T51" s="40" t="s">
        <v>269</v>
      </c>
      <c r="U51" s="39" t="s">
        <v>343</v>
      </c>
      <c r="V51" s="38" t="s">
        <v>342</v>
      </c>
      <c r="W51" s="38" t="s">
        <v>342</v>
      </c>
    </row>
    <row r="52" spans="1:23">
      <c r="A52" s="50" t="s">
        <v>453</v>
      </c>
      <c r="B52" s="50" t="s">
        <v>399</v>
      </c>
      <c r="C52" s="49" t="s">
        <v>668</v>
      </c>
      <c r="D52" s="77" t="s">
        <v>339</v>
      </c>
      <c r="E52" s="50" t="s">
        <v>288</v>
      </c>
      <c r="F52" s="49" t="s">
        <v>289</v>
      </c>
      <c r="G52" s="52">
        <v>1.61</v>
      </c>
      <c r="H52" s="52">
        <v>3.06</v>
      </c>
      <c r="I52" s="51">
        <v>-148193408</v>
      </c>
      <c r="J52" s="51">
        <v>-780</v>
      </c>
      <c r="K52" s="56">
        <v>189991.55</v>
      </c>
      <c r="L52" s="76">
        <v>196500</v>
      </c>
      <c r="M52" s="75" t="s">
        <v>367</v>
      </c>
      <c r="N52" s="74" t="s">
        <v>465</v>
      </c>
      <c r="O52" s="73">
        <v>8.86</v>
      </c>
      <c r="P52" s="51">
        <v>-5076592</v>
      </c>
      <c r="Q52" s="52">
        <v>-3.43</v>
      </c>
      <c r="R52" s="51">
        <v>-12480000</v>
      </c>
      <c r="S52" s="51">
        <v>1117058</v>
      </c>
      <c r="T52" s="50" t="s">
        <v>269</v>
      </c>
      <c r="U52" s="49" t="s">
        <v>343</v>
      </c>
      <c r="V52" s="48" t="s">
        <v>342</v>
      </c>
      <c r="W52" s="48" t="s">
        <v>342</v>
      </c>
    </row>
    <row r="53" spans="1:23">
      <c r="A53" s="40" t="s">
        <v>459</v>
      </c>
      <c r="B53" s="40" t="s">
        <v>399</v>
      </c>
      <c r="C53" s="39" t="s">
        <v>668</v>
      </c>
      <c r="D53" s="72" t="s">
        <v>339</v>
      </c>
      <c r="E53" s="40" t="s">
        <v>463</v>
      </c>
      <c r="F53" s="39" t="s">
        <v>462</v>
      </c>
      <c r="G53" s="42">
        <v>1.47</v>
      </c>
      <c r="H53" s="42">
        <v>2.79</v>
      </c>
      <c r="I53" s="41">
        <v>-140836522</v>
      </c>
      <c r="J53" s="41">
        <v>-460</v>
      </c>
      <c r="K53" s="46">
        <v>306166.34999999998</v>
      </c>
      <c r="L53" s="41">
        <v>304000</v>
      </c>
      <c r="M53" s="45" t="s">
        <v>269</v>
      </c>
      <c r="N53" s="44" t="s">
        <v>342</v>
      </c>
      <c r="O53" s="43">
        <v>0</v>
      </c>
      <c r="P53" s="41">
        <v>996522</v>
      </c>
      <c r="Q53" s="42">
        <v>0.71</v>
      </c>
      <c r="R53" s="41">
        <v>0</v>
      </c>
      <c r="S53" s="41">
        <v>805774</v>
      </c>
      <c r="T53" s="40" t="s">
        <v>269</v>
      </c>
      <c r="U53" s="39" t="s">
        <v>343</v>
      </c>
      <c r="V53" s="38" t="s">
        <v>342</v>
      </c>
      <c r="W53" s="38" t="s">
        <v>342</v>
      </c>
    </row>
    <row r="54" spans="1:23">
      <c r="A54" s="50" t="s">
        <v>457</v>
      </c>
      <c r="B54" s="50" t="s">
        <v>399</v>
      </c>
      <c r="C54" s="49" t="s">
        <v>668</v>
      </c>
      <c r="D54" s="77" t="s">
        <v>339</v>
      </c>
      <c r="E54" s="50" t="s">
        <v>301</v>
      </c>
      <c r="F54" s="49" t="s">
        <v>302</v>
      </c>
      <c r="G54" s="52">
        <v>1.05</v>
      </c>
      <c r="H54" s="52">
        <v>2</v>
      </c>
      <c r="I54" s="51">
        <v>-99708632</v>
      </c>
      <c r="J54" s="51">
        <v>-530</v>
      </c>
      <c r="K54" s="56">
        <v>188129.49</v>
      </c>
      <c r="L54" s="76">
        <v>189500</v>
      </c>
      <c r="M54" s="75" t="s">
        <v>367</v>
      </c>
      <c r="N54" s="74" t="s">
        <v>460</v>
      </c>
      <c r="O54" s="73">
        <v>1.61</v>
      </c>
      <c r="P54" s="51">
        <v>-726368</v>
      </c>
      <c r="Q54" s="52">
        <v>-0.73</v>
      </c>
      <c r="R54" s="51">
        <v>-1590000</v>
      </c>
      <c r="S54" s="51">
        <v>400368</v>
      </c>
      <c r="T54" s="50" t="s">
        <v>269</v>
      </c>
      <c r="U54" s="49" t="s">
        <v>343</v>
      </c>
      <c r="V54" s="48" t="s">
        <v>342</v>
      </c>
      <c r="W54" s="48" t="s">
        <v>342</v>
      </c>
    </row>
    <row r="55" spans="1:23">
      <c r="A55" s="40" t="s">
        <v>456</v>
      </c>
      <c r="B55" s="40" t="s">
        <v>399</v>
      </c>
      <c r="C55" s="39" t="s">
        <v>668</v>
      </c>
      <c r="D55" s="72" t="s">
        <v>339</v>
      </c>
      <c r="E55" s="40" t="s">
        <v>129</v>
      </c>
      <c r="F55" s="39" t="s">
        <v>130</v>
      </c>
      <c r="G55" s="42">
        <v>1.7</v>
      </c>
      <c r="H55" s="42">
        <v>3.24</v>
      </c>
      <c r="I55" s="41">
        <v>-169832569</v>
      </c>
      <c r="J55" s="41">
        <v>-2488</v>
      </c>
      <c r="K55" s="46">
        <v>68260.679999999993</v>
      </c>
      <c r="L55" s="66">
        <v>65200</v>
      </c>
      <c r="M55" s="65" t="s">
        <v>367</v>
      </c>
      <c r="N55" s="64" t="s">
        <v>428</v>
      </c>
      <c r="O55" s="63">
        <v>0.77</v>
      </c>
      <c r="P55" s="41">
        <v>7614969</v>
      </c>
      <c r="Q55" s="42">
        <v>4.4800000000000004</v>
      </c>
      <c r="R55" s="41">
        <v>-1244000</v>
      </c>
      <c r="S55" s="41">
        <v>490954</v>
      </c>
      <c r="T55" s="40" t="s">
        <v>269</v>
      </c>
      <c r="U55" s="39" t="s">
        <v>343</v>
      </c>
      <c r="V55" s="38" t="s">
        <v>342</v>
      </c>
      <c r="W55" s="38" t="s">
        <v>342</v>
      </c>
    </row>
    <row r="56" spans="1:23">
      <c r="A56" s="50" t="s">
        <v>452</v>
      </c>
      <c r="B56" s="50" t="s">
        <v>399</v>
      </c>
      <c r="C56" s="49" t="s">
        <v>668</v>
      </c>
      <c r="D56" s="77" t="s">
        <v>339</v>
      </c>
      <c r="E56" s="50" t="s">
        <v>320</v>
      </c>
      <c r="F56" s="49" t="s">
        <v>321</v>
      </c>
      <c r="G56" s="52">
        <v>0.92</v>
      </c>
      <c r="H56" s="52">
        <v>1.75</v>
      </c>
      <c r="I56" s="51">
        <v>-86434828</v>
      </c>
      <c r="J56" s="51">
        <v>-737</v>
      </c>
      <c r="K56" s="56">
        <v>117279.28</v>
      </c>
      <c r="L56" s="62">
        <v>119000</v>
      </c>
      <c r="M56" s="61" t="s">
        <v>362</v>
      </c>
      <c r="N56" s="60" t="s">
        <v>458</v>
      </c>
      <c r="O56" s="59">
        <v>-2.06</v>
      </c>
      <c r="P56" s="51">
        <v>-1268172</v>
      </c>
      <c r="Q56" s="52">
        <v>-1.47</v>
      </c>
      <c r="R56" s="51">
        <v>1842500</v>
      </c>
      <c r="S56" s="51">
        <v>2630706</v>
      </c>
      <c r="T56" s="50" t="s">
        <v>269</v>
      </c>
      <c r="U56" s="49" t="s">
        <v>343</v>
      </c>
      <c r="V56" s="48" t="s">
        <v>342</v>
      </c>
      <c r="W56" s="48" t="s">
        <v>342</v>
      </c>
    </row>
    <row r="57" spans="1:23">
      <c r="A57" s="40" t="s">
        <v>373</v>
      </c>
      <c r="B57" s="40" t="s">
        <v>399</v>
      </c>
      <c r="C57" s="39" t="s">
        <v>668</v>
      </c>
      <c r="D57" s="72" t="s">
        <v>339</v>
      </c>
      <c r="E57" s="40" t="s">
        <v>330</v>
      </c>
      <c r="F57" s="39" t="s">
        <v>331</v>
      </c>
      <c r="G57" s="42">
        <v>1.4</v>
      </c>
      <c r="H57" s="42">
        <v>2.67</v>
      </c>
      <c r="I57" s="41">
        <v>-138084090</v>
      </c>
      <c r="J57" s="41">
        <v>-640</v>
      </c>
      <c r="K57" s="46">
        <v>215756.39</v>
      </c>
      <c r="L57" s="66">
        <v>209000</v>
      </c>
      <c r="M57" s="65" t="s">
        <v>367</v>
      </c>
      <c r="N57" s="64" t="s">
        <v>389</v>
      </c>
      <c r="O57" s="63">
        <v>1.7</v>
      </c>
      <c r="P57" s="41">
        <v>4324090</v>
      </c>
      <c r="Q57" s="42">
        <v>3.13</v>
      </c>
      <c r="R57" s="41">
        <v>-2240000</v>
      </c>
      <c r="S57" s="41">
        <v>1865682</v>
      </c>
      <c r="T57" s="40" t="s">
        <v>269</v>
      </c>
      <c r="U57" s="39" t="s">
        <v>343</v>
      </c>
      <c r="V57" s="38" t="s">
        <v>342</v>
      </c>
      <c r="W57" s="38" t="s">
        <v>342</v>
      </c>
    </row>
    <row r="58" spans="1:23">
      <c r="A58" s="50" t="s">
        <v>449</v>
      </c>
      <c r="B58" s="50" t="s">
        <v>399</v>
      </c>
      <c r="C58" s="49" t="s">
        <v>668</v>
      </c>
      <c r="D58" s="77" t="s">
        <v>339</v>
      </c>
      <c r="E58" s="50" t="s">
        <v>455</v>
      </c>
      <c r="F58" s="49" t="s">
        <v>454</v>
      </c>
      <c r="G58" s="52">
        <v>0.93</v>
      </c>
      <c r="H58" s="52">
        <v>1.78</v>
      </c>
      <c r="I58" s="51">
        <v>-104969424</v>
      </c>
      <c r="J58" s="51">
        <v>-1830</v>
      </c>
      <c r="K58" s="56">
        <v>57360.34</v>
      </c>
      <c r="L58" s="76">
        <v>48750</v>
      </c>
      <c r="M58" s="75" t="s">
        <v>367</v>
      </c>
      <c r="N58" s="74" t="s">
        <v>453</v>
      </c>
      <c r="O58" s="73">
        <v>0.1</v>
      </c>
      <c r="P58" s="51">
        <v>15756924</v>
      </c>
      <c r="Q58" s="52">
        <v>15.01</v>
      </c>
      <c r="R58" s="51">
        <v>-91500</v>
      </c>
      <c r="S58" s="51">
        <v>421476</v>
      </c>
      <c r="T58" s="50" t="s">
        <v>269</v>
      </c>
      <c r="U58" s="49" t="s">
        <v>343</v>
      </c>
      <c r="V58" s="48" t="s">
        <v>342</v>
      </c>
      <c r="W58" s="48" t="s">
        <v>342</v>
      </c>
    </row>
    <row r="59" spans="1:23">
      <c r="A59" s="40" t="s">
        <v>447</v>
      </c>
      <c r="B59" s="40" t="s">
        <v>399</v>
      </c>
      <c r="C59" s="39" t="s">
        <v>668</v>
      </c>
      <c r="D59" s="72" t="s">
        <v>339</v>
      </c>
      <c r="E59" s="40" t="s">
        <v>238</v>
      </c>
      <c r="F59" s="39" t="s">
        <v>239</v>
      </c>
      <c r="G59" s="42">
        <v>1.99</v>
      </c>
      <c r="H59" s="42">
        <v>3.79</v>
      </c>
      <c r="I59" s="41">
        <v>-196999492</v>
      </c>
      <c r="J59" s="41">
        <v>-1256</v>
      </c>
      <c r="K59" s="46">
        <v>156846.73000000001</v>
      </c>
      <c r="L59" s="70">
        <v>151000</v>
      </c>
      <c r="M59" s="69" t="s">
        <v>362</v>
      </c>
      <c r="N59" s="68" t="s">
        <v>451</v>
      </c>
      <c r="O59" s="67">
        <v>-2.58</v>
      </c>
      <c r="P59" s="41">
        <v>7343492</v>
      </c>
      <c r="Q59" s="42">
        <v>3.73</v>
      </c>
      <c r="R59" s="41">
        <v>3624000</v>
      </c>
      <c r="S59" s="41">
        <v>1188920</v>
      </c>
      <c r="T59" s="40" t="s">
        <v>269</v>
      </c>
      <c r="U59" s="39" t="s">
        <v>343</v>
      </c>
      <c r="V59" s="38" t="s">
        <v>342</v>
      </c>
      <c r="W59" s="38" t="s">
        <v>342</v>
      </c>
    </row>
    <row r="60" spans="1:23">
      <c r="A60" s="50" t="s">
        <v>446</v>
      </c>
      <c r="B60" s="50" t="s">
        <v>399</v>
      </c>
      <c r="C60" s="49" t="s">
        <v>668</v>
      </c>
      <c r="D60" s="77" t="s">
        <v>339</v>
      </c>
      <c r="E60" s="50" t="s">
        <v>300</v>
      </c>
      <c r="F60" s="49" t="s">
        <v>292</v>
      </c>
      <c r="G60" s="52">
        <v>1.97</v>
      </c>
      <c r="H60" s="52">
        <v>3.75</v>
      </c>
      <c r="I60" s="51">
        <v>-192115436</v>
      </c>
      <c r="J60" s="51">
        <v>-19550</v>
      </c>
      <c r="K60" s="56">
        <v>9826.8799999999992</v>
      </c>
      <c r="L60" s="62">
        <v>9600</v>
      </c>
      <c r="M60" s="61" t="s">
        <v>362</v>
      </c>
      <c r="N60" s="60" t="s">
        <v>450</v>
      </c>
      <c r="O60" s="59">
        <v>-3.52</v>
      </c>
      <c r="P60" s="51">
        <v>4435436</v>
      </c>
      <c r="Q60" s="52">
        <v>2.31</v>
      </c>
      <c r="R60" s="51">
        <v>6842500</v>
      </c>
      <c r="S60" s="51">
        <v>1092884</v>
      </c>
      <c r="T60" s="50" t="s">
        <v>269</v>
      </c>
      <c r="U60" s="49" t="s">
        <v>343</v>
      </c>
      <c r="V60" s="48" t="s">
        <v>342</v>
      </c>
      <c r="W60" s="48" t="s">
        <v>342</v>
      </c>
    </row>
    <row r="61" spans="1:23">
      <c r="A61" s="40" t="s">
        <v>442</v>
      </c>
      <c r="B61" s="40" t="s">
        <v>399</v>
      </c>
      <c r="C61" s="39" t="s">
        <v>668</v>
      </c>
      <c r="D61" s="72" t="s">
        <v>339</v>
      </c>
      <c r="E61" s="40" t="s">
        <v>326</v>
      </c>
      <c r="F61" s="39" t="s">
        <v>327</v>
      </c>
      <c r="G61" s="42">
        <v>1.52</v>
      </c>
      <c r="H61" s="42">
        <v>2.89</v>
      </c>
      <c r="I61" s="41">
        <v>-144961392</v>
      </c>
      <c r="J61" s="41">
        <v>-1700</v>
      </c>
      <c r="K61" s="46">
        <v>85271.41</v>
      </c>
      <c r="L61" s="70">
        <v>85000</v>
      </c>
      <c r="M61" s="69" t="s">
        <v>362</v>
      </c>
      <c r="N61" s="68" t="s">
        <v>448</v>
      </c>
      <c r="O61" s="67">
        <v>-1.28</v>
      </c>
      <c r="P61" s="41">
        <v>461392</v>
      </c>
      <c r="Q61" s="42">
        <v>0.32</v>
      </c>
      <c r="R61" s="41">
        <v>1870000</v>
      </c>
      <c r="S61" s="41">
        <v>1776818</v>
      </c>
      <c r="T61" s="40" t="s">
        <v>269</v>
      </c>
      <c r="U61" s="39" t="s">
        <v>343</v>
      </c>
      <c r="V61" s="38" t="s">
        <v>342</v>
      </c>
      <c r="W61" s="38" t="s">
        <v>342</v>
      </c>
    </row>
    <row r="62" spans="1:23">
      <c r="A62" s="50" t="s">
        <v>440</v>
      </c>
      <c r="B62" s="50" t="s">
        <v>399</v>
      </c>
      <c r="C62" s="49" t="s">
        <v>668</v>
      </c>
      <c r="D62" s="77" t="s">
        <v>339</v>
      </c>
      <c r="E62" s="50" t="s">
        <v>332</v>
      </c>
      <c r="F62" s="49" t="s">
        <v>333</v>
      </c>
      <c r="G62" s="52">
        <v>1.42</v>
      </c>
      <c r="H62" s="52">
        <v>2.71</v>
      </c>
      <c r="I62" s="51">
        <v>-137838464</v>
      </c>
      <c r="J62" s="51">
        <v>-480</v>
      </c>
      <c r="K62" s="56">
        <v>287163.46999999997</v>
      </c>
      <c r="L62" s="76">
        <v>282500</v>
      </c>
      <c r="M62" s="75" t="s">
        <v>367</v>
      </c>
      <c r="N62" s="74" t="s">
        <v>382</v>
      </c>
      <c r="O62" s="73">
        <v>0.53</v>
      </c>
      <c r="P62" s="51">
        <v>2238464</v>
      </c>
      <c r="Q62" s="52">
        <v>1.62</v>
      </c>
      <c r="R62" s="51">
        <v>-720000</v>
      </c>
      <c r="S62" s="51">
        <v>1620044</v>
      </c>
      <c r="T62" s="50" t="s">
        <v>269</v>
      </c>
      <c r="U62" s="49" t="s">
        <v>343</v>
      </c>
      <c r="V62" s="48" t="s">
        <v>342</v>
      </c>
      <c r="W62" s="48" t="s">
        <v>342</v>
      </c>
    </row>
    <row r="63" spans="1:23">
      <c r="A63" s="40" t="s">
        <v>439</v>
      </c>
      <c r="B63" s="40" t="s">
        <v>399</v>
      </c>
      <c r="C63" s="39" t="s">
        <v>668</v>
      </c>
      <c r="D63" s="72" t="s">
        <v>339</v>
      </c>
      <c r="E63" s="40" t="s">
        <v>445</v>
      </c>
      <c r="F63" s="39" t="s">
        <v>444</v>
      </c>
      <c r="G63" s="42">
        <v>0.92</v>
      </c>
      <c r="H63" s="42">
        <v>1.75</v>
      </c>
      <c r="I63" s="41">
        <v>-97493794</v>
      </c>
      <c r="J63" s="41">
        <v>-3100</v>
      </c>
      <c r="K63" s="46">
        <v>31449.61</v>
      </c>
      <c r="L63" s="70">
        <v>28250</v>
      </c>
      <c r="M63" s="69" t="s">
        <v>362</v>
      </c>
      <c r="N63" s="68" t="s">
        <v>443</v>
      </c>
      <c r="O63" s="67">
        <v>-0.88</v>
      </c>
      <c r="P63" s="41">
        <v>9918794</v>
      </c>
      <c r="Q63" s="42">
        <v>10.17</v>
      </c>
      <c r="R63" s="41">
        <v>775000</v>
      </c>
      <c r="S63" s="41">
        <v>391306</v>
      </c>
      <c r="T63" s="40" t="s">
        <v>269</v>
      </c>
      <c r="U63" s="39" t="s">
        <v>343</v>
      </c>
      <c r="V63" s="38" t="s">
        <v>342</v>
      </c>
      <c r="W63" s="38" t="s">
        <v>342</v>
      </c>
    </row>
    <row r="64" spans="1:23">
      <c r="A64" s="50" t="s">
        <v>438</v>
      </c>
      <c r="B64" s="50" t="s">
        <v>399</v>
      </c>
      <c r="C64" s="49" t="s">
        <v>668</v>
      </c>
      <c r="D64" s="77" t="s">
        <v>339</v>
      </c>
      <c r="E64" s="50" t="s">
        <v>143</v>
      </c>
      <c r="F64" s="49" t="s">
        <v>144</v>
      </c>
      <c r="G64" s="52">
        <v>0.48</v>
      </c>
      <c r="H64" s="52">
        <v>0.92</v>
      </c>
      <c r="I64" s="51">
        <v>-48254259</v>
      </c>
      <c r="J64" s="51">
        <v>-5092</v>
      </c>
      <c r="K64" s="56">
        <v>9476.48</v>
      </c>
      <c r="L64" s="62">
        <v>9110</v>
      </c>
      <c r="M64" s="61" t="s">
        <v>362</v>
      </c>
      <c r="N64" s="60" t="s">
        <v>441</v>
      </c>
      <c r="O64" s="59">
        <v>-2.88</v>
      </c>
      <c r="P64" s="51">
        <v>1866139</v>
      </c>
      <c r="Q64" s="52">
        <v>3.87</v>
      </c>
      <c r="R64" s="51">
        <v>1374840</v>
      </c>
      <c r="S64" s="51">
        <v>865165</v>
      </c>
      <c r="T64" s="50" t="s">
        <v>269</v>
      </c>
      <c r="U64" s="49" t="s">
        <v>343</v>
      </c>
      <c r="V64" s="48" t="s">
        <v>342</v>
      </c>
      <c r="W64" s="48" t="s">
        <v>342</v>
      </c>
    </row>
    <row r="65" spans="1:23">
      <c r="A65" s="40" t="s">
        <v>436</v>
      </c>
      <c r="B65" s="40" t="s">
        <v>399</v>
      </c>
      <c r="C65" s="39" t="s">
        <v>668</v>
      </c>
      <c r="D65" s="72" t="s">
        <v>339</v>
      </c>
      <c r="E65" s="40" t="s">
        <v>204</v>
      </c>
      <c r="F65" s="39" t="s">
        <v>205</v>
      </c>
      <c r="G65" s="42">
        <v>1</v>
      </c>
      <c r="H65" s="42">
        <v>1.91</v>
      </c>
      <c r="I65" s="41">
        <v>-94447788</v>
      </c>
      <c r="J65" s="41">
        <v>-430</v>
      </c>
      <c r="K65" s="46">
        <v>219646.02</v>
      </c>
      <c r="L65" s="66">
        <v>222500</v>
      </c>
      <c r="M65" s="65" t="s">
        <v>367</v>
      </c>
      <c r="N65" s="64" t="s">
        <v>398</v>
      </c>
      <c r="O65" s="63">
        <v>0.91</v>
      </c>
      <c r="P65" s="41">
        <v>-1227212</v>
      </c>
      <c r="Q65" s="42">
        <v>-1.3</v>
      </c>
      <c r="R65" s="41">
        <v>-860000</v>
      </c>
      <c r="S65" s="41">
        <v>379212</v>
      </c>
      <c r="T65" s="40" t="s">
        <v>269</v>
      </c>
      <c r="U65" s="39" t="s">
        <v>343</v>
      </c>
      <c r="V65" s="38" t="s">
        <v>342</v>
      </c>
      <c r="W65" s="38" t="s">
        <v>342</v>
      </c>
    </row>
    <row r="66" spans="1:23">
      <c r="A66" s="50" t="s">
        <v>435</v>
      </c>
      <c r="B66" s="50" t="s">
        <v>399</v>
      </c>
      <c r="C66" s="49" t="s">
        <v>668</v>
      </c>
      <c r="D66" s="77" t="s">
        <v>339</v>
      </c>
      <c r="E66" s="50" t="s">
        <v>145</v>
      </c>
      <c r="F66" s="49" t="s">
        <v>146</v>
      </c>
      <c r="G66" s="52">
        <v>1.08</v>
      </c>
      <c r="H66" s="52">
        <v>2.06</v>
      </c>
      <c r="I66" s="51">
        <v>-102646992</v>
      </c>
      <c r="J66" s="51">
        <v>-9091</v>
      </c>
      <c r="K66" s="56">
        <v>11291.06</v>
      </c>
      <c r="L66" s="76">
        <v>11350</v>
      </c>
      <c r="M66" s="75" t="s">
        <v>367</v>
      </c>
      <c r="N66" s="74" t="s">
        <v>401</v>
      </c>
      <c r="O66" s="73">
        <v>1.34</v>
      </c>
      <c r="P66" s="51">
        <v>-535858</v>
      </c>
      <c r="Q66" s="52">
        <v>-0.52</v>
      </c>
      <c r="R66" s="51">
        <v>-1363650</v>
      </c>
      <c r="S66" s="51">
        <v>986100</v>
      </c>
      <c r="T66" s="50" t="s">
        <v>269</v>
      </c>
      <c r="U66" s="49" t="s">
        <v>343</v>
      </c>
      <c r="V66" s="48" t="s">
        <v>342</v>
      </c>
      <c r="W66" s="48" t="s">
        <v>342</v>
      </c>
    </row>
    <row r="67" spans="1:23">
      <c r="A67" s="40" t="s">
        <v>434</v>
      </c>
      <c r="B67" s="40" t="s">
        <v>399</v>
      </c>
      <c r="C67" s="39" t="s">
        <v>668</v>
      </c>
      <c r="D67" s="72" t="s">
        <v>339</v>
      </c>
      <c r="E67" s="40" t="s">
        <v>274</v>
      </c>
      <c r="F67" s="39" t="s">
        <v>275</v>
      </c>
      <c r="G67" s="42">
        <v>2.1</v>
      </c>
      <c r="H67" s="42">
        <v>4</v>
      </c>
      <c r="I67" s="41">
        <v>-196038288</v>
      </c>
      <c r="J67" s="41">
        <v>-960</v>
      </c>
      <c r="K67" s="46">
        <v>204206.55</v>
      </c>
      <c r="L67" s="66">
        <v>208500</v>
      </c>
      <c r="M67" s="65" t="s">
        <v>367</v>
      </c>
      <c r="N67" s="64" t="s">
        <v>437</v>
      </c>
      <c r="O67" s="63">
        <v>2.46</v>
      </c>
      <c r="P67" s="41">
        <v>-4121712</v>
      </c>
      <c r="Q67" s="42">
        <v>-2.1</v>
      </c>
      <c r="R67" s="41">
        <v>-4800000</v>
      </c>
      <c r="S67" s="41">
        <v>787212</v>
      </c>
      <c r="T67" s="40" t="s">
        <v>269</v>
      </c>
      <c r="U67" s="39" t="s">
        <v>343</v>
      </c>
      <c r="V67" s="38" t="s">
        <v>342</v>
      </c>
      <c r="W67" s="38" t="s">
        <v>342</v>
      </c>
    </row>
    <row r="68" spans="1:23">
      <c r="A68" s="50" t="s">
        <v>433</v>
      </c>
      <c r="B68" s="50" t="s">
        <v>399</v>
      </c>
      <c r="C68" s="49" t="s">
        <v>668</v>
      </c>
      <c r="D68" s="77" t="s">
        <v>339</v>
      </c>
      <c r="E68" s="50" t="s">
        <v>147</v>
      </c>
      <c r="F68" s="49" t="s">
        <v>148</v>
      </c>
      <c r="G68" s="52">
        <v>1.58</v>
      </c>
      <c r="H68" s="52">
        <v>3.02</v>
      </c>
      <c r="I68" s="51">
        <v>-143641786</v>
      </c>
      <c r="J68" s="51">
        <v>-721</v>
      </c>
      <c r="K68" s="56">
        <v>199225.78</v>
      </c>
      <c r="L68" s="51">
        <v>209500</v>
      </c>
      <c r="M68" s="55" t="s">
        <v>269</v>
      </c>
      <c r="N68" s="54" t="s">
        <v>342</v>
      </c>
      <c r="O68" s="53">
        <v>0</v>
      </c>
      <c r="P68" s="51">
        <v>-7407714</v>
      </c>
      <c r="Q68" s="52">
        <v>-5.16</v>
      </c>
      <c r="R68" s="51">
        <v>0</v>
      </c>
      <c r="S68" s="51">
        <v>1391544</v>
      </c>
      <c r="T68" s="50" t="s">
        <v>269</v>
      </c>
      <c r="U68" s="49" t="s">
        <v>343</v>
      </c>
      <c r="V68" s="48" t="s">
        <v>342</v>
      </c>
      <c r="W68" s="48" t="s">
        <v>342</v>
      </c>
    </row>
    <row r="69" spans="1:23">
      <c r="A69" s="40" t="s">
        <v>430</v>
      </c>
      <c r="B69" s="40" t="s">
        <v>399</v>
      </c>
      <c r="C69" s="39" t="s">
        <v>668</v>
      </c>
      <c r="D69" s="72" t="s">
        <v>339</v>
      </c>
      <c r="E69" s="40" t="s">
        <v>153</v>
      </c>
      <c r="F69" s="39" t="s">
        <v>154</v>
      </c>
      <c r="G69" s="42">
        <v>1.83</v>
      </c>
      <c r="H69" s="42">
        <v>3.48</v>
      </c>
      <c r="I69" s="41">
        <v>-197566800</v>
      </c>
      <c r="J69" s="41">
        <v>-2150</v>
      </c>
      <c r="K69" s="46">
        <v>91891.53</v>
      </c>
      <c r="L69" s="41">
        <v>81000</v>
      </c>
      <c r="M69" s="45" t="s">
        <v>269</v>
      </c>
      <c r="N69" s="44" t="s">
        <v>342</v>
      </c>
      <c r="O69" s="43">
        <v>0</v>
      </c>
      <c r="P69" s="41">
        <v>23416800</v>
      </c>
      <c r="Q69" s="42">
        <v>11.85</v>
      </c>
      <c r="R69" s="41">
        <v>0</v>
      </c>
      <c r="S69" s="41">
        <v>793300</v>
      </c>
      <c r="T69" s="40" t="s">
        <v>269</v>
      </c>
      <c r="U69" s="39" t="s">
        <v>343</v>
      </c>
      <c r="V69" s="38" t="s">
        <v>342</v>
      </c>
      <c r="W69" s="38" t="s">
        <v>342</v>
      </c>
    </row>
    <row r="70" spans="1:23">
      <c r="A70" s="50" t="s">
        <v>429</v>
      </c>
      <c r="B70" s="50" t="s">
        <v>399</v>
      </c>
      <c r="C70" s="49" t="s">
        <v>668</v>
      </c>
      <c r="D70" s="77" t="s">
        <v>339</v>
      </c>
      <c r="E70" s="50" t="s">
        <v>310</v>
      </c>
      <c r="F70" s="49" t="s">
        <v>311</v>
      </c>
      <c r="G70" s="52">
        <v>0.9</v>
      </c>
      <c r="H70" s="52">
        <v>1.72</v>
      </c>
      <c r="I70" s="51">
        <v>-94573954</v>
      </c>
      <c r="J70" s="51">
        <v>-5700</v>
      </c>
      <c r="K70" s="56">
        <v>16591.919999999998</v>
      </c>
      <c r="L70" s="62">
        <v>15100</v>
      </c>
      <c r="M70" s="61" t="s">
        <v>362</v>
      </c>
      <c r="N70" s="60" t="s">
        <v>371</v>
      </c>
      <c r="O70" s="59">
        <v>-1.95</v>
      </c>
      <c r="P70" s="51">
        <v>8503954</v>
      </c>
      <c r="Q70" s="52">
        <v>8.99</v>
      </c>
      <c r="R70" s="51">
        <v>1710000</v>
      </c>
      <c r="S70" s="51">
        <v>872199</v>
      </c>
      <c r="T70" s="50" t="s">
        <v>269</v>
      </c>
      <c r="U70" s="49" t="s">
        <v>343</v>
      </c>
      <c r="V70" s="48" t="s">
        <v>342</v>
      </c>
      <c r="W70" s="48" t="s">
        <v>342</v>
      </c>
    </row>
    <row r="71" spans="1:23">
      <c r="A71" s="40" t="s">
        <v>427</v>
      </c>
      <c r="B71" s="40" t="s">
        <v>399</v>
      </c>
      <c r="C71" s="39" t="s">
        <v>668</v>
      </c>
      <c r="D71" s="72" t="s">
        <v>339</v>
      </c>
      <c r="E71" s="40" t="s">
        <v>432</v>
      </c>
      <c r="F71" s="39" t="s">
        <v>431</v>
      </c>
      <c r="G71" s="42">
        <v>1.68</v>
      </c>
      <c r="H71" s="42">
        <v>3.21</v>
      </c>
      <c r="I71" s="41">
        <v>-163371530</v>
      </c>
      <c r="J71" s="41">
        <v>-6733</v>
      </c>
      <c r="K71" s="58">
        <v>24264.3</v>
      </c>
      <c r="L71" s="70">
        <v>23850</v>
      </c>
      <c r="M71" s="69" t="s">
        <v>362</v>
      </c>
      <c r="N71" s="68" t="s">
        <v>401</v>
      </c>
      <c r="O71" s="67">
        <v>-0.62</v>
      </c>
      <c r="P71" s="41">
        <v>2789480</v>
      </c>
      <c r="Q71" s="42">
        <v>1.71</v>
      </c>
      <c r="R71" s="41">
        <v>1009950</v>
      </c>
      <c r="S71" s="41">
        <v>1240578</v>
      </c>
      <c r="T71" s="40" t="s">
        <v>269</v>
      </c>
      <c r="U71" s="39" t="s">
        <v>343</v>
      </c>
      <c r="V71" s="38" t="s">
        <v>342</v>
      </c>
      <c r="W71" s="38" t="s">
        <v>342</v>
      </c>
    </row>
    <row r="72" spans="1:23">
      <c r="A72" s="50" t="s">
        <v>375</v>
      </c>
      <c r="B72" s="50" t="s">
        <v>399</v>
      </c>
      <c r="C72" s="49" t="s">
        <v>668</v>
      </c>
      <c r="D72" s="77" t="s">
        <v>339</v>
      </c>
      <c r="E72" s="50" t="s">
        <v>261</v>
      </c>
      <c r="F72" s="49" t="s">
        <v>262</v>
      </c>
      <c r="G72" s="52">
        <v>0.53</v>
      </c>
      <c r="H72" s="52">
        <v>1.01</v>
      </c>
      <c r="I72" s="51">
        <v>-54703135</v>
      </c>
      <c r="J72" s="51">
        <v>-767</v>
      </c>
      <c r="K72" s="56">
        <v>71320.91</v>
      </c>
      <c r="L72" s="76">
        <v>66200</v>
      </c>
      <c r="M72" s="75" t="s">
        <v>367</v>
      </c>
      <c r="N72" s="74" t="s">
        <v>384</v>
      </c>
      <c r="O72" s="73">
        <v>1.53</v>
      </c>
      <c r="P72" s="51">
        <v>3927735</v>
      </c>
      <c r="Q72" s="52">
        <v>7.18</v>
      </c>
      <c r="R72" s="51">
        <v>-767000</v>
      </c>
      <c r="S72" s="51">
        <v>838078</v>
      </c>
      <c r="T72" s="50" t="s">
        <v>269</v>
      </c>
      <c r="U72" s="49" t="s">
        <v>343</v>
      </c>
      <c r="V72" s="48" t="s">
        <v>342</v>
      </c>
      <c r="W72" s="48" t="s">
        <v>342</v>
      </c>
    </row>
    <row r="73" spans="1:23">
      <c r="A73" s="40" t="s">
        <v>422</v>
      </c>
      <c r="B73" s="40" t="s">
        <v>399</v>
      </c>
      <c r="C73" s="39" t="s">
        <v>668</v>
      </c>
      <c r="D73" s="72" t="s">
        <v>339</v>
      </c>
      <c r="E73" s="40" t="s">
        <v>163</v>
      </c>
      <c r="F73" s="39" t="s">
        <v>164</v>
      </c>
      <c r="G73" s="42">
        <v>0.5</v>
      </c>
      <c r="H73" s="42">
        <v>0.96</v>
      </c>
      <c r="I73" s="41">
        <v>-46854852</v>
      </c>
      <c r="J73" s="41">
        <v>-180</v>
      </c>
      <c r="K73" s="46">
        <v>260304.73</v>
      </c>
      <c r="L73" s="66">
        <v>268500</v>
      </c>
      <c r="M73" s="65" t="s">
        <v>367</v>
      </c>
      <c r="N73" s="64" t="s">
        <v>428</v>
      </c>
      <c r="O73" s="63">
        <v>0.19</v>
      </c>
      <c r="P73" s="41">
        <v>-1475148</v>
      </c>
      <c r="Q73" s="42">
        <v>-3.15</v>
      </c>
      <c r="R73" s="41">
        <v>-90000</v>
      </c>
      <c r="S73" s="41">
        <v>1702218</v>
      </c>
      <c r="T73" s="40" t="s">
        <v>269</v>
      </c>
      <c r="U73" s="39" t="s">
        <v>343</v>
      </c>
      <c r="V73" s="38" t="s">
        <v>342</v>
      </c>
      <c r="W73" s="38" t="s">
        <v>342</v>
      </c>
    </row>
    <row r="74" spans="1:23">
      <c r="A74" s="50" t="s">
        <v>421</v>
      </c>
      <c r="B74" s="50" t="s">
        <v>399</v>
      </c>
      <c r="C74" s="49" t="s">
        <v>668</v>
      </c>
      <c r="D74" s="77" t="s">
        <v>339</v>
      </c>
      <c r="E74" s="50" t="s">
        <v>165</v>
      </c>
      <c r="F74" s="49" t="s">
        <v>166</v>
      </c>
      <c r="G74" s="52">
        <v>0.7</v>
      </c>
      <c r="H74" s="52">
        <v>1.34</v>
      </c>
      <c r="I74" s="51">
        <v>-56028726</v>
      </c>
      <c r="J74" s="51">
        <v>-1970</v>
      </c>
      <c r="K74" s="56">
        <v>28440.98</v>
      </c>
      <c r="L74" s="62">
        <v>34100</v>
      </c>
      <c r="M74" s="61" t="s">
        <v>362</v>
      </c>
      <c r="N74" s="60" t="s">
        <v>426</v>
      </c>
      <c r="O74" s="59">
        <v>-3.94</v>
      </c>
      <c r="P74" s="51">
        <v>-11148274</v>
      </c>
      <c r="Q74" s="52">
        <v>-19.899999999999999</v>
      </c>
      <c r="R74" s="51">
        <v>2758000</v>
      </c>
      <c r="S74" s="51">
        <v>758818</v>
      </c>
      <c r="T74" s="50" t="s">
        <v>269</v>
      </c>
      <c r="U74" s="49" t="s">
        <v>343</v>
      </c>
      <c r="V74" s="48" t="s">
        <v>342</v>
      </c>
      <c r="W74" s="48" t="s">
        <v>342</v>
      </c>
    </row>
    <row r="75" spans="1:23">
      <c r="A75" s="40" t="s">
        <v>420</v>
      </c>
      <c r="B75" s="40" t="s">
        <v>399</v>
      </c>
      <c r="C75" s="39" t="s">
        <v>668</v>
      </c>
      <c r="D75" s="72" t="s">
        <v>339</v>
      </c>
      <c r="E75" s="40" t="s">
        <v>425</v>
      </c>
      <c r="F75" s="39" t="s">
        <v>424</v>
      </c>
      <c r="G75" s="42">
        <v>1.61</v>
      </c>
      <c r="H75" s="42">
        <v>3.06</v>
      </c>
      <c r="I75" s="41">
        <v>-157717918</v>
      </c>
      <c r="J75" s="41">
        <v>-1420</v>
      </c>
      <c r="K75" s="46">
        <v>111068.96</v>
      </c>
      <c r="L75" s="70">
        <v>108000</v>
      </c>
      <c r="M75" s="69" t="s">
        <v>362</v>
      </c>
      <c r="N75" s="68" t="s">
        <v>423</v>
      </c>
      <c r="O75" s="67">
        <v>-0.55000000000000004</v>
      </c>
      <c r="P75" s="41">
        <v>4357918</v>
      </c>
      <c r="Q75" s="42">
        <v>2.76</v>
      </c>
      <c r="R75" s="41">
        <v>852000</v>
      </c>
      <c r="S75" s="41">
        <v>886494</v>
      </c>
      <c r="T75" s="40" t="s">
        <v>269</v>
      </c>
      <c r="U75" s="39" t="s">
        <v>343</v>
      </c>
      <c r="V75" s="38" t="s">
        <v>342</v>
      </c>
      <c r="W75" s="38" t="s">
        <v>342</v>
      </c>
    </row>
    <row r="76" spans="1:23">
      <c r="A76" s="50" t="s">
        <v>418</v>
      </c>
      <c r="B76" s="50" t="s">
        <v>399</v>
      </c>
      <c r="C76" s="49" t="s">
        <v>668</v>
      </c>
      <c r="D76" s="77" t="s">
        <v>339</v>
      </c>
      <c r="E76" s="50" t="s">
        <v>316</v>
      </c>
      <c r="F76" s="49" t="s">
        <v>317</v>
      </c>
      <c r="G76" s="52">
        <v>0.44</v>
      </c>
      <c r="H76" s="52">
        <v>0.85</v>
      </c>
      <c r="I76" s="51">
        <v>-48373324</v>
      </c>
      <c r="J76" s="51">
        <v>-1670</v>
      </c>
      <c r="K76" s="56">
        <v>28966.06</v>
      </c>
      <c r="L76" s="76">
        <v>25500</v>
      </c>
      <c r="M76" s="75" t="s">
        <v>367</v>
      </c>
      <c r="N76" s="74" t="s">
        <v>391</v>
      </c>
      <c r="O76" s="73">
        <v>3.24</v>
      </c>
      <c r="P76" s="51">
        <v>5788324</v>
      </c>
      <c r="Q76" s="52">
        <v>11.97</v>
      </c>
      <c r="R76" s="51">
        <v>-1336000</v>
      </c>
      <c r="S76" s="51">
        <v>194176</v>
      </c>
      <c r="T76" s="50" t="s">
        <v>269</v>
      </c>
      <c r="U76" s="49" t="s">
        <v>343</v>
      </c>
      <c r="V76" s="48" t="s">
        <v>342</v>
      </c>
      <c r="W76" s="48" t="s">
        <v>342</v>
      </c>
    </row>
    <row r="77" spans="1:23">
      <c r="A77" s="40" t="s">
        <v>417</v>
      </c>
      <c r="B77" s="40" t="s">
        <v>399</v>
      </c>
      <c r="C77" s="39" t="s">
        <v>668</v>
      </c>
      <c r="D77" s="72" t="s">
        <v>339</v>
      </c>
      <c r="E77" s="40" t="s">
        <v>240</v>
      </c>
      <c r="F77" s="39" t="s">
        <v>241</v>
      </c>
      <c r="G77" s="42">
        <v>1.46</v>
      </c>
      <c r="H77" s="42">
        <v>2.78</v>
      </c>
      <c r="I77" s="41">
        <v>-145643121</v>
      </c>
      <c r="J77" s="41">
        <v>-1662</v>
      </c>
      <c r="K77" s="46">
        <v>87631.24</v>
      </c>
      <c r="L77" s="66">
        <v>83800</v>
      </c>
      <c r="M77" s="65" t="s">
        <v>367</v>
      </c>
      <c r="N77" s="64" t="s">
        <v>371</v>
      </c>
      <c r="O77" s="63">
        <v>0.36</v>
      </c>
      <c r="P77" s="41">
        <v>6367521</v>
      </c>
      <c r="Q77" s="42">
        <v>4.37</v>
      </c>
      <c r="R77" s="41">
        <v>-498600</v>
      </c>
      <c r="S77" s="41">
        <v>777356</v>
      </c>
      <c r="T77" s="40" t="s">
        <v>269</v>
      </c>
      <c r="U77" s="39" t="s">
        <v>343</v>
      </c>
      <c r="V77" s="38" t="s">
        <v>342</v>
      </c>
      <c r="W77" s="38" t="s">
        <v>342</v>
      </c>
    </row>
    <row r="78" spans="1:23">
      <c r="A78" s="50" t="s">
        <v>413</v>
      </c>
      <c r="B78" s="50" t="s">
        <v>399</v>
      </c>
      <c r="C78" s="49" t="s">
        <v>668</v>
      </c>
      <c r="D78" s="77" t="s">
        <v>339</v>
      </c>
      <c r="E78" s="50" t="s">
        <v>218</v>
      </c>
      <c r="F78" s="49" t="s">
        <v>219</v>
      </c>
      <c r="G78" s="52">
        <v>1.6</v>
      </c>
      <c r="H78" s="52">
        <v>3.04</v>
      </c>
      <c r="I78" s="51">
        <v>-165566572</v>
      </c>
      <c r="J78" s="51">
        <v>-6299</v>
      </c>
      <c r="K78" s="56">
        <v>26284.58</v>
      </c>
      <c r="L78" s="76">
        <v>24200</v>
      </c>
      <c r="M78" s="75" t="s">
        <v>367</v>
      </c>
      <c r="N78" s="74" t="s">
        <v>419</v>
      </c>
      <c r="O78" s="73">
        <v>3.2</v>
      </c>
      <c r="P78" s="51">
        <v>13130772</v>
      </c>
      <c r="Q78" s="52">
        <v>7.93</v>
      </c>
      <c r="R78" s="51">
        <v>-4724250</v>
      </c>
      <c r="S78" s="51">
        <v>1015308</v>
      </c>
      <c r="T78" s="50" t="s">
        <v>269</v>
      </c>
      <c r="U78" s="49" t="s">
        <v>343</v>
      </c>
      <c r="V78" s="48" t="s">
        <v>342</v>
      </c>
      <c r="W78" s="48" t="s">
        <v>342</v>
      </c>
    </row>
    <row r="79" spans="1:23">
      <c r="A79" s="40" t="s">
        <v>412</v>
      </c>
      <c r="B79" s="40" t="s">
        <v>399</v>
      </c>
      <c r="C79" s="39" t="s">
        <v>668</v>
      </c>
      <c r="D79" s="72" t="s">
        <v>339</v>
      </c>
      <c r="E79" s="40" t="s">
        <v>263</v>
      </c>
      <c r="F79" s="39" t="s">
        <v>264</v>
      </c>
      <c r="G79" s="42">
        <v>1.57</v>
      </c>
      <c r="H79" s="42">
        <v>3</v>
      </c>
      <c r="I79" s="41">
        <v>-148796084</v>
      </c>
      <c r="J79" s="41">
        <v>-1200</v>
      </c>
      <c r="K79" s="46">
        <v>123996.74</v>
      </c>
      <c r="L79" s="70">
        <v>125000</v>
      </c>
      <c r="M79" s="69" t="s">
        <v>362</v>
      </c>
      <c r="N79" s="68" t="s">
        <v>398</v>
      </c>
      <c r="O79" s="67">
        <v>-1.57</v>
      </c>
      <c r="P79" s="41">
        <v>-1203916</v>
      </c>
      <c r="Q79" s="42">
        <v>-0.81</v>
      </c>
      <c r="R79" s="41">
        <v>2400000</v>
      </c>
      <c r="S79" s="41">
        <v>597516</v>
      </c>
      <c r="T79" s="40" t="s">
        <v>269</v>
      </c>
      <c r="U79" s="39" t="s">
        <v>343</v>
      </c>
      <c r="V79" s="38" t="s">
        <v>342</v>
      </c>
      <c r="W79" s="38" t="s">
        <v>342</v>
      </c>
    </row>
    <row r="80" spans="1:23">
      <c r="A80" s="50" t="s">
        <v>409</v>
      </c>
      <c r="B80" s="50" t="s">
        <v>399</v>
      </c>
      <c r="C80" s="49" t="s">
        <v>668</v>
      </c>
      <c r="D80" s="77" t="s">
        <v>339</v>
      </c>
      <c r="E80" s="50" t="s">
        <v>416</v>
      </c>
      <c r="F80" s="49" t="s">
        <v>415</v>
      </c>
      <c r="G80" s="52">
        <v>0.53</v>
      </c>
      <c r="H80" s="52">
        <v>1.01</v>
      </c>
      <c r="I80" s="51">
        <v>-47899947</v>
      </c>
      <c r="J80" s="51">
        <v>-2720</v>
      </c>
      <c r="K80" s="56">
        <v>17610.27</v>
      </c>
      <c r="L80" s="62">
        <v>18700</v>
      </c>
      <c r="M80" s="61" t="s">
        <v>362</v>
      </c>
      <c r="N80" s="60" t="s">
        <v>414</v>
      </c>
      <c r="O80" s="59">
        <v>-1.06</v>
      </c>
      <c r="P80" s="51">
        <v>-2964053</v>
      </c>
      <c r="Q80" s="52">
        <v>-6.19</v>
      </c>
      <c r="R80" s="51">
        <v>544000</v>
      </c>
      <c r="S80" s="51">
        <v>192303</v>
      </c>
      <c r="T80" s="50" t="s">
        <v>269</v>
      </c>
      <c r="U80" s="49" t="s">
        <v>343</v>
      </c>
      <c r="V80" s="48" t="s">
        <v>342</v>
      </c>
      <c r="W80" s="48" t="s">
        <v>342</v>
      </c>
    </row>
    <row r="81" spans="1:23">
      <c r="A81" s="40" t="s">
        <v>408</v>
      </c>
      <c r="B81" s="40" t="s">
        <v>399</v>
      </c>
      <c r="C81" s="39" t="s">
        <v>668</v>
      </c>
      <c r="D81" s="72" t="s">
        <v>339</v>
      </c>
      <c r="E81" s="40" t="s">
        <v>280</v>
      </c>
      <c r="F81" s="39" t="s">
        <v>281</v>
      </c>
      <c r="G81" s="42">
        <v>2.04</v>
      </c>
      <c r="H81" s="42">
        <v>3.88</v>
      </c>
      <c r="I81" s="41">
        <v>-204919192</v>
      </c>
      <c r="J81" s="41">
        <v>-1230</v>
      </c>
      <c r="K81" s="46">
        <v>166600.97</v>
      </c>
      <c r="L81" s="66">
        <v>158000</v>
      </c>
      <c r="M81" s="65" t="s">
        <v>367</v>
      </c>
      <c r="N81" s="64" t="s">
        <v>398</v>
      </c>
      <c r="O81" s="63">
        <v>1.28</v>
      </c>
      <c r="P81" s="41">
        <v>10579192</v>
      </c>
      <c r="Q81" s="42">
        <v>5.16</v>
      </c>
      <c r="R81" s="41">
        <v>-2460000</v>
      </c>
      <c r="S81" s="41">
        <v>822808</v>
      </c>
      <c r="T81" s="40" t="s">
        <v>269</v>
      </c>
      <c r="U81" s="39" t="s">
        <v>343</v>
      </c>
      <c r="V81" s="38" t="s">
        <v>342</v>
      </c>
      <c r="W81" s="38" t="s">
        <v>342</v>
      </c>
    </row>
    <row r="82" spans="1:23">
      <c r="A82" s="50" t="s">
        <v>407</v>
      </c>
      <c r="B82" s="50" t="s">
        <v>399</v>
      </c>
      <c r="C82" s="49" t="s">
        <v>668</v>
      </c>
      <c r="D82" s="77" t="s">
        <v>339</v>
      </c>
      <c r="E82" s="50" t="s">
        <v>411</v>
      </c>
      <c r="F82" s="49" t="s">
        <v>410</v>
      </c>
      <c r="G82" s="52">
        <v>0.97</v>
      </c>
      <c r="H82" s="52">
        <v>1.84</v>
      </c>
      <c r="I82" s="51">
        <v>-96059862</v>
      </c>
      <c r="J82" s="51">
        <v>-1500</v>
      </c>
      <c r="K82" s="56">
        <v>64039.91</v>
      </c>
      <c r="L82" s="62">
        <v>61600</v>
      </c>
      <c r="M82" s="61" t="s">
        <v>362</v>
      </c>
      <c r="N82" s="60" t="s">
        <v>355</v>
      </c>
      <c r="O82" s="59">
        <v>-0.16</v>
      </c>
      <c r="P82" s="51">
        <v>3659862</v>
      </c>
      <c r="Q82" s="52">
        <v>3.81</v>
      </c>
      <c r="R82" s="51">
        <v>150000</v>
      </c>
      <c r="S82" s="51">
        <v>903060</v>
      </c>
      <c r="T82" s="50" t="s">
        <v>269</v>
      </c>
      <c r="U82" s="49" t="s">
        <v>343</v>
      </c>
      <c r="V82" s="48" t="s">
        <v>342</v>
      </c>
      <c r="W82" s="48" t="s">
        <v>342</v>
      </c>
    </row>
    <row r="83" spans="1:23">
      <c r="A83" s="40" t="s">
        <v>405</v>
      </c>
      <c r="B83" s="40" t="s">
        <v>399</v>
      </c>
      <c r="C83" s="39" t="s">
        <v>668</v>
      </c>
      <c r="D83" s="72" t="s">
        <v>339</v>
      </c>
      <c r="E83" s="40" t="s">
        <v>296</v>
      </c>
      <c r="F83" s="39" t="s">
        <v>297</v>
      </c>
      <c r="G83" s="42">
        <v>1.69</v>
      </c>
      <c r="H83" s="42">
        <v>3.21</v>
      </c>
      <c r="I83" s="41">
        <v>-182257576</v>
      </c>
      <c r="J83" s="41">
        <v>-5247</v>
      </c>
      <c r="K83" s="46">
        <v>34735.58</v>
      </c>
      <c r="L83" s="70">
        <v>30650</v>
      </c>
      <c r="M83" s="69" t="s">
        <v>362</v>
      </c>
      <c r="N83" s="68" t="s">
        <v>355</v>
      </c>
      <c r="O83" s="67">
        <v>-0.33</v>
      </c>
      <c r="P83" s="41">
        <v>21437026</v>
      </c>
      <c r="Q83" s="42">
        <v>11.76</v>
      </c>
      <c r="R83" s="41">
        <v>524700</v>
      </c>
      <c r="S83" s="41">
        <v>731674</v>
      </c>
      <c r="T83" s="40" t="s">
        <v>269</v>
      </c>
      <c r="U83" s="39" t="s">
        <v>343</v>
      </c>
      <c r="V83" s="38" t="s">
        <v>342</v>
      </c>
      <c r="W83" s="38" t="s">
        <v>342</v>
      </c>
    </row>
    <row r="84" spans="1:23">
      <c r="A84" s="50" t="s">
        <v>402</v>
      </c>
      <c r="B84" s="50" t="s">
        <v>399</v>
      </c>
      <c r="C84" s="49" t="s">
        <v>668</v>
      </c>
      <c r="D84" s="77" t="s">
        <v>339</v>
      </c>
      <c r="E84" s="50" t="s">
        <v>312</v>
      </c>
      <c r="F84" s="49" t="s">
        <v>313</v>
      </c>
      <c r="G84" s="52">
        <v>0.47</v>
      </c>
      <c r="H84" s="52">
        <v>0.9</v>
      </c>
      <c r="I84" s="51">
        <v>-47012225</v>
      </c>
      <c r="J84" s="51">
        <v>-370</v>
      </c>
      <c r="K84" s="56">
        <v>127060.07</v>
      </c>
      <c r="L84" s="76">
        <v>122800</v>
      </c>
      <c r="M84" s="75" t="s">
        <v>367</v>
      </c>
      <c r="N84" s="74" t="s">
        <v>371</v>
      </c>
      <c r="O84" s="73">
        <v>0.24</v>
      </c>
      <c r="P84" s="51">
        <v>1576225</v>
      </c>
      <c r="Q84" s="52">
        <v>3.35</v>
      </c>
      <c r="R84" s="51">
        <v>-111000</v>
      </c>
      <c r="S84" s="51">
        <v>188775</v>
      </c>
      <c r="T84" s="50" t="s">
        <v>269</v>
      </c>
      <c r="U84" s="49" t="s">
        <v>343</v>
      </c>
      <c r="V84" s="48" t="s">
        <v>342</v>
      </c>
      <c r="W84" s="48" t="s">
        <v>342</v>
      </c>
    </row>
    <row r="85" spans="1:23">
      <c r="A85" s="40" t="s">
        <v>400</v>
      </c>
      <c r="B85" s="40" t="s">
        <v>399</v>
      </c>
      <c r="C85" s="39" t="s">
        <v>669</v>
      </c>
      <c r="D85" s="47" t="s">
        <v>338</v>
      </c>
      <c r="E85" s="40" t="s">
        <v>322</v>
      </c>
      <c r="F85" s="39" t="s">
        <v>323</v>
      </c>
      <c r="G85" s="42">
        <v>1.54</v>
      </c>
      <c r="H85" s="42">
        <v>2.12</v>
      </c>
      <c r="I85" s="41">
        <v>151260570</v>
      </c>
      <c r="J85" s="41">
        <v>353</v>
      </c>
      <c r="K85" s="58">
        <v>428500.2</v>
      </c>
      <c r="L85" s="70">
        <v>415000</v>
      </c>
      <c r="M85" s="69" t="s">
        <v>362</v>
      </c>
      <c r="N85" s="68" t="s">
        <v>406</v>
      </c>
      <c r="O85" s="67">
        <v>-2.12</v>
      </c>
      <c r="P85" s="41">
        <v>-4765570</v>
      </c>
      <c r="Q85" s="42">
        <v>-3.15</v>
      </c>
      <c r="R85" s="41">
        <v>-3177000</v>
      </c>
      <c r="S85" s="41">
        <v>136570</v>
      </c>
      <c r="T85" s="40" t="s">
        <v>269</v>
      </c>
      <c r="U85" s="39" t="s">
        <v>343</v>
      </c>
      <c r="V85" s="38" t="s">
        <v>342</v>
      </c>
      <c r="W85" s="38" t="s">
        <v>342</v>
      </c>
    </row>
    <row r="86" spans="1:23">
      <c r="A86" s="50" t="s">
        <v>397</v>
      </c>
      <c r="B86" s="50" t="s">
        <v>399</v>
      </c>
      <c r="C86" s="49" t="s">
        <v>669</v>
      </c>
      <c r="D86" s="57" t="s">
        <v>338</v>
      </c>
      <c r="E86" s="50" t="s">
        <v>404</v>
      </c>
      <c r="F86" s="49" t="s">
        <v>403</v>
      </c>
      <c r="G86" s="52">
        <v>3.73</v>
      </c>
      <c r="H86" s="52">
        <v>5.14</v>
      </c>
      <c r="I86" s="51">
        <v>379147570</v>
      </c>
      <c r="J86" s="51">
        <v>43960</v>
      </c>
      <c r="K86" s="56">
        <v>8624.83</v>
      </c>
      <c r="L86" s="62">
        <v>8070</v>
      </c>
      <c r="M86" s="61" t="s">
        <v>362</v>
      </c>
      <c r="N86" s="60" t="s">
        <v>383</v>
      </c>
      <c r="O86" s="59">
        <v>-1.1000000000000001</v>
      </c>
      <c r="P86" s="51">
        <v>-24390370</v>
      </c>
      <c r="Q86" s="52">
        <v>-6.43</v>
      </c>
      <c r="R86" s="51">
        <v>-3956400</v>
      </c>
      <c r="S86" s="51">
        <v>304660</v>
      </c>
      <c r="T86" s="50" t="s">
        <v>269</v>
      </c>
      <c r="U86" s="49" t="s">
        <v>343</v>
      </c>
      <c r="V86" s="48" t="s">
        <v>342</v>
      </c>
      <c r="W86" s="48" t="s">
        <v>342</v>
      </c>
    </row>
    <row r="87" spans="1:23">
      <c r="A87" s="40" t="s">
        <v>396</v>
      </c>
      <c r="B87" s="40" t="s">
        <v>399</v>
      </c>
      <c r="C87" s="39" t="s">
        <v>669</v>
      </c>
      <c r="D87" s="72" t="s">
        <v>339</v>
      </c>
      <c r="E87" s="40" t="s">
        <v>308</v>
      </c>
      <c r="F87" s="39" t="s">
        <v>309</v>
      </c>
      <c r="G87" s="42">
        <v>3.47</v>
      </c>
      <c r="H87" s="42">
        <v>6.59</v>
      </c>
      <c r="I87" s="41">
        <v>-347370528</v>
      </c>
      <c r="J87" s="41">
        <v>-7910</v>
      </c>
      <c r="K87" s="46">
        <v>43915.360000000001</v>
      </c>
      <c r="L87" s="70">
        <v>41700</v>
      </c>
      <c r="M87" s="69" t="s">
        <v>362</v>
      </c>
      <c r="N87" s="68" t="s">
        <v>401</v>
      </c>
      <c r="O87" s="67">
        <v>-0.36</v>
      </c>
      <c r="P87" s="41">
        <v>17523528</v>
      </c>
      <c r="Q87" s="42">
        <v>5.04</v>
      </c>
      <c r="R87" s="41">
        <v>1186500</v>
      </c>
      <c r="S87" s="41">
        <v>953978</v>
      </c>
      <c r="T87" s="40" t="s">
        <v>269</v>
      </c>
      <c r="U87" s="39" t="s">
        <v>343</v>
      </c>
      <c r="V87" s="38" t="s">
        <v>342</v>
      </c>
      <c r="W87" s="38" t="s">
        <v>342</v>
      </c>
    </row>
    <row r="88" spans="1:23">
      <c r="A88" s="50" t="s">
        <v>394</v>
      </c>
      <c r="B88" s="50" t="s">
        <v>399</v>
      </c>
      <c r="C88" s="49" t="s">
        <v>669</v>
      </c>
      <c r="D88" s="77" t="s">
        <v>339</v>
      </c>
      <c r="E88" s="50" t="s">
        <v>90</v>
      </c>
      <c r="F88" s="49" t="s">
        <v>91</v>
      </c>
      <c r="G88" s="52">
        <v>1.37</v>
      </c>
      <c r="H88" s="52">
        <v>2.6</v>
      </c>
      <c r="I88" s="51">
        <v>-142430690</v>
      </c>
      <c r="J88" s="51">
        <v>-1170</v>
      </c>
      <c r="K88" s="56">
        <v>121735.63</v>
      </c>
      <c r="L88" s="62">
        <v>111500</v>
      </c>
      <c r="M88" s="61" t="s">
        <v>362</v>
      </c>
      <c r="N88" s="60" t="s">
        <v>398</v>
      </c>
      <c r="O88" s="59">
        <v>-1.76</v>
      </c>
      <c r="P88" s="51">
        <v>11975690</v>
      </c>
      <c r="Q88" s="52">
        <v>8.41</v>
      </c>
      <c r="R88" s="51">
        <v>2340000</v>
      </c>
      <c r="S88" s="51">
        <v>374974</v>
      </c>
      <c r="T88" s="50" t="s">
        <v>269</v>
      </c>
      <c r="U88" s="49" t="s">
        <v>343</v>
      </c>
      <c r="V88" s="48" t="s">
        <v>342</v>
      </c>
      <c r="W88" s="48" t="s">
        <v>342</v>
      </c>
    </row>
    <row r="89" spans="1:23">
      <c r="A89" s="40" t="s">
        <v>390</v>
      </c>
      <c r="B89" s="40" t="s">
        <v>378</v>
      </c>
      <c r="C89" s="39" t="s">
        <v>255</v>
      </c>
      <c r="D89" s="47" t="s">
        <v>338</v>
      </c>
      <c r="E89" s="40" t="s">
        <v>298</v>
      </c>
      <c r="F89" s="39" t="s">
        <v>299</v>
      </c>
      <c r="G89" s="42">
        <v>1.03</v>
      </c>
      <c r="H89" s="42">
        <v>13.23</v>
      </c>
      <c r="I89" s="41">
        <v>98598360</v>
      </c>
      <c r="J89" s="41">
        <v>2818</v>
      </c>
      <c r="K89" s="46">
        <v>34988.769999999997</v>
      </c>
      <c r="L89" s="66">
        <v>34950</v>
      </c>
      <c r="M89" s="65" t="s">
        <v>367</v>
      </c>
      <c r="N89" s="64" t="s">
        <v>395</v>
      </c>
      <c r="O89" s="63">
        <v>1.1599999999999999</v>
      </c>
      <c r="P89" s="41">
        <v>-109260</v>
      </c>
      <c r="Q89" s="42">
        <v>-0.11</v>
      </c>
      <c r="R89" s="41">
        <v>1127200</v>
      </c>
      <c r="S89" s="41">
        <v>90560</v>
      </c>
      <c r="T89" s="40" t="s">
        <v>269</v>
      </c>
      <c r="U89" s="39" t="s">
        <v>343</v>
      </c>
      <c r="V89" s="38" t="s">
        <v>342</v>
      </c>
      <c r="W89" s="38" t="s">
        <v>342</v>
      </c>
    </row>
    <row r="90" spans="1:23">
      <c r="A90" s="50" t="s">
        <v>388</v>
      </c>
      <c r="B90" s="50" t="s">
        <v>378</v>
      </c>
      <c r="C90" s="49" t="s">
        <v>255</v>
      </c>
      <c r="D90" s="57" t="s">
        <v>338</v>
      </c>
      <c r="E90" s="50" t="s">
        <v>50</v>
      </c>
      <c r="F90" s="49" t="s">
        <v>51</v>
      </c>
      <c r="G90" s="52">
        <v>1</v>
      </c>
      <c r="H90" s="52">
        <v>12.85</v>
      </c>
      <c r="I90" s="51">
        <v>110328600</v>
      </c>
      <c r="J90" s="51">
        <v>4918</v>
      </c>
      <c r="K90" s="56">
        <v>22433.63</v>
      </c>
      <c r="L90" s="76">
        <v>19450</v>
      </c>
      <c r="M90" s="75" t="s">
        <v>367</v>
      </c>
      <c r="N90" s="74" t="s">
        <v>395</v>
      </c>
      <c r="O90" s="73">
        <v>2.1</v>
      </c>
      <c r="P90" s="51">
        <v>-14673500</v>
      </c>
      <c r="Q90" s="52">
        <v>-13.3</v>
      </c>
      <c r="R90" s="51">
        <v>1967200</v>
      </c>
      <c r="S90" s="51">
        <v>94650</v>
      </c>
      <c r="T90" s="50" t="s">
        <v>269</v>
      </c>
      <c r="U90" s="49" t="s">
        <v>343</v>
      </c>
      <c r="V90" s="48" t="s">
        <v>342</v>
      </c>
      <c r="W90" s="48" t="s">
        <v>342</v>
      </c>
    </row>
    <row r="91" spans="1:23">
      <c r="A91" s="40" t="s">
        <v>387</v>
      </c>
      <c r="B91" s="40" t="s">
        <v>378</v>
      </c>
      <c r="C91" s="39" t="s">
        <v>255</v>
      </c>
      <c r="D91" s="47" t="s">
        <v>338</v>
      </c>
      <c r="E91" s="40" t="s">
        <v>393</v>
      </c>
      <c r="F91" s="39" t="s">
        <v>392</v>
      </c>
      <c r="G91" s="42">
        <v>0.97</v>
      </c>
      <c r="H91" s="42">
        <v>12.51</v>
      </c>
      <c r="I91" s="41">
        <v>97191610</v>
      </c>
      <c r="J91" s="41">
        <v>1507</v>
      </c>
      <c r="K91" s="46">
        <v>64493.440000000002</v>
      </c>
      <c r="L91" s="66">
        <v>61800</v>
      </c>
      <c r="M91" s="65" t="s">
        <v>367</v>
      </c>
      <c r="N91" s="64" t="s">
        <v>391</v>
      </c>
      <c r="O91" s="63">
        <v>1.31</v>
      </c>
      <c r="P91" s="41">
        <v>-4059010</v>
      </c>
      <c r="Q91" s="42">
        <v>-4.18</v>
      </c>
      <c r="R91" s="41">
        <v>1205600</v>
      </c>
      <c r="S91" s="41">
        <v>88410</v>
      </c>
      <c r="T91" s="40" t="s">
        <v>269</v>
      </c>
      <c r="U91" s="39" t="s">
        <v>343</v>
      </c>
      <c r="V91" s="38" t="s">
        <v>342</v>
      </c>
      <c r="W91" s="38" t="s">
        <v>342</v>
      </c>
    </row>
    <row r="92" spans="1:23">
      <c r="A92" s="50" t="s">
        <v>383</v>
      </c>
      <c r="B92" s="50" t="s">
        <v>378</v>
      </c>
      <c r="C92" s="49" t="s">
        <v>255</v>
      </c>
      <c r="D92" s="57" t="s">
        <v>338</v>
      </c>
      <c r="E92" s="50" t="s">
        <v>305</v>
      </c>
      <c r="F92" s="49" t="s">
        <v>306</v>
      </c>
      <c r="G92" s="52">
        <v>0.62</v>
      </c>
      <c r="H92" s="52">
        <v>7.97</v>
      </c>
      <c r="I92" s="51">
        <v>51790720</v>
      </c>
      <c r="J92" s="51">
        <v>229</v>
      </c>
      <c r="K92" s="56">
        <v>226160.35</v>
      </c>
      <c r="L92" s="62">
        <v>259000</v>
      </c>
      <c r="M92" s="61" t="s">
        <v>362</v>
      </c>
      <c r="N92" s="60" t="s">
        <v>389</v>
      </c>
      <c r="O92" s="59">
        <v>-1.33</v>
      </c>
      <c r="P92" s="51">
        <v>7520280</v>
      </c>
      <c r="Q92" s="52">
        <v>14.52</v>
      </c>
      <c r="R92" s="51">
        <v>-801500</v>
      </c>
      <c r="S92" s="51">
        <v>36220</v>
      </c>
      <c r="T92" s="50" t="s">
        <v>269</v>
      </c>
      <c r="U92" s="49" t="s">
        <v>343</v>
      </c>
      <c r="V92" s="48" t="s">
        <v>342</v>
      </c>
      <c r="W92" s="48" t="s">
        <v>342</v>
      </c>
    </row>
    <row r="93" spans="1:23">
      <c r="A93" s="40" t="s">
        <v>381</v>
      </c>
      <c r="B93" s="40" t="s">
        <v>378</v>
      </c>
      <c r="C93" s="39" t="s">
        <v>254</v>
      </c>
      <c r="D93" s="47" t="s">
        <v>338</v>
      </c>
      <c r="E93" s="40" t="s">
        <v>282</v>
      </c>
      <c r="F93" s="39" t="s">
        <v>283</v>
      </c>
      <c r="G93" s="42">
        <v>1</v>
      </c>
      <c r="H93" s="42">
        <v>12.84</v>
      </c>
      <c r="I93" s="41">
        <v>106427390</v>
      </c>
      <c r="J93" s="41">
        <v>5463</v>
      </c>
      <c r="K93" s="46">
        <v>19481.490000000002</v>
      </c>
      <c r="L93" s="66">
        <v>17500</v>
      </c>
      <c r="M93" s="65" t="s">
        <v>367</v>
      </c>
      <c r="N93" s="64" t="s">
        <v>371</v>
      </c>
      <c r="O93" s="63">
        <v>1.74</v>
      </c>
      <c r="P93" s="41">
        <v>-10824890</v>
      </c>
      <c r="Q93" s="42">
        <v>-10.17</v>
      </c>
      <c r="R93" s="41">
        <v>1638900</v>
      </c>
      <c r="S93" s="41">
        <v>253696</v>
      </c>
      <c r="T93" s="40" t="s">
        <v>269</v>
      </c>
      <c r="U93" s="39" t="s">
        <v>343</v>
      </c>
      <c r="V93" s="38" t="s">
        <v>342</v>
      </c>
      <c r="W93" s="38" t="s">
        <v>342</v>
      </c>
    </row>
    <row r="94" spans="1:23">
      <c r="A94" s="50" t="s">
        <v>379</v>
      </c>
      <c r="B94" s="50" t="s">
        <v>378</v>
      </c>
      <c r="C94" s="49" t="s">
        <v>254</v>
      </c>
      <c r="D94" s="57" t="s">
        <v>338</v>
      </c>
      <c r="E94" s="50" t="s">
        <v>386</v>
      </c>
      <c r="F94" s="49" t="s">
        <v>385</v>
      </c>
      <c r="G94" s="52">
        <v>0.49</v>
      </c>
      <c r="H94" s="52">
        <v>6.33</v>
      </c>
      <c r="I94" s="51">
        <v>47612500</v>
      </c>
      <c r="J94" s="51">
        <v>293</v>
      </c>
      <c r="K94" s="51">
        <v>162500</v>
      </c>
      <c r="L94" s="62">
        <v>161000</v>
      </c>
      <c r="M94" s="61" t="s">
        <v>362</v>
      </c>
      <c r="N94" s="60" t="s">
        <v>384</v>
      </c>
      <c r="O94" s="59">
        <v>-0.62</v>
      </c>
      <c r="P94" s="51">
        <v>-439500</v>
      </c>
      <c r="Q94" s="52">
        <v>-0.92</v>
      </c>
      <c r="R94" s="51">
        <v>-439500</v>
      </c>
      <c r="S94" s="51">
        <v>0</v>
      </c>
      <c r="T94" s="50" t="s">
        <v>269</v>
      </c>
      <c r="U94" s="49" t="s">
        <v>343</v>
      </c>
      <c r="V94" s="48" t="s">
        <v>342</v>
      </c>
      <c r="W94" s="48" t="s">
        <v>342</v>
      </c>
    </row>
    <row r="95" spans="1:23">
      <c r="A95" s="40" t="s">
        <v>374</v>
      </c>
      <c r="B95" s="40" t="s">
        <v>378</v>
      </c>
      <c r="C95" s="39" t="s">
        <v>254</v>
      </c>
      <c r="D95" s="47" t="s">
        <v>338</v>
      </c>
      <c r="E95" s="40" t="s">
        <v>202</v>
      </c>
      <c r="F95" s="39" t="s">
        <v>203</v>
      </c>
      <c r="G95" s="42">
        <v>1.66</v>
      </c>
      <c r="H95" s="42">
        <v>21.31</v>
      </c>
      <c r="I95" s="41">
        <v>139720060</v>
      </c>
      <c r="J95" s="41">
        <v>1061</v>
      </c>
      <c r="K95" s="46">
        <v>131687.14000000001</v>
      </c>
      <c r="L95" s="70">
        <v>149500</v>
      </c>
      <c r="M95" s="69" t="s">
        <v>362</v>
      </c>
      <c r="N95" s="68" t="s">
        <v>382</v>
      </c>
      <c r="O95" s="67">
        <v>-0.99</v>
      </c>
      <c r="P95" s="41">
        <v>18899440</v>
      </c>
      <c r="Q95" s="42">
        <v>13.53</v>
      </c>
      <c r="R95" s="41">
        <v>-1591500</v>
      </c>
      <c r="S95" s="41">
        <v>139560</v>
      </c>
      <c r="T95" s="40" t="s">
        <v>269</v>
      </c>
      <c r="U95" s="39" t="s">
        <v>343</v>
      </c>
      <c r="V95" s="38" t="s">
        <v>342</v>
      </c>
      <c r="W95" s="38" t="s">
        <v>342</v>
      </c>
    </row>
    <row r="96" spans="1:23">
      <c r="A96" s="50" t="s">
        <v>372</v>
      </c>
      <c r="B96" s="50" t="s">
        <v>378</v>
      </c>
      <c r="C96" s="49" t="s">
        <v>197</v>
      </c>
      <c r="D96" s="77" t="s">
        <v>339</v>
      </c>
      <c r="E96" s="50" t="s">
        <v>270</v>
      </c>
      <c r="F96" s="49" t="s">
        <v>271</v>
      </c>
      <c r="G96" s="52">
        <v>17.55</v>
      </c>
      <c r="H96" s="52">
        <v>100</v>
      </c>
      <c r="I96" s="51">
        <v>-1611878125</v>
      </c>
      <c r="J96" s="51">
        <v>-13</v>
      </c>
      <c r="K96" s="56">
        <v>247.98</v>
      </c>
      <c r="L96" s="90">
        <v>256.7</v>
      </c>
      <c r="M96" s="61" t="s">
        <v>362</v>
      </c>
      <c r="N96" s="60" t="s">
        <v>380</v>
      </c>
      <c r="O96" s="59">
        <v>0.27</v>
      </c>
      <c r="P96" s="51">
        <v>-56671875</v>
      </c>
      <c r="Q96" s="52">
        <v>-3.52</v>
      </c>
      <c r="R96" s="51">
        <v>4550000</v>
      </c>
      <c r="S96" s="51">
        <v>637560</v>
      </c>
      <c r="T96" s="50" t="s">
        <v>269</v>
      </c>
      <c r="U96" s="49" t="s">
        <v>343</v>
      </c>
      <c r="V96" s="48" t="s">
        <v>342</v>
      </c>
      <c r="W96" s="48" t="s">
        <v>342</v>
      </c>
    </row>
    <row r="97" spans="1:23">
      <c r="A97" s="40" t="s">
        <v>370</v>
      </c>
      <c r="B97" s="40" t="s">
        <v>378</v>
      </c>
      <c r="C97" s="39" t="s">
        <v>260</v>
      </c>
      <c r="D97" s="47" t="s">
        <v>338</v>
      </c>
      <c r="E97" s="40" t="s">
        <v>377</v>
      </c>
      <c r="F97" s="39" t="s">
        <v>376</v>
      </c>
      <c r="G97" s="42">
        <v>1.01</v>
      </c>
      <c r="H97" s="42">
        <v>12.91</v>
      </c>
      <c r="I97" s="41">
        <v>105416610</v>
      </c>
      <c r="J97" s="41">
        <v>15446</v>
      </c>
      <c r="K97" s="46">
        <v>6824.85</v>
      </c>
      <c r="L97" s="70">
        <v>6220</v>
      </c>
      <c r="M97" s="69" t="s">
        <v>362</v>
      </c>
      <c r="N97" s="68" t="s">
        <v>375</v>
      </c>
      <c r="O97" s="67">
        <v>-1.1100000000000001</v>
      </c>
      <c r="P97" s="41">
        <v>-9342490</v>
      </c>
      <c r="Q97" s="42">
        <v>-8.86</v>
      </c>
      <c r="R97" s="41">
        <v>-1081220</v>
      </c>
      <c r="S97" s="41">
        <v>92140</v>
      </c>
      <c r="T97" s="40" t="s">
        <v>269</v>
      </c>
      <c r="U97" s="39" t="s">
        <v>343</v>
      </c>
      <c r="V97" s="38" t="s">
        <v>342</v>
      </c>
      <c r="W97" s="38" t="s">
        <v>342</v>
      </c>
    </row>
    <row r="98" spans="1:23">
      <c r="A98" s="50" t="s">
        <v>365</v>
      </c>
      <c r="B98" s="50" t="s">
        <v>349</v>
      </c>
      <c r="C98" s="49" t="s">
        <v>251</v>
      </c>
      <c r="D98" s="57" t="s">
        <v>338</v>
      </c>
      <c r="E98" s="50" t="s">
        <v>295</v>
      </c>
      <c r="F98" s="49" t="s">
        <v>307</v>
      </c>
      <c r="G98" s="52">
        <v>0.02</v>
      </c>
      <c r="H98" s="52">
        <v>0.23</v>
      </c>
      <c r="I98" s="51">
        <v>2245360</v>
      </c>
      <c r="J98" s="51">
        <v>1016</v>
      </c>
      <c r="K98" s="51">
        <v>2210</v>
      </c>
      <c r="L98" s="62">
        <v>2335</v>
      </c>
      <c r="M98" s="61" t="s">
        <v>362</v>
      </c>
      <c r="N98" s="60" t="s">
        <v>373</v>
      </c>
      <c r="O98" s="59">
        <v>-2.2999999999999998</v>
      </c>
      <c r="P98" s="51">
        <v>127000</v>
      </c>
      <c r="Q98" s="52">
        <v>5.66</v>
      </c>
      <c r="R98" s="51">
        <v>-55880</v>
      </c>
      <c r="S98" s="51">
        <v>0</v>
      </c>
      <c r="T98" s="50" t="s">
        <v>269</v>
      </c>
      <c r="U98" s="49" t="s">
        <v>343</v>
      </c>
      <c r="V98" s="48" t="s">
        <v>342</v>
      </c>
      <c r="W98" s="48" t="s">
        <v>342</v>
      </c>
    </row>
    <row r="99" spans="1:23">
      <c r="A99" s="40" t="s">
        <v>360</v>
      </c>
      <c r="B99" s="40" t="s">
        <v>349</v>
      </c>
      <c r="C99" s="39" t="s">
        <v>251</v>
      </c>
      <c r="D99" s="47" t="s">
        <v>338</v>
      </c>
      <c r="E99" s="40" t="s">
        <v>278</v>
      </c>
      <c r="F99" s="39" t="s">
        <v>279</v>
      </c>
      <c r="G99" s="42">
        <v>0.17</v>
      </c>
      <c r="H99" s="42">
        <v>1.66</v>
      </c>
      <c r="I99" s="41">
        <v>8990000</v>
      </c>
      <c r="J99" s="41">
        <v>310</v>
      </c>
      <c r="K99" s="41">
        <v>29000</v>
      </c>
      <c r="L99" s="70">
        <v>53500</v>
      </c>
      <c r="M99" s="69" t="s">
        <v>362</v>
      </c>
      <c r="N99" s="68" t="s">
        <v>371</v>
      </c>
      <c r="O99" s="67">
        <v>-0.56000000000000005</v>
      </c>
      <c r="P99" s="41">
        <v>7595000</v>
      </c>
      <c r="Q99" s="42">
        <v>84.48</v>
      </c>
      <c r="R99" s="41">
        <v>-93000</v>
      </c>
      <c r="S99" s="41">
        <v>0</v>
      </c>
      <c r="T99" s="40" t="s">
        <v>269</v>
      </c>
      <c r="U99" s="39" t="s">
        <v>343</v>
      </c>
      <c r="V99" s="38" t="s">
        <v>342</v>
      </c>
      <c r="W99" s="38" t="s">
        <v>342</v>
      </c>
    </row>
    <row r="100" spans="1:23">
      <c r="A100" s="50" t="s">
        <v>359</v>
      </c>
      <c r="B100" s="50" t="s">
        <v>349</v>
      </c>
      <c r="C100" s="49" t="s">
        <v>672</v>
      </c>
      <c r="D100" s="57" t="s">
        <v>338</v>
      </c>
      <c r="E100" s="50" t="s">
        <v>364</v>
      </c>
      <c r="F100" s="49" t="s">
        <v>363</v>
      </c>
      <c r="G100" s="52">
        <v>7.0000000000000007E-2</v>
      </c>
      <c r="H100" s="52">
        <v>0.71</v>
      </c>
      <c r="I100" s="51">
        <v>10518662</v>
      </c>
      <c r="J100" s="51">
        <v>9813</v>
      </c>
      <c r="K100" s="56">
        <v>1071.9100000000001</v>
      </c>
      <c r="L100" s="62">
        <v>722</v>
      </c>
      <c r="M100" s="61" t="s">
        <v>362</v>
      </c>
      <c r="N100" s="60" t="s">
        <v>361</v>
      </c>
      <c r="O100" s="59">
        <v>5.62</v>
      </c>
      <c r="P100" s="51">
        <v>-3433676</v>
      </c>
      <c r="Q100" s="52">
        <v>-32.64</v>
      </c>
      <c r="R100" s="51">
        <v>-421959</v>
      </c>
      <c r="S100" s="51">
        <v>0</v>
      </c>
      <c r="T100" s="50" t="s">
        <v>269</v>
      </c>
      <c r="U100" s="49" t="s">
        <v>343</v>
      </c>
      <c r="V100" s="48" t="s">
        <v>342</v>
      </c>
      <c r="W100" s="48" t="s">
        <v>342</v>
      </c>
    </row>
    <row r="101" spans="1:23">
      <c r="A101" s="40" t="s">
        <v>358</v>
      </c>
      <c r="B101" s="40" t="s">
        <v>349</v>
      </c>
      <c r="C101" s="39" t="s">
        <v>672</v>
      </c>
      <c r="D101" s="47" t="s">
        <v>338</v>
      </c>
      <c r="E101" s="40" t="s">
        <v>580</v>
      </c>
      <c r="F101" s="39" t="s">
        <v>579</v>
      </c>
      <c r="G101" s="42">
        <v>2.67</v>
      </c>
      <c r="H101" s="42">
        <v>25.5</v>
      </c>
      <c r="I101" s="41">
        <v>234462074</v>
      </c>
      <c r="J101" s="41">
        <v>255900000</v>
      </c>
      <c r="K101" s="46">
        <v>9162.25</v>
      </c>
      <c r="L101" s="46">
        <v>9929.8700000000008</v>
      </c>
      <c r="M101" s="45" t="s">
        <v>269</v>
      </c>
      <c r="N101" s="44" t="s">
        <v>342</v>
      </c>
      <c r="O101" s="43">
        <v>0</v>
      </c>
      <c r="P101" s="41">
        <v>19643299</v>
      </c>
      <c r="Q101" s="42">
        <v>8.3800000000000008</v>
      </c>
      <c r="R101" s="41">
        <v>0</v>
      </c>
      <c r="S101" s="41">
        <v>0</v>
      </c>
      <c r="T101" s="40" t="s">
        <v>269</v>
      </c>
      <c r="U101" s="39" t="s">
        <v>343</v>
      </c>
      <c r="V101" s="38" t="s">
        <v>342</v>
      </c>
      <c r="W101" s="38" t="s">
        <v>342</v>
      </c>
    </row>
    <row r="102" spans="1:23">
      <c r="A102" s="50" t="s">
        <v>355</v>
      </c>
      <c r="B102" s="50" t="s">
        <v>349</v>
      </c>
      <c r="C102" s="49" t="s">
        <v>672</v>
      </c>
      <c r="D102" s="57" t="s">
        <v>338</v>
      </c>
      <c r="E102" s="50" t="s">
        <v>354</v>
      </c>
      <c r="F102" s="49" t="s">
        <v>353</v>
      </c>
      <c r="G102" s="52">
        <v>0.43</v>
      </c>
      <c r="H102" s="52">
        <v>4.16</v>
      </c>
      <c r="I102" s="51">
        <v>42655750</v>
      </c>
      <c r="J102" s="51">
        <v>44650000</v>
      </c>
      <c r="K102" s="56">
        <v>9553.36</v>
      </c>
      <c r="L102" s="56">
        <v>9292.81</v>
      </c>
      <c r="M102" s="55" t="s">
        <v>269</v>
      </c>
      <c r="N102" s="54" t="s">
        <v>342</v>
      </c>
      <c r="O102" s="53">
        <v>0</v>
      </c>
      <c r="P102" s="51">
        <v>-1163354</v>
      </c>
      <c r="Q102" s="52">
        <v>-2.73</v>
      </c>
      <c r="R102" s="51">
        <v>1</v>
      </c>
      <c r="S102" s="51">
        <v>0</v>
      </c>
      <c r="T102" s="50" t="s">
        <v>269</v>
      </c>
      <c r="U102" s="49" t="s">
        <v>343</v>
      </c>
      <c r="V102" s="48" t="s">
        <v>342</v>
      </c>
      <c r="W102" s="48" t="s">
        <v>342</v>
      </c>
    </row>
    <row r="103" spans="1:23">
      <c r="A103" s="40" t="s">
        <v>352</v>
      </c>
      <c r="B103" s="40" t="s">
        <v>349</v>
      </c>
      <c r="C103" s="39" t="s">
        <v>672</v>
      </c>
      <c r="D103" s="47" t="s">
        <v>338</v>
      </c>
      <c r="E103" s="40" t="s">
        <v>578</v>
      </c>
      <c r="F103" s="39" t="s">
        <v>577</v>
      </c>
      <c r="G103" s="42">
        <v>2.0699999999999998</v>
      </c>
      <c r="H103" s="42">
        <v>19.84</v>
      </c>
      <c r="I103" s="41">
        <v>200157608</v>
      </c>
      <c r="J103" s="41">
        <v>200000000</v>
      </c>
      <c r="K103" s="46">
        <v>10007.879999999999</v>
      </c>
      <c r="L103" s="58">
        <v>9883.2999999999993</v>
      </c>
      <c r="M103" s="45" t="s">
        <v>269</v>
      </c>
      <c r="N103" s="44" t="s">
        <v>342</v>
      </c>
      <c r="O103" s="43">
        <v>0</v>
      </c>
      <c r="P103" s="41">
        <v>-2491608</v>
      </c>
      <c r="Q103" s="42">
        <v>-1.24</v>
      </c>
      <c r="R103" s="41">
        <v>0</v>
      </c>
      <c r="S103" s="41">
        <v>0</v>
      </c>
      <c r="T103" s="40" t="s">
        <v>269</v>
      </c>
      <c r="U103" s="39" t="s">
        <v>343</v>
      </c>
      <c r="V103" s="38" t="s">
        <v>342</v>
      </c>
      <c r="W103" s="38" t="s">
        <v>342</v>
      </c>
    </row>
    <row r="104" spans="1:23">
      <c r="A104" s="50" t="s">
        <v>350</v>
      </c>
      <c r="B104" s="50" t="s">
        <v>349</v>
      </c>
      <c r="C104" s="49" t="s">
        <v>672</v>
      </c>
      <c r="D104" s="57" t="s">
        <v>338</v>
      </c>
      <c r="E104" s="50" t="s">
        <v>348</v>
      </c>
      <c r="F104" s="49" t="s">
        <v>347</v>
      </c>
      <c r="G104" s="52">
        <v>5.01</v>
      </c>
      <c r="H104" s="52">
        <v>47.87</v>
      </c>
      <c r="I104" s="51">
        <v>500971588</v>
      </c>
      <c r="J104" s="51">
        <v>500000000</v>
      </c>
      <c r="K104" s="56">
        <v>10019.43</v>
      </c>
      <c r="L104" s="56">
        <v>9538.92</v>
      </c>
      <c r="M104" s="55" t="s">
        <v>269</v>
      </c>
      <c r="N104" s="54" t="s">
        <v>342</v>
      </c>
      <c r="O104" s="53">
        <v>0</v>
      </c>
      <c r="P104" s="51">
        <v>-24025588</v>
      </c>
      <c r="Q104" s="52">
        <v>-4.8</v>
      </c>
      <c r="R104" s="51">
        <v>0</v>
      </c>
      <c r="S104" s="51">
        <v>0</v>
      </c>
      <c r="T104" s="50" t="s">
        <v>269</v>
      </c>
      <c r="U104" s="49" t="s">
        <v>343</v>
      </c>
      <c r="V104" s="48" t="s">
        <v>342</v>
      </c>
      <c r="W104" s="48" t="s">
        <v>342</v>
      </c>
    </row>
    <row r="105" spans="1:23">
      <c r="A105" s="40" t="s">
        <v>346</v>
      </c>
      <c r="B105" s="40" t="s">
        <v>345</v>
      </c>
      <c r="C105" s="39" t="s">
        <v>318</v>
      </c>
      <c r="D105" s="47" t="s">
        <v>338</v>
      </c>
      <c r="E105" s="40" t="s">
        <v>319</v>
      </c>
      <c r="F105" s="39" t="s">
        <v>344</v>
      </c>
      <c r="G105" s="42">
        <v>17.93</v>
      </c>
      <c r="H105" s="42">
        <v>100</v>
      </c>
      <c r="I105" s="41">
        <v>1800000000</v>
      </c>
      <c r="J105" s="41">
        <v>1800000000</v>
      </c>
      <c r="K105" s="41">
        <v>10000</v>
      </c>
      <c r="L105" s="46">
        <v>9471.67</v>
      </c>
      <c r="M105" s="45" t="s">
        <v>269</v>
      </c>
      <c r="N105" s="44" t="s">
        <v>342</v>
      </c>
      <c r="O105" s="43">
        <v>0</v>
      </c>
      <c r="P105" s="41">
        <v>-95099400</v>
      </c>
      <c r="Q105" s="42">
        <v>-5.28</v>
      </c>
      <c r="R105" s="41">
        <v>0</v>
      </c>
      <c r="S105" s="41">
        <v>0</v>
      </c>
      <c r="T105" s="40" t="s">
        <v>269</v>
      </c>
      <c r="U105" s="39" t="s">
        <v>343</v>
      </c>
      <c r="V105" s="38" t="s">
        <v>342</v>
      </c>
      <c r="W105" s="38" t="s">
        <v>342</v>
      </c>
    </row>
    <row r="106" spans="1:23">
      <c r="A106" s="113" t="s">
        <v>341</v>
      </c>
      <c r="B106" s="114"/>
      <c r="C106" s="115"/>
      <c r="D106" s="35" t="s">
        <v>269</v>
      </c>
      <c r="E106" s="35" t="s">
        <v>269</v>
      </c>
      <c r="F106" s="35" t="s">
        <v>269</v>
      </c>
      <c r="G106" s="37">
        <v>178.98</v>
      </c>
      <c r="H106" s="37">
        <v>599.99</v>
      </c>
      <c r="I106" s="36">
        <v>3565778531</v>
      </c>
      <c r="J106" s="36">
        <v>2800783569</v>
      </c>
      <c r="K106" s="35" t="s">
        <v>269</v>
      </c>
      <c r="L106" s="35" t="s">
        <v>269</v>
      </c>
      <c r="M106" s="116" t="s">
        <v>269</v>
      </c>
      <c r="N106" s="117"/>
      <c r="O106" s="35" t="s">
        <v>269</v>
      </c>
      <c r="P106" s="36">
        <v>113078479</v>
      </c>
      <c r="Q106" s="37">
        <v>182.2</v>
      </c>
      <c r="R106" s="35" t="s">
        <v>269</v>
      </c>
      <c r="S106" s="36">
        <v>59162987</v>
      </c>
      <c r="T106" s="35" t="s">
        <v>269</v>
      </c>
      <c r="U106" s="35" t="s">
        <v>269</v>
      </c>
      <c r="V106" s="35" t="s">
        <v>269</v>
      </c>
      <c r="W106" s="35" t="s">
        <v>269</v>
      </c>
    </row>
  </sheetData>
  <mergeCells count="24">
    <mergeCell ref="J1:J2"/>
    <mergeCell ref="K1:K2"/>
    <mergeCell ref="L1:L2"/>
    <mergeCell ref="A1:A2"/>
    <mergeCell ref="B1:B2"/>
    <mergeCell ref="C1:C2"/>
    <mergeCell ref="D1:D2"/>
    <mergeCell ref="E1:E2"/>
    <mergeCell ref="T1:T2"/>
    <mergeCell ref="U1:U2"/>
    <mergeCell ref="V1:V2"/>
    <mergeCell ref="W1:W2"/>
    <mergeCell ref="A106:C106"/>
    <mergeCell ref="M106:N106"/>
    <mergeCell ref="M1:N2"/>
    <mergeCell ref="O1:O2"/>
    <mergeCell ref="P1:P2"/>
    <mergeCell ref="Q1:Q2"/>
    <mergeCell ref="F1:F2"/>
    <mergeCell ref="R1:R2"/>
    <mergeCell ref="S1:S2"/>
    <mergeCell ref="G1:G2"/>
    <mergeCell ref="H1:H2"/>
    <mergeCell ref="I1:I2"/>
  </mergeCells>
  <phoneticPr fontId="1" type="noConversion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W106"/>
  <sheetViews>
    <sheetView topLeftCell="A72" workbookViewId="0">
      <selection activeCell="J99" sqref="J99"/>
    </sheetView>
  </sheetViews>
  <sheetFormatPr defaultRowHeight="16.5"/>
  <cols>
    <col min="1" max="1" width="3.75" bestFit="1" customWidth="1"/>
    <col min="2" max="2" width="7.5" bestFit="1" customWidth="1"/>
    <col min="3" max="3" width="10" bestFit="1" customWidth="1"/>
    <col min="4" max="4" width="4.125" bestFit="1" customWidth="1"/>
    <col min="5" max="5" width="11.625" bestFit="1" customWidth="1"/>
    <col min="6" max="6" width="18.75" bestFit="1" customWidth="1"/>
    <col min="7" max="7" width="10.5" bestFit="1" customWidth="1"/>
    <col min="8" max="8" width="13.875" bestFit="1" customWidth="1"/>
    <col min="9" max="10" width="13" bestFit="1" customWidth="1"/>
    <col min="11" max="11" width="10.25" bestFit="1" customWidth="1"/>
    <col min="12" max="12" width="8.25" bestFit="1" customWidth="1"/>
    <col min="13" max="13" width="2.75" bestFit="1" customWidth="1"/>
    <col min="14" max="14" width="5.75" bestFit="1" customWidth="1"/>
    <col min="15" max="15" width="6" bestFit="1" customWidth="1"/>
    <col min="16" max="16" width="10.375" bestFit="1" customWidth="1"/>
    <col min="17" max="17" width="9.75" bestFit="1" customWidth="1"/>
    <col min="18" max="18" width="11.375" bestFit="1" customWidth="1"/>
    <col min="19" max="19" width="10.5" bestFit="1" customWidth="1"/>
    <col min="20" max="20" width="4.75" bestFit="1" customWidth="1"/>
    <col min="21" max="22" width="7.5" bestFit="1" customWidth="1"/>
    <col min="23" max="23" width="4.5" bestFit="1" customWidth="1"/>
  </cols>
  <sheetData>
    <row r="1" spans="1:23">
      <c r="A1" s="111" t="s">
        <v>576</v>
      </c>
      <c r="B1" s="111" t="s">
        <v>575</v>
      </c>
      <c r="C1" s="111" t="s">
        <v>574</v>
      </c>
      <c r="D1" s="111" t="s">
        <v>573</v>
      </c>
      <c r="E1" s="111" t="s">
        <v>572</v>
      </c>
      <c r="F1" s="111" t="s">
        <v>571</v>
      </c>
      <c r="G1" s="111" t="s">
        <v>570</v>
      </c>
      <c r="H1" s="111" t="s">
        <v>569</v>
      </c>
      <c r="I1" s="111" t="s">
        <v>568</v>
      </c>
      <c r="J1" s="111" t="s">
        <v>567</v>
      </c>
      <c r="K1" s="111" t="s">
        <v>566</v>
      </c>
      <c r="L1" s="111" t="s">
        <v>565</v>
      </c>
      <c r="M1" s="118" t="s">
        <v>564</v>
      </c>
      <c r="N1" s="119"/>
      <c r="O1" s="111" t="s">
        <v>563</v>
      </c>
      <c r="P1" s="111" t="s">
        <v>562</v>
      </c>
      <c r="Q1" s="111" t="s">
        <v>561</v>
      </c>
      <c r="R1" s="111" t="s">
        <v>560</v>
      </c>
      <c r="S1" s="111" t="s">
        <v>559</v>
      </c>
      <c r="T1" s="111" t="s">
        <v>558</v>
      </c>
      <c r="U1" s="111" t="s">
        <v>557</v>
      </c>
      <c r="V1" s="111" t="s">
        <v>556</v>
      </c>
      <c r="W1" s="111" t="s">
        <v>555</v>
      </c>
    </row>
    <row r="2" spans="1:23">
      <c r="A2" s="112"/>
      <c r="B2" s="112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20"/>
      <c r="N2" s="121"/>
      <c r="O2" s="112"/>
      <c r="P2" s="112"/>
      <c r="Q2" s="112"/>
      <c r="R2" s="112"/>
      <c r="S2" s="112"/>
      <c r="T2" s="112"/>
      <c r="U2" s="112"/>
      <c r="V2" s="112"/>
      <c r="W2" s="112"/>
    </row>
    <row r="3" spans="1:23">
      <c r="A3" s="81" t="s">
        <v>554</v>
      </c>
      <c r="B3" s="81" t="s">
        <v>399</v>
      </c>
      <c r="C3" s="80" t="s">
        <v>625</v>
      </c>
      <c r="D3" s="89" t="s">
        <v>338</v>
      </c>
      <c r="E3" s="81" t="s">
        <v>0</v>
      </c>
      <c r="F3" s="80" t="s">
        <v>1</v>
      </c>
      <c r="G3" s="83">
        <v>2.64</v>
      </c>
      <c r="H3" s="83">
        <v>3.66</v>
      </c>
      <c r="I3" s="82">
        <v>141434670</v>
      </c>
      <c r="J3" s="82">
        <v>1760</v>
      </c>
      <c r="K3" s="88">
        <v>80360.61</v>
      </c>
      <c r="L3" s="87">
        <v>83400</v>
      </c>
      <c r="M3" s="86" t="s">
        <v>362</v>
      </c>
      <c r="N3" s="85" t="s">
        <v>414</v>
      </c>
      <c r="O3" s="84">
        <v>-0.24</v>
      </c>
      <c r="P3" s="82">
        <v>5349330</v>
      </c>
      <c r="Q3" s="83">
        <v>3.78</v>
      </c>
      <c r="R3" s="82">
        <v>-352000</v>
      </c>
      <c r="S3" s="82">
        <v>481560</v>
      </c>
      <c r="T3" s="81" t="s">
        <v>269</v>
      </c>
      <c r="U3" s="80" t="s">
        <v>343</v>
      </c>
      <c r="V3" s="79" t="s">
        <v>342</v>
      </c>
      <c r="W3" s="79" t="s">
        <v>342</v>
      </c>
    </row>
    <row r="4" spans="1:23">
      <c r="A4" s="50" t="s">
        <v>553</v>
      </c>
      <c r="B4" s="50" t="s">
        <v>399</v>
      </c>
      <c r="C4" s="49" t="s">
        <v>625</v>
      </c>
      <c r="D4" s="57" t="s">
        <v>338</v>
      </c>
      <c r="E4" s="50" t="s">
        <v>4</v>
      </c>
      <c r="F4" s="49" t="s">
        <v>5</v>
      </c>
      <c r="G4" s="52">
        <v>1.99</v>
      </c>
      <c r="H4" s="52">
        <v>2.76</v>
      </c>
      <c r="I4" s="51">
        <v>105180460</v>
      </c>
      <c r="J4" s="51">
        <v>2853</v>
      </c>
      <c r="K4" s="56">
        <v>36866.620000000003</v>
      </c>
      <c r="L4" s="62">
        <v>38850</v>
      </c>
      <c r="M4" s="61" t="s">
        <v>362</v>
      </c>
      <c r="N4" s="60" t="s">
        <v>453</v>
      </c>
      <c r="O4" s="59">
        <v>-0.13</v>
      </c>
      <c r="P4" s="51">
        <v>5658590</v>
      </c>
      <c r="Q4" s="52">
        <v>5.38</v>
      </c>
      <c r="R4" s="51">
        <v>-142650</v>
      </c>
      <c r="S4" s="51">
        <v>82310</v>
      </c>
      <c r="T4" s="50" t="s">
        <v>269</v>
      </c>
      <c r="U4" s="49" t="s">
        <v>343</v>
      </c>
      <c r="V4" s="48" t="s">
        <v>342</v>
      </c>
      <c r="W4" s="48" t="s">
        <v>342</v>
      </c>
    </row>
    <row r="5" spans="1:23">
      <c r="A5" s="40" t="s">
        <v>552</v>
      </c>
      <c r="B5" s="40" t="s">
        <v>399</v>
      </c>
      <c r="C5" s="39" t="s">
        <v>625</v>
      </c>
      <c r="D5" s="47" t="s">
        <v>338</v>
      </c>
      <c r="E5" s="40" t="s">
        <v>324</v>
      </c>
      <c r="F5" s="39" t="s">
        <v>325</v>
      </c>
      <c r="G5" s="42">
        <v>0.96</v>
      </c>
      <c r="H5" s="42">
        <v>1.33</v>
      </c>
      <c r="I5" s="41">
        <v>56201640</v>
      </c>
      <c r="J5" s="41">
        <v>203</v>
      </c>
      <c r="K5" s="46">
        <v>276855.37</v>
      </c>
      <c r="L5" s="70">
        <v>264000</v>
      </c>
      <c r="M5" s="69" t="s">
        <v>362</v>
      </c>
      <c r="N5" s="68" t="s">
        <v>398</v>
      </c>
      <c r="O5" s="67">
        <v>-0.75</v>
      </c>
      <c r="P5" s="41">
        <v>-2609640</v>
      </c>
      <c r="Q5" s="42">
        <v>-4.6399999999999997</v>
      </c>
      <c r="R5" s="41">
        <v>-406000</v>
      </c>
      <c r="S5" s="41">
        <v>56140</v>
      </c>
      <c r="T5" s="40" t="s">
        <v>269</v>
      </c>
      <c r="U5" s="39" t="s">
        <v>343</v>
      </c>
      <c r="V5" s="38" t="s">
        <v>342</v>
      </c>
      <c r="W5" s="38" t="s">
        <v>342</v>
      </c>
    </row>
    <row r="6" spans="1:23">
      <c r="A6" s="50" t="s">
        <v>551</v>
      </c>
      <c r="B6" s="50" t="s">
        <v>399</v>
      </c>
      <c r="C6" s="49" t="s">
        <v>625</v>
      </c>
      <c r="D6" s="57" t="s">
        <v>338</v>
      </c>
      <c r="E6" s="50" t="s">
        <v>6</v>
      </c>
      <c r="F6" s="49" t="s">
        <v>7</v>
      </c>
      <c r="G6" s="52">
        <v>3.13</v>
      </c>
      <c r="H6" s="52">
        <v>4.34</v>
      </c>
      <c r="I6" s="51">
        <v>193155804</v>
      </c>
      <c r="J6" s="51">
        <v>5057</v>
      </c>
      <c r="K6" s="56">
        <v>38195.730000000003</v>
      </c>
      <c r="L6" s="62">
        <v>34400</v>
      </c>
      <c r="M6" s="61" t="s">
        <v>362</v>
      </c>
      <c r="N6" s="60" t="s">
        <v>401</v>
      </c>
      <c r="O6" s="59">
        <v>-0.43</v>
      </c>
      <c r="P6" s="51">
        <v>-19195004</v>
      </c>
      <c r="Q6" s="52">
        <v>-9.94</v>
      </c>
      <c r="R6" s="51">
        <v>-758550</v>
      </c>
      <c r="S6" s="51">
        <v>242222</v>
      </c>
      <c r="T6" s="50" t="s">
        <v>269</v>
      </c>
      <c r="U6" s="49" t="s">
        <v>343</v>
      </c>
      <c r="V6" s="48" t="s">
        <v>342</v>
      </c>
      <c r="W6" s="48" t="s">
        <v>342</v>
      </c>
    </row>
    <row r="7" spans="1:23">
      <c r="A7" s="40" t="s">
        <v>550</v>
      </c>
      <c r="B7" s="40" t="s">
        <v>399</v>
      </c>
      <c r="C7" s="39" t="s">
        <v>625</v>
      </c>
      <c r="D7" s="47" t="s">
        <v>338</v>
      </c>
      <c r="E7" s="40" t="s">
        <v>314</v>
      </c>
      <c r="F7" s="39" t="s">
        <v>315</v>
      </c>
      <c r="G7" s="42">
        <v>2.2200000000000002</v>
      </c>
      <c r="H7" s="42">
        <v>3.08</v>
      </c>
      <c r="I7" s="41">
        <v>117881070</v>
      </c>
      <c r="J7" s="41">
        <v>10375</v>
      </c>
      <c r="K7" s="46">
        <v>11362.03</v>
      </c>
      <c r="L7" s="70">
        <v>11900</v>
      </c>
      <c r="M7" s="69" t="s">
        <v>362</v>
      </c>
      <c r="N7" s="68" t="s">
        <v>443</v>
      </c>
      <c r="O7" s="67">
        <v>-2.06</v>
      </c>
      <c r="P7" s="41">
        <v>5581430</v>
      </c>
      <c r="Q7" s="42">
        <v>4.7300000000000004</v>
      </c>
      <c r="R7" s="41">
        <v>-2181800</v>
      </c>
      <c r="S7" s="41">
        <v>79970</v>
      </c>
      <c r="T7" s="40" t="s">
        <v>269</v>
      </c>
      <c r="U7" s="39" t="s">
        <v>343</v>
      </c>
      <c r="V7" s="38" t="s">
        <v>342</v>
      </c>
      <c r="W7" s="38" t="s">
        <v>342</v>
      </c>
    </row>
    <row r="8" spans="1:23">
      <c r="A8" s="50" t="s">
        <v>549</v>
      </c>
      <c r="B8" s="50" t="s">
        <v>399</v>
      </c>
      <c r="C8" s="49" t="s">
        <v>625</v>
      </c>
      <c r="D8" s="57" t="s">
        <v>338</v>
      </c>
      <c r="E8" s="50" t="s">
        <v>284</v>
      </c>
      <c r="F8" s="49" t="s">
        <v>285</v>
      </c>
      <c r="G8" s="52">
        <v>1.91</v>
      </c>
      <c r="H8" s="52">
        <v>2.65</v>
      </c>
      <c r="I8" s="51">
        <v>115998760</v>
      </c>
      <c r="J8" s="51">
        <v>1651</v>
      </c>
      <c r="K8" s="78">
        <v>70259.7</v>
      </c>
      <c r="L8" s="51">
        <v>64400</v>
      </c>
      <c r="M8" s="55" t="s">
        <v>269</v>
      </c>
      <c r="N8" s="54" t="s">
        <v>342</v>
      </c>
      <c r="O8" s="53">
        <v>0</v>
      </c>
      <c r="P8" s="51">
        <v>-9674360</v>
      </c>
      <c r="Q8" s="52">
        <v>-8.34</v>
      </c>
      <c r="R8" s="51">
        <v>0</v>
      </c>
      <c r="S8" s="51">
        <v>94260</v>
      </c>
      <c r="T8" s="50" t="s">
        <v>269</v>
      </c>
      <c r="U8" s="49" t="s">
        <v>343</v>
      </c>
      <c r="V8" s="48" t="s">
        <v>342</v>
      </c>
      <c r="W8" s="48" t="s">
        <v>342</v>
      </c>
    </row>
    <row r="9" spans="1:23">
      <c r="A9" s="40" t="s">
        <v>548</v>
      </c>
      <c r="B9" s="40" t="s">
        <v>399</v>
      </c>
      <c r="C9" s="39" t="s">
        <v>625</v>
      </c>
      <c r="D9" s="47" t="s">
        <v>338</v>
      </c>
      <c r="E9" s="40" t="s">
        <v>14</v>
      </c>
      <c r="F9" s="39" t="s">
        <v>15</v>
      </c>
      <c r="G9" s="42">
        <v>1.05</v>
      </c>
      <c r="H9" s="42">
        <v>1.45</v>
      </c>
      <c r="I9" s="41">
        <v>55460112</v>
      </c>
      <c r="J9" s="41">
        <v>437</v>
      </c>
      <c r="K9" s="46">
        <v>126911.01</v>
      </c>
      <c r="L9" s="66">
        <v>133500</v>
      </c>
      <c r="M9" s="65" t="s">
        <v>367</v>
      </c>
      <c r="N9" s="64" t="s">
        <v>382</v>
      </c>
      <c r="O9" s="63">
        <v>1.1399999999999999</v>
      </c>
      <c r="P9" s="41">
        <v>2879388</v>
      </c>
      <c r="Q9" s="42">
        <v>5.19</v>
      </c>
      <c r="R9" s="41">
        <v>655500</v>
      </c>
      <c r="S9" s="41">
        <v>679336</v>
      </c>
      <c r="T9" s="40" t="s">
        <v>269</v>
      </c>
      <c r="U9" s="39" t="s">
        <v>343</v>
      </c>
      <c r="V9" s="38" t="s">
        <v>342</v>
      </c>
      <c r="W9" s="38" t="s">
        <v>342</v>
      </c>
    </row>
    <row r="10" spans="1:23">
      <c r="A10" s="50" t="s">
        <v>547</v>
      </c>
      <c r="B10" s="50" t="s">
        <v>399</v>
      </c>
      <c r="C10" s="49" t="s">
        <v>625</v>
      </c>
      <c r="D10" s="57" t="s">
        <v>338</v>
      </c>
      <c r="E10" s="50" t="s">
        <v>16</v>
      </c>
      <c r="F10" s="49" t="s">
        <v>17</v>
      </c>
      <c r="G10" s="52">
        <v>2.02</v>
      </c>
      <c r="H10" s="52">
        <v>2.81</v>
      </c>
      <c r="I10" s="51">
        <v>103867568</v>
      </c>
      <c r="J10" s="51">
        <v>506</v>
      </c>
      <c r="K10" s="56">
        <v>205271.87</v>
      </c>
      <c r="L10" s="62">
        <v>222500</v>
      </c>
      <c r="M10" s="61" t="s">
        <v>362</v>
      </c>
      <c r="N10" s="60" t="s">
        <v>398</v>
      </c>
      <c r="O10" s="59">
        <v>-0.89</v>
      </c>
      <c r="P10" s="51">
        <v>8717432</v>
      </c>
      <c r="Q10" s="52">
        <v>8.39</v>
      </c>
      <c r="R10" s="51">
        <v>-1012000</v>
      </c>
      <c r="S10" s="51">
        <v>477306</v>
      </c>
      <c r="T10" s="50" t="s">
        <v>269</v>
      </c>
      <c r="U10" s="49" t="s">
        <v>343</v>
      </c>
      <c r="V10" s="48" t="s">
        <v>342</v>
      </c>
      <c r="W10" s="48" t="s">
        <v>342</v>
      </c>
    </row>
    <row r="11" spans="1:23">
      <c r="A11" s="40" t="s">
        <v>546</v>
      </c>
      <c r="B11" s="40" t="s">
        <v>399</v>
      </c>
      <c r="C11" s="39" t="s">
        <v>625</v>
      </c>
      <c r="D11" s="47" t="s">
        <v>338</v>
      </c>
      <c r="E11" s="40" t="s">
        <v>20</v>
      </c>
      <c r="F11" s="39" t="s">
        <v>21</v>
      </c>
      <c r="G11" s="42">
        <v>4.87</v>
      </c>
      <c r="H11" s="42">
        <v>6.76</v>
      </c>
      <c r="I11" s="41">
        <v>232346511</v>
      </c>
      <c r="J11" s="41">
        <v>168</v>
      </c>
      <c r="K11" s="46">
        <v>1383014.95</v>
      </c>
      <c r="L11" s="70">
        <v>1612000</v>
      </c>
      <c r="M11" s="69" t="s">
        <v>362</v>
      </c>
      <c r="N11" s="68" t="s">
        <v>545</v>
      </c>
      <c r="O11" s="67">
        <v>-1.65</v>
      </c>
      <c r="P11" s="41">
        <v>38469489</v>
      </c>
      <c r="Q11" s="42">
        <v>16.559999999999999</v>
      </c>
      <c r="R11" s="41">
        <v>-4536000</v>
      </c>
      <c r="S11" s="41">
        <v>923472</v>
      </c>
      <c r="T11" s="40" t="s">
        <v>269</v>
      </c>
      <c r="U11" s="39" t="s">
        <v>343</v>
      </c>
      <c r="V11" s="38" t="s">
        <v>342</v>
      </c>
      <c r="W11" s="38" t="s">
        <v>342</v>
      </c>
    </row>
    <row r="12" spans="1:23">
      <c r="A12" s="50" t="s">
        <v>366</v>
      </c>
      <c r="B12" s="50" t="s">
        <v>399</v>
      </c>
      <c r="C12" s="49" t="s">
        <v>625</v>
      </c>
      <c r="D12" s="57" t="s">
        <v>338</v>
      </c>
      <c r="E12" s="50" t="s">
        <v>286</v>
      </c>
      <c r="F12" s="49" t="s">
        <v>287</v>
      </c>
      <c r="G12" s="52">
        <v>0.49</v>
      </c>
      <c r="H12" s="52">
        <v>0.68</v>
      </c>
      <c r="I12" s="51">
        <v>23860067</v>
      </c>
      <c r="J12" s="51">
        <v>1447</v>
      </c>
      <c r="K12" s="56">
        <v>16489.330000000002</v>
      </c>
      <c r="L12" s="62">
        <v>18900</v>
      </c>
      <c r="M12" s="61" t="s">
        <v>362</v>
      </c>
      <c r="N12" s="60" t="s">
        <v>453</v>
      </c>
      <c r="O12" s="59">
        <v>-0.26</v>
      </c>
      <c r="P12" s="51">
        <v>3488233</v>
      </c>
      <c r="Q12" s="52">
        <v>14.62</v>
      </c>
      <c r="R12" s="51">
        <v>-72350</v>
      </c>
      <c r="S12" s="51">
        <v>188120</v>
      </c>
      <c r="T12" s="50" t="s">
        <v>269</v>
      </c>
      <c r="U12" s="49" t="s">
        <v>343</v>
      </c>
      <c r="V12" s="48" t="s">
        <v>342</v>
      </c>
      <c r="W12" s="48" t="s">
        <v>342</v>
      </c>
    </row>
    <row r="13" spans="1:23">
      <c r="A13" s="40" t="s">
        <v>544</v>
      </c>
      <c r="B13" s="40" t="s">
        <v>399</v>
      </c>
      <c r="C13" s="39" t="s">
        <v>625</v>
      </c>
      <c r="D13" s="47" t="s">
        <v>338</v>
      </c>
      <c r="E13" s="40" t="s">
        <v>543</v>
      </c>
      <c r="F13" s="39" t="s">
        <v>542</v>
      </c>
      <c r="G13" s="42">
        <v>2.1</v>
      </c>
      <c r="H13" s="42">
        <v>2.92</v>
      </c>
      <c r="I13" s="41">
        <v>109293266</v>
      </c>
      <c r="J13" s="41">
        <v>3953</v>
      </c>
      <c r="K13" s="46">
        <v>27648.18</v>
      </c>
      <c r="L13" s="70">
        <v>29600</v>
      </c>
      <c r="M13" s="69" t="s">
        <v>362</v>
      </c>
      <c r="N13" s="68" t="s">
        <v>453</v>
      </c>
      <c r="O13" s="67">
        <v>-0.17</v>
      </c>
      <c r="P13" s="41">
        <v>7715534</v>
      </c>
      <c r="Q13" s="42">
        <v>7.06</v>
      </c>
      <c r="R13" s="41">
        <v>-197650</v>
      </c>
      <c r="S13" s="41">
        <v>433026</v>
      </c>
      <c r="T13" s="40" t="s">
        <v>269</v>
      </c>
      <c r="U13" s="39" t="s">
        <v>343</v>
      </c>
      <c r="V13" s="38" t="s">
        <v>342</v>
      </c>
      <c r="W13" s="38" t="s">
        <v>342</v>
      </c>
    </row>
    <row r="14" spans="1:23">
      <c r="A14" s="50" t="s">
        <v>541</v>
      </c>
      <c r="B14" s="50" t="s">
        <v>399</v>
      </c>
      <c r="C14" s="49" t="s">
        <v>625</v>
      </c>
      <c r="D14" s="57" t="s">
        <v>338</v>
      </c>
      <c r="E14" s="50" t="s">
        <v>303</v>
      </c>
      <c r="F14" s="49" t="s">
        <v>304</v>
      </c>
      <c r="G14" s="52">
        <v>0.48</v>
      </c>
      <c r="H14" s="52">
        <v>0.66</v>
      </c>
      <c r="I14" s="51">
        <v>28813235</v>
      </c>
      <c r="J14" s="51">
        <v>19646</v>
      </c>
      <c r="K14" s="56">
        <v>1466.62</v>
      </c>
      <c r="L14" s="62">
        <v>1365</v>
      </c>
      <c r="M14" s="61" t="s">
        <v>362</v>
      </c>
      <c r="N14" s="60" t="s">
        <v>527</v>
      </c>
      <c r="O14" s="59">
        <v>-1.44</v>
      </c>
      <c r="P14" s="51">
        <v>-1996445</v>
      </c>
      <c r="Q14" s="52">
        <v>-6.93</v>
      </c>
      <c r="R14" s="51">
        <v>-392920</v>
      </c>
      <c r="S14" s="51">
        <v>17920</v>
      </c>
      <c r="T14" s="50" t="s">
        <v>269</v>
      </c>
      <c r="U14" s="49" t="s">
        <v>343</v>
      </c>
      <c r="V14" s="48" t="s">
        <v>342</v>
      </c>
      <c r="W14" s="48" t="s">
        <v>342</v>
      </c>
    </row>
    <row r="15" spans="1:23">
      <c r="A15" s="40" t="s">
        <v>539</v>
      </c>
      <c r="B15" s="40" t="s">
        <v>399</v>
      </c>
      <c r="C15" s="39" t="s">
        <v>625</v>
      </c>
      <c r="D15" s="47" t="s">
        <v>338</v>
      </c>
      <c r="E15" s="40" t="s">
        <v>24</v>
      </c>
      <c r="F15" s="39" t="s">
        <v>25</v>
      </c>
      <c r="G15" s="42">
        <v>2.0099999999999998</v>
      </c>
      <c r="H15" s="42">
        <v>2.78</v>
      </c>
      <c r="I15" s="41">
        <v>106953180</v>
      </c>
      <c r="J15" s="41">
        <v>1667</v>
      </c>
      <c r="K15" s="46">
        <v>64159.08</v>
      </c>
      <c r="L15" s="66">
        <v>67000</v>
      </c>
      <c r="M15" s="65" t="s">
        <v>367</v>
      </c>
      <c r="N15" s="64" t="s">
        <v>540</v>
      </c>
      <c r="O15" s="63">
        <v>1.36</v>
      </c>
      <c r="P15" s="41">
        <v>4735820</v>
      </c>
      <c r="Q15" s="42">
        <v>4.43</v>
      </c>
      <c r="R15" s="41">
        <v>1250400</v>
      </c>
      <c r="S15" s="41">
        <v>385740</v>
      </c>
      <c r="T15" s="40" t="s">
        <v>269</v>
      </c>
      <c r="U15" s="39" t="s">
        <v>343</v>
      </c>
      <c r="V15" s="38" t="s">
        <v>342</v>
      </c>
      <c r="W15" s="38" t="s">
        <v>342</v>
      </c>
    </row>
    <row r="16" spans="1:23">
      <c r="A16" s="50" t="s">
        <v>538</v>
      </c>
      <c r="B16" s="50" t="s">
        <v>399</v>
      </c>
      <c r="C16" s="49" t="s">
        <v>625</v>
      </c>
      <c r="D16" s="57" t="s">
        <v>338</v>
      </c>
      <c r="E16" s="50" t="s">
        <v>28</v>
      </c>
      <c r="F16" s="49" t="s">
        <v>29</v>
      </c>
      <c r="G16" s="52">
        <v>1.32</v>
      </c>
      <c r="H16" s="52">
        <v>1.83</v>
      </c>
      <c r="I16" s="51">
        <v>66542011</v>
      </c>
      <c r="J16" s="51">
        <v>1282</v>
      </c>
      <c r="K16" s="56">
        <v>51904.84</v>
      </c>
      <c r="L16" s="62">
        <v>57400</v>
      </c>
      <c r="M16" s="61" t="s">
        <v>362</v>
      </c>
      <c r="N16" s="60" t="s">
        <v>355</v>
      </c>
      <c r="O16" s="59">
        <v>-0.17</v>
      </c>
      <c r="P16" s="51">
        <v>7044789</v>
      </c>
      <c r="Q16" s="52">
        <v>10.59</v>
      </c>
      <c r="R16" s="51">
        <v>-128200</v>
      </c>
      <c r="S16" s="51">
        <v>198392</v>
      </c>
      <c r="T16" s="50" t="s">
        <v>269</v>
      </c>
      <c r="U16" s="49" t="s">
        <v>343</v>
      </c>
      <c r="V16" s="48" t="s">
        <v>342</v>
      </c>
      <c r="W16" s="48" t="s">
        <v>342</v>
      </c>
    </row>
    <row r="17" spans="1:23">
      <c r="A17" s="40" t="s">
        <v>537</v>
      </c>
      <c r="B17" s="40" t="s">
        <v>399</v>
      </c>
      <c r="C17" s="39" t="s">
        <v>625</v>
      </c>
      <c r="D17" s="47" t="s">
        <v>338</v>
      </c>
      <c r="E17" s="40" t="s">
        <v>30</v>
      </c>
      <c r="F17" s="39" t="s">
        <v>31</v>
      </c>
      <c r="G17" s="42">
        <v>0.95</v>
      </c>
      <c r="H17" s="42">
        <v>1.32</v>
      </c>
      <c r="I17" s="41">
        <v>56198854</v>
      </c>
      <c r="J17" s="41">
        <v>108</v>
      </c>
      <c r="K17" s="46">
        <v>520359.76</v>
      </c>
      <c r="L17" s="66">
        <v>490000</v>
      </c>
      <c r="M17" s="65" t="s">
        <v>367</v>
      </c>
      <c r="N17" s="64" t="s">
        <v>451</v>
      </c>
      <c r="O17" s="63">
        <v>0.82</v>
      </c>
      <c r="P17" s="41">
        <v>-3278854</v>
      </c>
      <c r="Q17" s="42">
        <v>-5.83</v>
      </c>
      <c r="R17" s="41">
        <v>432000</v>
      </c>
      <c r="S17" s="41">
        <v>1044552</v>
      </c>
      <c r="T17" s="40" t="s">
        <v>269</v>
      </c>
      <c r="U17" s="39" t="s">
        <v>343</v>
      </c>
      <c r="V17" s="38" t="s">
        <v>342</v>
      </c>
      <c r="W17" s="38" t="s">
        <v>342</v>
      </c>
    </row>
    <row r="18" spans="1:23">
      <c r="A18" s="50" t="s">
        <v>534</v>
      </c>
      <c r="B18" s="50" t="s">
        <v>399</v>
      </c>
      <c r="C18" s="49" t="s">
        <v>625</v>
      </c>
      <c r="D18" s="57" t="s">
        <v>338</v>
      </c>
      <c r="E18" s="50" t="s">
        <v>536</v>
      </c>
      <c r="F18" s="49" t="s">
        <v>535</v>
      </c>
      <c r="G18" s="52">
        <v>1.1299999999999999</v>
      </c>
      <c r="H18" s="52">
        <v>1.56</v>
      </c>
      <c r="I18" s="51">
        <v>69004540</v>
      </c>
      <c r="J18" s="51">
        <v>1165</v>
      </c>
      <c r="K18" s="56">
        <v>59231.360000000001</v>
      </c>
      <c r="L18" s="76">
        <v>53900</v>
      </c>
      <c r="M18" s="75" t="s">
        <v>367</v>
      </c>
      <c r="N18" s="74" t="s">
        <v>371</v>
      </c>
      <c r="O18" s="73">
        <v>0.56000000000000005</v>
      </c>
      <c r="P18" s="51">
        <v>-6211040</v>
      </c>
      <c r="Q18" s="52">
        <v>-9</v>
      </c>
      <c r="R18" s="51">
        <v>349500</v>
      </c>
      <c r="S18" s="51">
        <v>581004</v>
      </c>
      <c r="T18" s="50" t="s">
        <v>269</v>
      </c>
      <c r="U18" s="49" t="s">
        <v>343</v>
      </c>
      <c r="V18" s="48" t="s">
        <v>342</v>
      </c>
      <c r="W18" s="48" t="s">
        <v>342</v>
      </c>
    </row>
    <row r="19" spans="1:23">
      <c r="A19" s="40" t="s">
        <v>531</v>
      </c>
      <c r="B19" s="40" t="s">
        <v>399</v>
      </c>
      <c r="C19" s="39" t="s">
        <v>625</v>
      </c>
      <c r="D19" s="47" t="s">
        <v>338</v>
      </c>
      <c r="E19" s="40" t="s">
        <v>533</v>
      </c>
      <c r="F19" s="39" t="s">
        <v>532</v>
      </c>
      <c r="G19" s="42">
        <v>1.55</v>
      </c>
      <c r="H19" s="42">
        <v>2.15</v>
      </c>
      <c r="I19" s="41">
        <v>86283874</v>
      </c>
      <c r="J19" s="41">
        <v>334</v>
      </c>
      <c r="K19" s="46">
        <v>258334.95</v>
      </c>
      <c r="L19" s="66">
        <v>258500</v>
      </c>
      <c r="M19" s="65" t="s">
        <v>367</v>
      </c>
      <c r="N19" s="64" t="s">
        <v>437</v>
      </c>
      <c r="O19" s="63">
        <v>1.97</v>
      </c>
      <c r="P19" s="41">
        <v>55126</v>
      </c>
      <c r="Q19" s="42">
        <v>0.06</v>
      </c>
      <c r="R19" s="41">
        <v>1670000</v>
      </c>
      <c r="S19" s="41">
        <v>374322</v>
      </c>
      <c r="T19" s="40" t="s">
        <v>269</v>
      </c>
      <c r="U19" s="39" t="s">
        <v>343</v>
      </c>
      <c r="V19" s="38" t="s">
        <v>342</v>
      </c>
      <c r="W19" s="38" t="s">
        <v>342</v>
      </c>
    </row>
    <row r="20" spans="1:23">
      <c r="A20" s="50" t="s">
        <v>530</v>
      </c>
      <c r="B20" s="50" t="s">
        <v>399</v>
      </c>
      <c r="C20" s="49" t="s">
        <v>625</v>
      </c>
      <c r="D20" s="57" t="s">
        <v>338</v>
      </c>
      <c r="E20" s="50" t="s">
        <v>272</v>
      </c>
      <c r="F20" s="49" t="s">
        <v>273</v>
      </c>
      <c r="G20" s="52">
        <v>1.02</v>
      </c>
      <c r="H20" s="52">
        <v>1.41</v>
      </c>
      <c r="I20" s="51">
        <v>49236866</v>
      </c>
      <c r="J20" s="51">
        <v>1001</v>
      </c>
      <c r="K20" s="56">
        <v>49187.68</v>
      </c>
      <c r="L20" s="62">
        <v>56700</v>
      </c>
      <c r="M20" s="61" t="s">
        <v>362</v>
      </c>
      <c r="N20" s="60" t="s">
        <v>528</v>
      </c>
      <c r="O20" s="59">
        <v>-2.74</v>
      </c>
      <c r="P20" s="51">
        <v>7519834</v>
      </c>
      <c r="Q20" s="52">
        <v>15.27</v>
      </c>
      <c r="R20" s="51">
        <v>-1601600</v>
      </c>
      <c r="S20" s="51">
        <v>88398</v>
      </c>
      <c r="T20" s="50" t="s">
        <v>269</v>
      </c>
      <c r="U20" s="49" t="s">
        <v>343</v>
      </c>
      <c r="V20" s="48" t="s">
        <v>342</v>
      </c>
      <c r="W20" s="48" t="s">
        <v>342</v>
      </c>
    </row>
    <row r="21" spans="1:23">
      <c r="A21" s="40" t="s">
        <v>529</v>
      </c>
      <c r="B21" s="40" t="s">
        <v>399</v>
      </c>
      <c r="C21" s="39" t="s">
        <v>625</v>
      </c>
      <c r="D21" s="47" t="s">
        <v>338</v>
      </c>
      <c r="E21" s="40" t="s">
        <v>36</v>
      </c>
      <c r="F21" s="39" t="s">
        <v>37</v>
      </c>
      <c r="G21" s="42">
        <v>0.96</v>
      </c>
      <c r="H21" s="42">
        <v>1.33</v>
      </c>
      <c r="I21" s="41">
        <v>69967264</v>
      </c>
      <c r="J21" s="41">
        <v>587</v>
      </c>
      <c r="K21" s="46">
        <v>119194.66</v>
      </c>
      <c r="L21" s="70">
        <v>90900</v>
      </c>
      <c r="M21" s="69" t="s">
        <v>362</v>
      </c>
      <c r="N21" s="68" t="s">
        <v>391</v>
      </c>
      <c r="O21" s="67">
        <v>-0.87</v>
      </c>
      <c r="P21" s="41">
        <v>-16608964</v>
      </c>
      <c r="Q21" s="42">
        <v>-23.74</v>
      </c>
      <c r="R21" s="41">
        <v>-469600</v>
      </c>
      <c r="S21" s="41">
        <v>92698</v>
      </c>
      <c r="T21" s="40" t="s">
        <v>269</v>
      </c>
      <c r="U21" s="39" t="s">
        <v>343</v>
      </c>
      <c r="V21" s="38" t="s">
        <v>342</v>
      </c>
      <c r="W21" s="38" t="s">
        <v>342</v>
      </c>
    </row>
    <row r="22" spans="1:23">
      <c r="A22" s="50" t="s">
        <v>527</v>
      </c>
      <c r="B22" s="50" t="s">
        <v>399</v>
      </c>
      <c r="C22" s="49" t="s">
        <v>625</v>
      </c>
      <c r="D22" s="57" t="s">
        <v>338</v>
      </c>
      <c r="E22" s="50" t="s">
        <v>258</v>
      </c>
      <c r="F22" s="49" t="s">
        <v>259</v>
      </c>
      <c r="G22" s="52">
        <v>3.23</v>
      </c>
      <c r="H22" s="52">
        <v>4.4800000000000004</v>
      </c>
      <c r="I22" s="51">
        <v>159230034</v>
      </c>
      <c r="J22" s="51">
        <v>2550</v>
      </c>
      <c r="K22" s="56">
        <v>62443.15</v>
      </c>
      <c r="L22" s="76">
        <v>70500</v>
      </c>
      <c r="M22" s="75" t="s">
        <v>367</v>
      </c>
      <c r="N22" s="74" t="s">
        <v>528</v>
      </c>
      <c r="O22" s="73">
        <v>2.3199999999999998</v>
      </c>
      <c r="P22" s="51">
        <v>20544966</v>
      </c>
      <c r="Q22" s="52">
        <v>12.9</v>
      </c>
      <c r="R22" s="51">
        <v>4080000</v>
      </c>
      <c r="S22" s="51">
        <v>214502</v>
      </c>
      <c r="T22" s="50" t="s">
        <v>269</v>
      </c>
      <c r="U22" s="49" t="s">
        <v>343</v>
      </c>
      <c r="V22" s="48" t="s">
        <v>342</v>
      </c>
      <c r="W22" s="48" t="s">
        <v>342</v>
      </c>
    </row>
    <row r="23" spans="1:23">
      <c r="A23" s="40" t="s">
        <v>526</v>
      </c>
      <c r="B23" s="40" t="s">
        <v>399</v>
      </c>
      <c r="C23" s="39" t="s">
        <v>625</v>
      </c>
      <c r="D23" s="47" t="s">
        <v>338</v>
      </c>
      <c r="E23" s="40" t="s">
        <v>328</v>
      </c>
      <c r="F23" s="39" t="s">
        <v>329</v>
      </c>
      <c r="G23" s="42">
        <v>1.41</v>
      </c>
      <c r="H23" s="42">
        <v>1.96</v>
      </c>
      <c r="I23" s="41">
        <v>79883880</v>
      </c>
      <c r="J23" s="41">
        <v>14067</v>
      </c>
      <c r="K23" s="46">
        <v>5678.81</v>
      </c>
      <c r="L23" s="70">
        <v>5590</v>
      </c>
      <c r="M23" s="69" t="s">
        <v>362</v>
      </c>
      <c r="N23" s="68" t="s">
        <v>355</v>
      </c>
      <c r="O23" s="67">
        <v>-1.76</v>
      </c>
      <c r="P23" s="41">
        <v>-1249350</v>
      </c>
      <c r="Q23" s="42">
        <v>-1.56</v>
      </c>
      <c r="R23" s="41">
        <v>-1406700</v>
      </c>
      <c r="S23" s="41">
        <v>43320</v>
      </c>
      <c r="T23" s="40" t="s">
        <v>269</v>
      </c>
      <c r="U23" s="39" t="s">
        <v>343</v>
      </c>
      <c r="V23" s="38" t="s">
        <v>342</v>
      </c>
      <c r="W23" s="38" t="s">
        <v>342</v>
      </c>
    </row>
    <row r="24" spans="1:23">
      <c r="A24" s="50" t="s">
        <v>523</v>
      </c>
      <c r="B24" s="50" t="s">
        <v>399</v>
      </c>
      <c r="C24" s="49" t="s">
        <v>625</v>
      </c>
      <c r="D24" s="57" t="s">
        <v>338</v>
      </c>
      <c r="E24" s="50" t="s">
        <v>525</v>
      </c>
      <c r="F24" s="49" t="s">
        <v>524</v>
      </c>
      <c r="G24" s="52">
        <v>1</v>
      </c>
      <c r="H24" s="52">
        <v>1.38</v>
      </c>
      <c r="I24" s="51">
        <v>56699390</v>
      </c>
      <c r="J24" s="51">
        <v>1461</v>
      </c>
      <c r="K24" s="56">
        <v>38808.620000000003</v>
      </c>
      <c r="L24" s="62">
        <v>38050</v>
      </c>
      <c r="M24" s="61" t="s">
        <v>362</v>
      </c>
      <c r="N24" s="60" t="s">
        <v>414</v>
      </c>
      <c r="O24" s="59">
        <v>-0.52</v>
      </c>
      <c r="P24" s="51">
        <v>-1108340</v>
      </c>
      <c r="Q24" s="52">
        <v>-1.95</v>
      </c>
      <c r="R24" s="51">
        <v>-292200</v>
      </c>
      <c r="S24" s="51">
        <v>414878</v>
      </c>
      <c r="T24" s="50" t="s">
        <v>269</v>
      </c>
      <c r="U24" s="49" t="s">
        <v>343</v>
      </c>
      <c r="V24" s="48" t="s">
        <v>342</v>
      </c>
      <c r="W24" s="48" t="s">
        <v>342</v>
      </c>
    </row>
    <row r="25" spans="1:23">
      <c r="A25" s="40" t="s">
        <v>520</v>
      </c>
      <c r="B25" s="40" t="s">
        <v>399</v>
      </c>
      <c r="C25" s="39" t="s">
        <v>625</v>
      </c>
      <c r="D25" s="47" t="s">
        <v>338</v>
      </c>
      <c r="E25" s="40" t="s">
        <v>522</v>
      </c>
      <c r="F25" s="39" t="s">
        <v>521</v>
      </c>
      <c r="G25" s="42">
        <v>2.27</v>
      </c>
      <c r="H25" s="42">
        <v>3.16</v>
      </c>
      <c r="I25" s="41">
        <v>120100560</v>
      </c>
      <c r="J25" s="41">
        <v>10867</v>
      </c>
      <c r="K25" s="46">
        <v>11051.86</v>
      </c>
      <c r="L25" s="70">
        <v>11650</v>
      </c>
      <c r="M25" s="69" t="s">
        <v>362</v>
      </c>
      <c r="N25" s="68" t="s">
        <v>355</v>
      </c>
      <c r="O25" s="67">
        <v>-0.85</v>
      </c>
      <c r="P25" s="41">
        <v>6499990</v>
      </c>
      <c r="Q25" s="42">
        <v>5.41</v>
      </c>
      <c r="R25" s="41">
        <v>-1086700</v>
      </c>
      <c r="S25" s="41">
        <v>119960</v>
      </c>
      <c r="T25" s="40" t="s">
        <v>269</v>
      </c>
      <c r="U25" s="39" t="s">
        <v>343</v>
      </c>
      <c r="V25" s="38" t="s">
        <v>342</v>
      </c>
      <c r="W25" s="38" t="s">
        <v>342</v>
      </c>
    </row>
    <row r="26" spans="1:23">
      <c r="A26" s="50" t="s">
        <v>516</v>
      </c>
      <c r="B26" s="50" t="s">
        <v>399</v>
      </c>
      <c r="C26" s="49" t="s">
        <v>625</v>
      </c>
      <c r="D26" s="57" t="s">
        <v>338</v>
      </c>
      <c r="E26" s="50" t="s">
        <v>519</v>
      </c>
      <c r="F26" s="49" t="s">
        <v>518</v>
      </c>
      <c r="G26" s="52">
        <v>1.21</v>
      </c>
      <c r="H26" s="52">
        <v>1.68</v>
      </c>
      <c r="I26" s="51">
        <v>68078410</v>
      </c>
      <c r="J26" s="51">
        <v>888</v>
      </c>
      <c r="K26" s="56">
        <v>76664.88</v>
      </c>
      <c r="L26" s="76">
        <v>76200</v>
      </c>
      <c r="M26" s="75" t="s">
        <v>367</v>
      </c>
      <c r="N26" s="74" t="s">
        <v>517</v>
      </c>
      <c r="O26" s="73">
        <v>5.39</v>
      </c>
      <c r="P26" s="51">
        <v>-412810</v>
      </c>
      <c r="Q26" s="52">
        <v>-0.61</v>
      </c>
      <c r="R26" s="51">
        <v>3463200</v>
      </c>
      <c r="S26" s="51">
        <v>47510</v>
      </c>
      <c r="T26" s="50" t="s">
        <v>269</v>
      </c>
      <c r="U26" s="49" t="s">
        <v>343</v>
      </c>
      <c r="V26" s="48" t="s">
        <v>342</v>
      </c>
      <c r="W26" s="48" t="s">
        <v>342</v>
      </c>
    </row>
    <row r="27" spans="1:23">
      <c r="A27" s="40" t="s">
        <v>512</v>
      </c>
      <c r="B27" s="40" t="s">
        <v>399</v>
      </c>
      <c r="C27" s="39" t="s">
        <v>625</v>
      </c>
      <c r="D27" s="47" t="s">
        <v>338</v>
      </c>
      <c r="E27" s="40" t="s">
        <v>515</v>
      </c>
      <c r="F27" s="39" t="s">
        <v>514</v>
      </c>
      <c r="G27" s="42">
        <v>1.43</v>
      </c>
      <c r="H27" s="42">
        <v>1.98</v>
      </c>
      <c r="I27" s="41">
        <v>81344570</v>
      </c>
      <c r="J27" s="41">
        <v>506</v>
      </c>
      <c r="K27" s="46">
        <v>160760.01999999999</v>
      </c>
      <c r="L27" s="66">
        <v>157000</v>
      </c>
      <c r="M27" s="65" t="s">
        <v>367</v>
      </c>
      <c r="N27" s="64" t="s">
        <v>513</v>
      </c>
      <c r="O27" s="63">
        <v>4.67</v>
      </c>
      <c r="P27" s="41">
        <v>-1902570</v>
      </c>
      <c r="Q27" s="42">
        <v>-2.34</v>
      </c>
      <c r="R27" s="41">
        <v>3542000</v>
      </c>
      <c r="S27" s="41">
        <v>77570</v>
      </c>
      <c r="T27" s="40" t="s">
        <v>269</v>
      </c>
      <c r="U27" s="39" t="s">
        <v>343</v>
      </c>
      <c r="V27" s="38" t="s">
        <v>342</v>
      </c>
      <c r="W27" s="38" t="s">
        <v>342</v>
      </c>
    </row>
    <row r="28" spans="1:23">
      <c r="A28" s="50" t="s">
        <v>511</v>
      </c>
      <c r="B28" s="50" t="s">
        <v>399</v>
      </c>
      <c r="C28" s="49" t="s">
        <v>625</v>
      </c>
      <c r="D28" s="57" t="s">
        <v>338</v>
      </c>
      <c r="E28" s="50" t="s">
        <v>48</v>
      </c>
      <c r="F28" s="49" t="s">
        <v>49</v>
      </c>
      <c r="G28" s="52">
        <v>2.52</v>
      </c>
      <c r="H28" s="52">
        <v>3.5</v>
      </c>
      <c r="I28" s="51">
        <v>135615640</v>
      </c>
      <c r="J28" s="51">
        <v>4596</v>
      </c>
      <c r="K28" s="56">
        <v>29507.32</v>
      </c>
      <c r="L28" s="62">
        <v>30500</v>
      </c>
      <c r="M28" s="61" t="s">
        <v>362</v>
      </c>
      <c r="N28" s="60" t="s">
        <v>371</v>
      </c>
      <c r="O28" s="59">
        <v>-0.97</v>
      </c>
      <c r="P28" s="51">
        <v>4562360</v>
      </c>
      <c r="Q28" s="52">
        <v>3.36</v>
      </c>
      <c r="R28" s="51">
        <v>-1378800</v>
      </c>
      <c r="S28" s="51">
        <v>598302</v>
      </c>
      <c r="T28" s="50" t="s">
        <v>269</v>
      </c>
      <c r="U28" s="49" t="s">
        <v>343</v>
      </c>
      <c r="V28" s="48" t="s">
        <v>342</v>
      </c>
      <c r="W28" s="48" t="s">
        <v>342</v>
      </c>
    </row>
    <row r="29" spans="1:23">
      <c r="A29" s="40" t="s">
        <v>510</v>
      </c>
      <c r="B29" s="40" t="s">
        <v>399</v>
      </c>
      <c r="C29" s="39" t="s">
        <v>625</v>
      </c>
      <c r="D29" s="47" t="s">
        <v>338</v>
      </c>
      <c r="E29" s="40" t="s">
        <v>52</v>
      </c>
      <c r="F29" s="39" t="s">
        <v>53</v>
      </c>
      <c r="G29" s="42">
        <v>2.02</v>
      </c>
      <c r="H29" s="42">
        <v>2.81</v>
      </c>
      <c r="I29" s="41">
        <v>115939696</v>
      </c>
      <c r="J29" s="41">
        <v>529</v>
      </c>
      <c r="K29" s="46">
        <v>219167.67</v>
      </c>
      <c r="L29" s="70">
        <v>213000</v>
      </c>
      <c r="M29" s="69" t="s">
        <v>362</v>
      </c>
      <c r="N29" s="68" t="s">
        <v>384</v>
      </c>
      <c r="O29" s="67">
        <v>-0.47</v>
      </c>
      <c r="P29" s="41">
        <v>-3262696</v>
      </c>
      <c r="Q29" s="42">
        <v>-2.81</v>
      </c>
      <c r="R29" s="41">
        <v>-529000</v>
      </c>
      <c r="S29" s="41">
        <v>561852</v>
      </c>
      <c r="T29" s="40" t="s">
        <v>269</v>
      </c>
      <c r="U29" s="39" t="s">
        <v>343</v>
      </c>
      <c r="V29" s="38" t="s">
        <v>342</v>
      </c>
      <c r="W29" s="38" t="s">
        <v>342</v>
      </c>
    </row>
    <row r="30" spans="1:23">
      <c r="A30" s="50" t="s">
        <v>507</v>
      </c>
      <c r="B30" s="50" t="s">
        <v>399</v>
      </c>
      <c r="C30" s="49" t="s">
        <v>625</v>
      </c>
      <c r="D30" s="57" t="s">
        <v>338</v>
      </c>
      <c r="E30" s="50" t="s">
        <v>248</v>
      </c>
      <c r="F30" s="49" t="s">
        <v>249</v>
      </c>
      <c r="G30" s="52">
        <v>0.37</v>
      </c>
      <c r="H30" s="52">
        <v>0.52</v>
      </c>
      <c r="I30" s="51">
        <v>23655523</v>
      </c>
      <c r="J30" s="51">
        <v>685</v>
      </c>
      <c r="K30" s="56">
        <v>34533.61</v>
      </c>
      <c r="L30" s="76">
        <v>30500</v>
      </c>
      <c r="M30" s="75" t="s">
        <v>367</v>
      </c>
      <c r="N30" s="74" t="s">
        <v>453</v>
      </c>
      <c r="O30" s="73">
        <v>0.16</v>
      </c>
      <c r="P30" s="51">
        <v>-2763023</v>
      </c>
      <c r="Q30" s="52">
        <v>-11.68</v>
      </c>
      <c r="R30" s="51">
        <v>34250</v>
      </c>
      <c r="S30" s="51">
        <v>78230</v>
      </c>
      <c r="T30" s="50" t="s">
        <v>269</v>
      </c>
      <c r="U30" s="49" t="s">
        <v>343</v>
      </c>
      <c r="V30" s="48" t="s">
        <v>342</v>
      </c>
      <c r="W30" s="48" t="s">
        <v>342</v>
      </c>
    </row>
    <row r="31" spans="1:23">
      <c r="A31" s="40" t="s">
        <v>504</v>
      </c>
      <c r="B31" s="40" t="s">
        <v>399</v>
      </c>
      <c r="C31" s="39" t="s">
        <v>625</v>
      </c>
      <c r="D31" s="47" t="s">
        <v>338</v>
      </c>
      <c r="E31" s="40" t="s">
        <v>509</v>
      </c>
      <c r="F31" s="39" t="s">
        <v>508</v>
      </c>
      <c r="G31" s="42">
        <v>0.51</v>
      </c>
      <c r="H31" s="42">
        <v>0.72</v>
      </c>
      <c r="I31" s="41">
        <v>28278950</v>
      </c>
      <c r="J31" s="41">
        <v>379</v>
      </c>
      <c r="K31" s="46">
        <v>74614.64</v>
      </c>
      <c r="L31" s="70">
        <v>76100</v>
      </c>
      <c r="M31" s="69" t="s">
        <v>362</v>
      </c>
      <c r="N31" s="68" t="s">
        <v>355</v>
      </c>
      <c r="O31" s="67">
        <v>-0.13</v>
      </c>
      <c r="P31" s="41">
        <v>562950</v>
      </c>
      <c r="Q31" s="42">
        <v>1.99</v>
      </c>
      <c r="R31" s="41">
        <v>-37900</v>
      </c>
      <c r="S31" s="41">
        <v>28250</v>
      </c>
      <c r="T31" s="40" t="s">
        <v>269</v>
      </c>
      <c r="U31" s="39" t="s">
        <v>343</v>
      </c>
      <c r="V31" s="38" t="s">
        <v>342</v>
      </c>
      <c r="W31" s="38" t="s">
        <v>342</v>
      </c>
    </row>
    <row r="32" spans="1:23">
      <c r="A32" s="50" t="s">
        <v>501</v>
      </c>
      <c r="B32" s="50" t="s">
        <v>399</v>
      </c>
      <c r="C32" s="49" t="s">
        <v>625</v>
      </c>
      <c r="D32" s="57" t="s">
        <v>338</v>
      </c>
      <c r="E32" s="50" t="s">
        <v>506</v>
      </c>
      <c r="F32" s="49" t="s">
        <v>505</v>
      </c>
      <c r="G32" s="52">
        <v>0.94</v>
      </c>
      <c r="H32" s="52">
        <v>1.3</v>
      </c>
      <c r="I32" s="51">
        <v>63483225</v>
      </c>
      <c r="J32" s="51">
        <v>1580</v>
      </c>
      <c r="K32" s="56">
        <v>40179.26</v>
      </c>
      <c r="L32" s="62">
        <v>33150</v>
      </c>
      <c r="M32" s="61" t="s">
        <v>362</v>
      </c>
      <c r="N32" s="60" t="s">
        <v>423</v>
      </c>
      <c r="O32" s="59">
        <v>-1.78</v>
      </c>
      <c r="P32" s="51">
        <v>-11106225</v>
      </c>
      <c r="Q32" s="52">
        <v>-17.489999999999998</v>
      </c>
      <c r="R32" s="51">
        <v>-948000</v>
      </c>
      <c r="S32" s="51">
        <v>162484</v>
      </c>
      <c r="T32" s="50" t="s">
        <v>269</v>
      </c>
      <c r="U32" s="49" t="s">
        <v>343</v>
      </c>
      <c r="V32" s="48" t="s">
        <v>342</v>
      </c>
      <c r="W32" s="48" t="s">
        <v>342</v>
      </c>
    </row>
    <row r="33" spans="1:23">
      <c r="A33" s="40" t="s">
        <v>500</v>
      </c>
      <c r="B33" s="40" t="s">
        <v>399</v>
      </c>
      <c r="C33" s="39" t="s">
        <v>625</v>
      </c>
      <c r="D33" s="47" t="s">
        <v>338</v>
      </c>
      <c r="E33" s="40" t="s">
        <v>503</v>
      </c>
      <c r="F33" s="39" t="s">
        <v>502</v>
      </c>
      <c r="G33" s="42">
        <v>0.51</v>
      </c>
      <c r="H33" s="42">
        <v>0.71</v>
      </c>
      <c r="I33" s="41">
        <v>28464410</v>
      </c>
      <c r="J33" s="41">
        <v>159</v>
      </c>
      <c r="K33" s="46">
        <v>179021.45</v>
      </c>
      <c r="L33" s="70">
        <v>180000</v>
      </c>
      <c r="M33" s="69" t="s">
        <v>362</v>
      </c>
      <c r="N33" s="68" t="s">
        <v>451</v>
      </c>
      <c r="O33" s="67">
        <v>-2.17</v>
      </c>
      <c r="P33" s="41">
        <v>155590</v>
      </c>
      <c r="Q33" s="42">
        <v>0.55000000000000004</v>
      </c>
      <c r="R33" s="41">
        <v>-636000</v>
      </c>
      <c r="S33" s="41">
        <v>19910</v>
      </c>
      <c r="T33" s="40" t="s">
        <v>269</v>
      </c>
      <c r="U33" s="39" t="s">
        <v>343</v>
      </c>
      <c r="V33" s="38" t="s">
        <v>342</v>
      </c>
      <c r="W33" s="38" t="s">
        <v>342</v>
      </c>
    </row>
    <row r="34" spans="1:23">
      <c r="A34" s="50" t="s">
        <v>499</v>
      </c>
      <c r="B34" s="50" t="s">
        <v>399</v>
      </c>
      <c r="C34" s="49" t="s">
        <v>625</v>
      </c>
      <c r="D34" s="57" t="s">
        <v>338</v>
      </c>
      <c r="E34" s="50" t="s">
        <v>76</v>
      </c>
      <c r="F34" s="49" t="s">
        <v>77</v>
      </c>
      <c r="G34" s="52">
        <v>1.62</v>
      </c>
      <c r="H34" s="52">
        <v>2.25</v>
      </c>
      <c r="I34" s="51">
        <v>84565600</v>
      </c>
      <c r="J34" s="51">
        <v>3168</v>
      </c>
      <c r="K34" s="56">
        <v>26693.69</v>
      </c>
      <c r="L34" s="62">
        <v>28500</v>
      </c>
      <c r="M34" s="61" t="s">
        <v>362</v>
      </c>
      <c r="N34" s="60" t="s">
        <v>428</v>
      </c>
      <c r="O34" s="59">
        <v>-1.72</v>
      </c>
      <c r="P34" s="51">
        <v>5722400</v>
      </c>
      <c r="Q34" s="52">
        <v>6.77</v>
      </c>
      <c r="R34" s="51">
        <v>-1584000</v>
      </c>
      <c r="S34" s="51">
        <v>339956</v>
      </c>
      <c r="T34" s="50" t="s">
        <v>269</v>
      </c>
      <c r="U34" s="49" t="s">
        <v>343</v>
      </c>
      <c r="V34" s="48" t="s">
        <v>342</v>
      </c>
      <c r="W34" s="48" t="s">
        <v>342</v>
      </c>
    </row>
    <row r="35" spans="1:23">
      <c r="A35" s="40" t="s">
        <v>495</v>
      </c>
      <c r="B35" s="40" t="s">
        <v>399</v>
      </c>
      <c r="C35" s="39" t="s">
        <v>625</v>
      </c>
      <c r="D35" s="47" t="s">
        <v>338</v>
      </c>
      <c r="E35" s="40" t="s">
        <v>78</v>
      </c>
      <c r="F35" s="39" t="s">
        <v>79</v>
      </c>
      <c r="G35" s="42">
        <v>0.49</v>
      </c>
      <c r="H35" s="42">
        <v>0.68</v>
      </c>
      <c r="I35" s="41">
        <v>27878700</v>
      </c>
      <c r="J35" s="41">
        <v>2950</v>
      </c>
      <c r="K35" s="46">
        <v>9450.41</v>
      </c>
      <c r="L35" s="41">
        <v>9260</v>
      </c>
      <c r="M35" s="45" t="s">
        <v>269</v>
      </c>
      <c r="N35" s="44" t="s">
        <v>342</v>
      </c>
      <c r="O35" s="43">
        <v>0</v>
      </c>
      <c r="P35" s="41">
        <v>-561700</v>
      </c>
      <c r="Q35" s="42">
        <v>-2.0099999999999998</v>
      </c>
      <c r="R35" s="41">
        <v>0</v>
      </c>
      <c r="S35" s="41">
        <v>19210</v>
      </c>
      <c r="T35" s="40" t="s">
        <v>269</v>
      </c>
      <c r="U35" s="39" t="s">
        <v>343</v>
      </c>
      <c r="V35" s="38" t="s">
        <v>342</v>
      </c>
      <c r="W35" s="38" t="s">
        <v>342</v>
      </c>
    </row>
    <row r="36" spans="1:23">
      <c r="A36" s="50" t="s">
        <v>492</v>
      </c>
      <c r="B36" s="50" t="s">
        <v>399</v>
      </c>
      <c r="C36" s="49" t="s">
        <v>625</v>
      </c>
      <c r="D36" s="57" t="s">
        <v>338</v>
      </c>
      <c r="E36" s="50" t="s">
        <v>498</v>
      </c>
      <c r="F36" s="49" t="s">
        <v>497</v>
      </c>
      <c r="G36" s="52">
        <v>0</v>
      </c>
      <c r="H36" s="52">
        <v>0</v>
      </c>
      <c r="I36" s="51">
        <v>3491120</v>
      </c>
      <c r="J36" s="51">
        <v>0</v>
      </c>
      <c r="K36" s="51">
        <v>0</v>
      </c>
      <c r="L36" s="62">
        <v>19850</v>
      </c>
      <c r="M36" s="61" t="s">
        <v>362</v>
      </c>
      <c r="N36" s="60" t="s">
        <v>496</v>
      </c>
      <c r="O36" s="59">
        <v>-4.57</v>
      </c>
      <c r="P36" s="51">
        <v>-3491120</v>
      </c>
      <c r="Q36" s="52">
        <v>-6.2</v>
      </c>
      <c r="R36" s="51">
        <v>-2113600</v>
      </c>
      <c r="S36" s="51">
        <v>56270</v>
      </c>
      <c r="T36" s="50" t="s">
        <v>269</v>
      </c>
      <c r="U36" s="49" t="s">
        <v>343</v>
      </c>
      <c r="V36" s="48" t="s">
        <v>342</v>
      </c>
      <c r="W36" s="48" t="s">
        <v>342</v>
      </c>
    </row>
    <row r="37" spans="1:23">
      <c r="A37" s="40" t="s">
        <v>491</v>
      </c>
      <c r="B37" s="40" t="s">
        <v>399</v>
      </c>
      <c r="C37" s="39" t="s">
        <v>625</v>
      </c>
      <c r="D37" s="47" t="s">
        <v>338</v>
      </c>
      <c r="E37" s="40" t="s">
        <v>494</v>
      </c>
      <c r="F37" s="39" t="s">
        <v>493</v>
      </c>
      <c r="G37" s="42">
        <v>2.42</v>
      </c>
      <c r="H37" s="42">
        <v>3.36</v>
      </c>
      <c r="I37" s="41">
        <v>139162706</v>
      </c>
      <c r="J37" s="41">
        <v>940</v>
      </c>
      <c r="K37" s="46">
        <v>148045.43</v>
      </c>
      <c r="L37" s="66">
        <v>143500</v>
      </c>
      <c r="M37" s="65" t="s">
        <v>367</v>
      </c>
      <c r="N37" s="64" t="s">
        <v>384</v>
      </c>
      <c r="O37" s="63">
        <v>0.7</v>
      </c>
      <c r="P37" s="41">
        <v>-4272706</v>
      </c>
      <c r="Q37" s="42">
        <v>-3.07</v>
      </c>
      <c r="R37" s="41">
        <v>940000</v>
      </c>
      <c r="S37" s="41">
        <v>600158</v>
      </c>
      <c r="T37" s="40" t="s">
        <v>269</v>
      </c>
      <c r="U37" s="39" t="s">
        <v>343</v>
      </c>
      <c r="V37" s="38" t="s">
        <v>342</v>
      </c>
      <c r="W37" s="38" t="s">
        <v>342</v>
      </c>
    </row>
    <row r="38" spans="1:23">
      <c r="A38" s="50" t="s">
        <v>490</v>
      </c>
      <c r="B38" s="50" t="s">
        <v>399</v>
      </c>
      <c r="C38" s="49" t="s">
        <v>625</v>
      </c>
      <c r="D38" s="57" t="s">
        <v>338</v>
      </c>
      <c r="E38" s="50" t="s">
        <v>265</v>
      </c>
      <c r="F38" s="49" t="s">
        <v>266</v>
      </c>
      <c r="G38" s="52">
        <v>2.5299999999999998</v>
      </c>
      <c r="H38" s="52">
        <v>3.52</v>
      </c>
      <c r="I38" s="51">
        <v>133303465</v>
      </c>
      <c r="J38" s="51">
        <v>33860</v>
      </c>
      <c r="K38" s="78">
        <v>3936.9</v>
      </c>
      <c r="L38" s="62">
        <v>4165</v>
      </c>
      <c r="M38" s="61" t="s">
        <v>362</v>
      </c>
      <c r="N38" s="60" t="s">
        <v>414</v>
      </c>
      <c r="O38" s="59">
        <v>-4.58</v>
      </c>
      <c r="P38" s="51">
        <v>7723435</v>
      </c>
      <c r="Q38" s="52">
        <v>5.79</v>
      </c>
      <c r="R38" s="51">
        <v>-6772000</v>
      </c>
      <c r="S38" s="51">
        <v>110880</v>
      </c>
      <c r="T38" s="50" t="s">
        <v>269</v>
      </c>
      <c r="U38" s="49" t="s">
        <v>343</v>
      </c>
      <c r="V38" s="48" t="s">
        <v>342</v>
      </c>
      <c r="W38" s="48" t="s">
        <v>342</v>
      </c>
    </row>
    <row r="39" spans="1:23">
      <c r="A39" s="40" t="s">
        <v>489</v>
      </c>
      <c r="B39" s="40" t="s">
        <v>399</v>
      </c>
      <c r="C39" s="39" t="s">
        <v>625</v>
      </c>
      <c r="D39" s="47" t="s">
        <v>338</v>
      </c>
      <c r="E39" s="40" t="s">
        <v>88</v>
      </c>
      <c r="F39" s="39" t="s">
        <v>89</v>
      </c>
      <c r="G39" s="42">
        <v>1.29</v>
      </c>
      <c r="H39" s="42">
        <v>1.79</v>
      </c>
      <c r="I39" s="41">
        <v>66532731</v>
      </c>
      <c r="J39" s="41">
        <v>2212</v>
      </c>
      <c r="K39" s="46">
        <v>30078.09</v>
      </c>
      <c r="L39" s="66">
        <v>32500</v>
      </c>
      <c r="M39" s="65" t="s">
        <v>367</v>
      </c>
      <c r="N39" s="64" t="s">
        <v>355</v>
      </c>
      <c r="O39" s="63">
        <v>0.31</v>
      </c>
      <c r="P39" s="41">
        <v>5357269</v>
      </c>
      <c r="Q39" s="42">
        <v>8.0500000000000007</v>
      </c>
      <c r="R39" s="41">
        <v>221200</v>
      </c>
      <c r="S39" s="41">
        <v>144450</v>
      </c>
      <c r="T39" s="40" t="s">
        <v>269</v>
      </c>
      <c r="U39" s="39" t="s">
        <v>343</v>
      </c>
      <c r="V39" s="38" t="s">
        <v>342</v>
      </c>
      <c r="W39" s="38" t="s">
        <v>342</v>
      </c>
    </row>
    <row r="40" spans="1:23">
      <c r="A40" s="50" t="s">
        <v>485</v>
      </c>
      <c r="B40" s="50" t="s">
        <v>399</v>
      </c>
      <c r="C40" s="49" t="s">
        <v>625</v>
      </c>
      <c r="D40" s="57" t="s">
        <v>338</v>
      </c>
      <c r="E40" s="50" t="s">
        <v>252</v>
      </c>
      <c r="F40" s="49" t="s">
        <v>253</v>
      </c>
      <c r="G40" s="52">
        <v>3.63</v>
      </c>
      <c r="H40" s="52">
        <v>5.04</v>
      </c>
      <c r="I40" s="51">
        <v>187006032</v>
      </c>
      <c r="J40" s="51">
        <v>5405</v>
      </c>
      <c r="K40" s="56">
        <v>34598.71</v>
      </c>
      <c r="L40" s="62">
        <v>37350</v>
      </c>
      <c r="M40" s="61" t="s">
        <v>362</v>
      </c>
      <c r="N40" s="60" t="s">
        <v>419</v>
      </c>
      <c r="O40" s="59">
        <v>-1.97</v>
      </c>
      <c r="P40" s="51">
        <v>14870718</v>
      </c>
      <c r="Q40" s="52">
        <v>7.95</v>
      </c>
      <c r="R40" s="51">
        <v>-4053750</v>
      </c>
      <c r="S40" s="51">
        <v>289018</v>
      </c>
      <c r="T40" s="50" t="s">
        <v>269</v>
      </c>
      <c r="U40" s="49" t="s">
        <v>343</v>
      </c>
      <c r="V40" s="48" t="s">
        <v>342</v>
      </c>
      <c r="W40" s="48" t="s">
        <v>342</v>
      </c>
    </row>
    <row r="41" spans="1:23">
      <c r="A41" s="40" t="s">
        <v>484</v>
      </c>
      <c r="B41" s="40" t="s">
        <v>399</v>
      </c>
      <c r="C41" s="39" t="s">
        <v>625</v>
      </c>
      <c r="D41" s="47" t="s">
        <v>338</v>
      </c>
      <c r="E41" s="40" t="s">
        <v>488</v>
      </c>
      <c r="F41" s="39" t="s">
        <v>487</v>
      </c>
      <c r="G41" s="42">
        <v>1.36</v>
      </c>
      <c r="H41" s="42">
        <v>1.88</v>
      </c>
      <c r="I41" s="41">
        <v>75120333</v>
      </c>
      <c r="J41" s="41">
        <v>2799</v>
      </c>
      <c r="K41" s="46">
        <v>26838.28</v>
      </c>
      <c r="L41" s="66">
        <v>27000</v>
      </c>
      <c r="M41" s="65" t="s">
        <v>367</v>
      </c>
      <c r="N41" s="64" t="s">
        <v>486</v>
      </c>
      <c r="O41" s="63">
        <v>2.08</v>
      </c>
      <c r="P41" s="41">
        <v>452667</v>
      </c>
      <c r="Q41" s="42">
        <v>0.6</v>
      </c>
      <c r="R41" s="41">
        <v>1539450</v>
      </c>
      <c r="S41" s="41">
        <v>212514</v>
      </c>
      <c r="T41" s="40" t="s">
        <v>269</v>
      </c>
      <c r="U41" s="39" t="s">
        <v>343</v>
      </c>
      <c r="V41" s="38" t="s">
        <v>342</v>
      </c>
      <c r="W41" s="38" t="s">
        <v>342</v>
      </c>
    </row>
    <row r="42" spans="1:23">
      <c r="A42" s="50" t="s">
        <v>482</v>
      </c>
      <c r="B42" s="50" t="s">
        <v>399</v>
      </c>
      <c r="C42" s="49" t="s">
        <v>625</v>
      </c>
      <c r="D42" s="57" t="s">
        <v>338</v>
      </c>
      <c r="E42" s="50" t="s">
        <v>276</v>
      </c>
      <c r="F42" s="49" t="s">
        <v>277</v>
      </c>
      <c r="G42" s="52">
        <v>0</v>
      </c>
      <c r="H42" s="52">
        <v>0</v>
      </c>
      <c r="I42" s="51">
        <v>646101</v>
      </c>
      <c r="J42" s="51">
        <v>0</v>
      </c>
      <c r="K42" s="51">
        <v>0</v>
      </c>
      <c r="L42" s="62">
        <v>16000</v>
      </c>
      <c r="M42" s="61" t="s">
        <v>362</v>
      </c>
      <c r="N42" s="60" t="s">
        <v>371</v>
      </c>
      <c r="O42" s="59">
        <v>-1.84</v>
      </c>
      <c r="P42" s="51">
        <v>-646101</v>
      </c>
      <c r="Q42" s="52">
        <v>-7.57</v>
      </c>
      <c r="R42" s="51">
        <v>-224100</v>
      </c>
      <c r="S42" s="51">
        <v>166419</v>
      </c>
      <c r="T42" s="50" t="s">
        <v>269</v>
      </c>
      <c r="U42" s="49" t="s">
        <v>343</v>
      </c>
      <c r="V42" s="48" t="s">
        <v>342</v>
      </c>
      <c r="W42" s="48" t="s">
        <v>342</v>
      </c>
    </row>
    <row r="43" spans="1:23">
      <c r="A43" s="40" t="s">
        <v>480</v>
      </c>
      <c r="B43" s="40" t="s">
        <v>399</v>
      </c>
      <c r="C43" s="39" t="s">
        <v>625</v>
      </c>
      <c r="D43" s="47" t="s">
        <v>338</v>
      </c>
      <c r="E43" s="40" t="s">
        <v>334</v>
      </c>
      <c r="F43" s="39" t="s">
        <v>335</v>
      </c>
      <c r="G43" s="42">
        <v>0.5</v>
      </c>
      <c r="H43" s="42">
        <v>0.7</v>
      </c>
      <c r="I43" s="41">
        <v>28619310</v>
      </c>
      <c r="J43" s="41">
        <v>433</v>
      </c>
      <c r="K43" s="58">
        <v>66095.399999999994</v>
      </c>
      <c r="L43" s="70">
        <v>65400</v>
      </c>
      <c r="M43" s="69" t="s">
        <v>362</v>
      </c>
      <c r="N43" s="68" t="s">
        <v>423</v>
      </c>
      <c r="O43" s="67">
        <v>-0.91</v>
      </c>
      <c r="P43" s="41">
        <v>-301110</v>
      </c>
      <c r="Q43" s="42">
        <v>-1.05</v>
      </c>
      <c r="R43" s="41">
        <v>-259800</v>
      </c>
      <c r="S43" s="41">
        <v>20010</v>
      </c>
      <c r="T43" s="40" t="s">
        <v>269</v>
      </c>
      <c r="U43" s="39" t="s">
        <v>343</v>
      </c>
      <c r="V43" s="38" t="s">
        <v>342</v>
      </c>
      <c r="W43" s="38" t="s">
        <v>342</v>
      </c>
    </row>
    <row r="44" spans="1:23">
      <c r="A44" s="50" t="s">
        <v>478</v>
      </c>
      <c r="B44" s="50" t="s">
        <v>399</v>
      </c>
      <c r="C44" s="49" t="s">
        <v>625</v>
      </c>
      <c r="D44" s="57" t="s">
        <v>338</v>
      </c>
      <c r="E44" s="50" t="s">
        <v>100</v>
      </c>
      <c r="F44" s="49" t="s">
        <v>101</v>
      </c>
      <c r="G44" s="52">
        <v>1.1299999999999999</v>
      </c>
      <c r="H44" s="52">
        <v>1.57</v>
      </c>
      <c r="I44" s="51">
        <v>56440980</v>
      </c>
      <c r="J44" s="51">
        <v>150</v>
      </c>
      <c r="K44" s="78">
        <v>376273.2</v>
      </c>
      <c r="L44" s="62">
        <v>420300</v>
      </c>
      <c r="M44" s="61" t="s">
        <v>362</v>
      </c>
      <c r="N44" s="60" t="s">
        <v>483</v>
      </c>
      <c r="O44" s="59">
        <v>-2.2999999999999998</v>
      </c>
      <c r="P44" s="51">
        <v>6604020</v>
      </c>
      <c r="Q44" s="52">
        <v>11.7</v>
      </c>
      <c r="R44" s="51">
        <v>-1485000</v>
      </c>
      <c r="S44" s="51">
        <v>676584</v>
      </c>
      <c r="T44" s="50" t="s">
        <v>269</v>
      </c>
      <c r="U44" s="49" t="s">
        <v>343</v>
      </c>
      <c r="V44" s="48" t="s">
        <v>342</v>
      </c>
      <c r="W44" s="48" t="s">
        <v>342</v>
      </c>
    </row>
    <row r="45" spans="1:23">
      <c r="A45" s="40" t="s">
        <v>361</v>
      </c>
      <c r="B45" s="40" t="s">
        <v>399</v>
      </c>
      <c r="C45" s="39" t="s">
        <v>625</v>
      </c>
      <c r="D45" s="47" t="s">
        <v>338</v>
      </c>
      <c r="E45" s="40" t="s">
        <v>290</v>
      </c>
      <c r="F45" s="39" t="s">
        <v>291</v>
      </c>
      <c r="G45" s="42">
        <v>0.55000000000000004</v>
      </c>
      <c r="H45" s="42">
        <v>0.76</v>
      </c>
      <c r="I45" s="41">
        <v>27719040</v>
      </c>
      <c r="J45" s="41">
        <v>432</v>
      </c>
      <c r="K45" s="46">
        <v>64164.44</v>
      </c>
      <c r="L45" s="70">
        <v>71100</v>
      </c>
      <c r="M45" s="69" t="s">
        <v>362</v>
      </c>
      <c r="N45" s="68" t="s">
        <v>481</v>
      </c>
      <c r="O45" s="67">
        <v>-2.6</v>
      </c>
      <c r="P45" s="41">
        <v>2996160</v>
      </c>
      <c r="Q45" s="42">
        <v>10.81</v>
      </c>
      <c r="R45" s="41">
        <v>-820800</v>
      </c>
      <c r="S45" s="41">
        <v>160845</v>
      </c>
      <c r="T45" s="40" t="s">
        <v>269</v>
      </c>
      <c r="U45" s="39" t="s">
        <v>343</v>
      </c>
      <c r="V45" s="38" t="s">
        <v>342</v>
      </c>
      <c r="W45" s="38" t="s">
        <v>342</v>
      </c>
    </row>
    <row r="46" spans="1:23">
      <c r="A46" s="50" t="s">
        <v>473</v>
      </c>
      <c r="B46" s="50" t="s">
        <v>399</v>
      </c>
      <c r="C46" s="49" t="s">
        <v>625</v>
      </c>
      <c r="D46" s="57" t="s">
        <v>338</v>
      </c>
      <c r="E46" s="50" t="s">
        <v>336</v>
      </c>
      <c r="F46" s="49" t="s">
        <v>337</v>
      </c>
      <c r="G46" s="52">
        <v>0.97</v>
      </c>
      <c r="H46" s="52">
        <v>1.35</v>
      </c>
      <c r="I46" s="51">
        <v>56848780</v>
      </c>
      <c r="J46" s="51">
        <v>2215</v>
      </c>
      <c r="K46" s="56">
        <v>25665.360000000001</v>
      </c>
      <c r="L46" s="62">
        <v>24550</v>
      </c>
      <c r="M46" s="61" t="s">
        <v>362</v>
      </c>
      <c r="N46" s="60" t="s">
        <v>479</v>
      </c>
      <c r="O46" s="59">
        <v>-1.8</v>
      </c>
      <c r="P46" s="51">
        <v>-2470530</v>
      </c>
      <c r="Q46" s="52">
        <v>-4.3499999999999996</v>
      </c>
      <c r="R46" s="51">
        <v>-996750</v>
      </c>
      <c r="S46" s="51">
        <v>51680</v>
      </c>
      <c r="T46" s="50" t="s">
        <v>269</v>
      </c>
      <c r="U46" s="49" t="s">
        <v>343</v>
      </c>
      <c r="V46" s="48" t="s">
        <v>342</v>
      </c>
      <c r="W46" s="48" t="s">
        <v>342</v>
      </c>
    </row>
    <row r="47" spans="1:23">
      <c r="A47" s="40" t="s">
        <v>471</v>
      </c>
      <c r="B47" s="40" t="s">
        <v>399</v>
      </c>
      <c r="C47" s="39" t="s">
        <v>668</v>
      </c>
      <c r="D47" s="72" t="s">
        <v>339</v>
      </c>
      <c r="E47" s="40" t="s">
        <v>477</v>
      </c>
      <c r="F47" s="39" t="s">
        <v>476</v>
      </c>
      <c r="G47" s="42">
        <v>0.55000000000000004</v>
      </c>
      <c r="H47" s="42">
        <v>1.05</v>
      </c>
      <c r="I47" s="41">
        <v>-28765038</v>
      </c>
      <c r="J47" s="41">
        <v>-260</v>
      </c>
      <c r="K47" s="46">
        <v>110634.76</v>
      </c>
      <c r="L47" s="70">
        <v>118000</v>
      </c>
      <c r="M47" s="69" t="s">
        <v>362</v>
      </c>
      <c r="N47" s="68" t="s">
        <v>382</v>
      </c>
      <c r="O47" s="67">
        <v>-1.26</v>
      </c>
      <c r="P47" s="41">
        <v>-1914962</v>
      </c>
      <c r="Q47" s="42">
        <v>-6.66</v>
      </c>
      <c r="R47" s="41">
        <v>390000</v>
      </c>
      <c r="S47" s="41">
        <v>115462</v>
      </c>
      <c r="T47" s="40" t="s">
        <v>269</v>
      </c>
      <c r="U47" s="39" t="s">
        <v>343</v>
      </c>
      <c r="V47" s="38" t="s">
        <v>342</v>
      </c>
      <c r="W47" s="38" t="s">
        <v>342</v>
      </c>
    </row>
    <row r="48" spans="1:23">
      <c r="A48" s="50" t="s">
        <v>469</v>
      </c>
      <c r="B48" s="50" t="s">
        <v>399</v>
      </c>
      <c r="C48" s="49" t="s">
        <v>668</v>
      </c>
      <c r="D48" s="77" t="s">
        <v>339</v>
      </c>
      <c r="E48" s="50" t="s">
        <v>475</v>
      </c>
      <c r="F48" s="49" t="s">
        <v>474</v>
      </c>
      <c r="G48" s="52">
        <v>1.04</v>
      </c>
      <c r="H48" s="52">
        <v>1.99</v>
      </c>
      <c r="I48" s="51">
        <v>-60120685</v>
      </c>
      <c r="J48" s="51">
        <v>-303</v>
      </c>
      <c r="K48" s="78">
        <v>198418.1</v>
      </c>
      <c r="L48" s="62">
        <v>191000</v>
      </c>
      <c r="M48" s="61" t="s">
        <v>362</v>
      </c>
      <c r="N48" s="60" t="s">
        <v>382</v>
      </c>
      <c r="O48" s="59">
        <v>-0.78</v>
      </c>
      <c r="P48" s="51">
        <v>2247685</v>
      </c>
      <c r="Q48" s="52">
        <v>3.74</v>
      </c>
      <c r="R48" s="51">
        <v>454500</v>
      </c>
      <c r="S48" s="51">
        <v>492528</v>
      </c>
      <c r="T48" s="50" t="s">
        <v>269</v>
      </c>
      <c r="U48" s="49" t="s">
        <v>343</v>
      </c>
      <c r="V48" s="48" t="s">
        <v>342</v>
      </c>
      <c r="W48" s="48" t="s">
        <v>342</v>
      </c>
    </row>
    <row r="49" spans="1:23">
      <c r="A49" s="40" t="s">
        <v>466</v>
      </c>
      <c r="B49" s="40" t="s">
        <v>399</v>
      </c>
      <c r="C49" s="39" t="s">
        <v>668</v>
      </c>
      <c r="D49" s="72" t="s">
        <v>339</v>
      </c>
      <c r="E49" s="40" t="s">
        <v>293</v>
      </c>
      <c r="F49" s="39" t="s">
        <v>294</v>
      </c>
      <c r="G49" s="42">
        <v>1.98</v>
      </c>
      <c r="H49" s="42">
        <v>3.81</v>
      </c>
      <c r="I49" s="41">
        <v>-98237178</v>
      </c>
      <c r="J49" s="41">
        <v>-1562</v>
      </c>
      <c r="K49" s="46">
        <v>62891.92</v>
      </c>
      <c r="L49" s="66">
        <v>70700</v>
      </c>
      <c r="M49" s="65" t="s">
        <v>367</v>
      </c>
      <c r="N49" s="64" t="s">
        <v>472</v>
      </c>
      <c r="O49" s="63">
        <v>2.61</v>
      </c>
      <c r="P49" s="41">
        <v>-12196222</v>
      </c>
      <c r="Q49" s="42">
        <v>-12.42</v>
      </c>
      <c r="R49" s="41">
        <v>-2811600</v>
      </c>
      <c r="S49" s="41">
        <v>557932</v>
      </c>
      <c r="T49" s="40" t="s">
        <v>269</v>
      </c>
      <c r="U49" s="39" t="s">
        <v>343</v>
      </c>
      <c r="V49" s="38" t="s">
        <v>342</v>
      </c>
      <c r="W49" s="38" t="s">
        <v>342</v>
      </c>
    </row>
    <row r="50" spans="1:23">
      <c r="A50" s="50" t="s">
        <v>464</v>
      </c>
      <c r="B50" s="50" t="s">
        <v>399</v>
      </c>
      <c r="C50" s="49" t="s">
        <v>668</v>
      </c>
      <c r="D50" s="77" t="s">
        <v>339</v>
      </c>
      <c r="E50" s="50" t="s">
        <v>8</v>
      </c>
      <c r="F50" s="49" t="s">
        <v>9</v>
      </c>
      <c r="G50" s="52">
        <v>1.22</v>
      </c>
      <c r="H50" s="52">
        <v>2.34</v>
      </c>
      <c r="I50" s="51">
        <v>-80986626</v>
      </c>
      <c r="J50" s="51">
        <v>-93</v>
      </c>
      <c r="K50" s="56">
        <v>870823.94</v>
      </c>
      <c r="L50" s="76">
        <v>729000</v>
      </c>
      <c r="M50" s="75" t="s">
        <v>367</v>
      </c>
      <c r="N50" s="74" t="s">
        <v>470</v>
      </c>
      <c r="O50" s="73">
        <v>2.39</v>
      </c>
      <c r="P50" s="51">
        <v>13189626</v>
      </c>
      <c r="Q50" s="52">
        <v>16.29</v>
      </c>
      <c r="R50" s="51">
        <v>-1581000</v>
      </c>
      <c r="S50" s="51">
        <v>481408</v>
      </c>
      <c r="T50" s="50" t="s">
        <v>269</v>
      </c>
      <c r="U50" s="49" t="s">
        <v>343</v>
      </c>
      <c r="V50" s="48" t="s">
        <v>342</v>
      </c>
      <c r="W50" s="48" t="s">
        <v>342</v>
      </c>
    </row>
    <row r="51" spans="1:23">
      <c r="A51" s="40" t="s">
        <v>461</v>
      </c>
      <c r="B51" s="40" t="s">
        <v>399</v>
      </c>
      <c r="C51" s="39" t="s">
        <v>668</v>
      </c>
      <c r="D51" s="72" t="s">
        <v>339</v>
      </c>
      <c r="E51" s="40" t="s">
        <v>468</v>
      </c>
      <c r="F51" s="39" t="s">
        <v>467</v>
      </c>
      <c r="G51" s="42">
        <v>1.03</v>
      </c>
      <c r="H51" s="42">
        <v>1.98</v>
      </c>
      <c r="I51" s="41">
        <v>-67014136</v>
      </c>
      <c r="J51" s="41">
        <v>-2033</v>
      </c>
      <c r="K51" s="46">
        <v>32963.18</v>
      </c>
      <c r="L51" s="66">
        <v>28300</v>
      </c>
      <c r="M51" s="65" t="s">
        <v>367</v>
      </c>
      <c r="N51" s="64" t="s">
        <v>414</v>
      </c>
      <c r="O51" s="63">
        <v>0.71</v>
      </c>
      <c r="P51" s="41">
        <v>9480236</v>
      </c>
      <c r="Q51" s="42">
        <v>14.15</v>
      </c>
      <c r="R51" s="41">
        <v>-406600</v>
      </c>
      <c r="S51" s="41">
        <v>383458</v>
      </c>
      <c r="T51" s="40" t="s">
        <v>269</v>
      </c>
      <c r="U51" s="39" t="s">
        <v>343</v>
      </c>
      <c r="V51" s="38" t="s">
        <v>342</v>
      </c>
      <c r="W51" s="38" t="s">
        <v>342</v>
      </c>
    </row>
    <row r="52" spans="1:23">
      <c r="A52" s="50" t="s">
        <v>453</v>
      </c>
      <c r="B52" s="50" t="s">
        <v>399</v>
      </c>
      <c r="C52" s="49" t="s">
        <v>668</v>
      </c>
      <c r="D52" s="77" t="s">
        <v>339</v>
      </c>
      <c r="E52" s="50" t="s">
        <v>288</v>
      </c>
      <c r="F52" s="49" t="s">
        <v>289</v>
      </c>
      <c r="G52" s="52">
        <v>1.55</v>
      </c>
      <c r="H52" s="52">
        <v>2.98</v>
      </c>
      <c r="I52" s="51">
        <v>-83569438</v>
      </c>
      <c r="J52" s="51">
        <v>-440</v>
      </c>
      <c r="K52" s="56">
        <v>189930.54</v>
      </c>
      <c r="L52" s="76">
        <v>196500</v>
      </c>
      <c r="M52" s="75" t="s">
        <v>367</v>
      </c>
      <c r="N52" s="74" t="s">
        <v>465</v>
      </c>
      <c r="O52" s="73">
        <v>8.86</v>
      </c>
      <c r="P52" s="51">
        <v>-2890562</v>
      </c>
      <c r="Q52" s="52">
        <v>-3.46</v>
      </c>
      <c r="R52" s="51">
        <v>-7040000</v>
      </c>
      <c r="S52" s="51">
        <v>611528</v>
      </c>
      <c r="T52" s="50" t="s">
        <v>269</v>
      </c>
      <c r="U52" s="49" t="s">
        <v>343</v>
      </c>
      <c r="V52" s="48" t="s">
        <v>342</v>
      </c>
      <c r="W52" s="48" t="s">
        <v>342</v>
      </c>
    </row>
    <row r="53" spans="1:23">
      <c r="A53" s="40" t="s">
        <v>459</v>
      </c>
      <c r="B53" s="40" t="s">
        <v>399</v>
      </c>
      <c r="C53" s="39" t="s">
        <v>668</v>
      </c>
      <c r="D53" s="72" t="s">
        <v>339</v>
      </c>
      <c r="E53" s="40" t="s">
        <v>463</v>
      </c>
      <c r="F53" s="39" t="s">
        <v>462</v>
      </c>
      <c r="G53" s="42">
        <v>1.47</v>
      </c>
      <c r="H53" s="42">
        <v>2.83</v>
      </c>
      <c r="I53" s="41">
        <v>-82661664</v>
      </c>
      <c r="J53" s="41">
        <v>-270</v>
      </c>
      <c r="K53" s="46">
        <v>306154.31</v>
      </c>
      <c r="L53" s="41">
        <v>304000</v>
      </c>
      <c r="M53" s="45" t="s">
        <v>269</v>
      </c>
      <c r="N53" s="44" t="s">
        <v>342</v>
      </c>
      <c r="O53" s="43">
        <v>0</v>
      </c>
      <c r="P53" s="41">
        <v>581664</v>
      </c>
      <c r="Q53" s="42">
        <v>0.7</v>
      </c>
      <c r="R53" s="41">
        <v>0</v>
      </c>
      <c r="S53" s="41">
        <v>469584</v>
      </c>
      <c r="T53" s="40" t="s">
        <v>269</v>
      </c>
      <c r="U53" s="39" t="s">
        <v>343</v>
      </c>
      <c r="V53" s="38" t="s">
        <v>342</v>
      </c>
      <c r="W53" s="38" t="s">
        <v>342</v>
      </c>
    </row>
    <row r="54" spans="1:23">
      <c r="A54" s="50" t="s">
        <v>457</v>
      </c>
      <c r="B54" s="50" t="s">
        <v>399</v>
      </c>
      <c r="C54" s="49" t="s">
        <v>668</v>
      </c>
      <c r="D54" s="77" t="s">
        <v>339</v>
      </c>
      <c r="E54" s="50" t="s">
        <v>301</v>
      </c>
      <c r="F54" s="49" t="s">
        <v>302</v>
      </c>
      <c r="G54" s="52">
        <v>1.0900000000000001</v>
      </c>
      <c r="H54" s="52">
        <v>2.09</v>
      </c>
      <c r="I54" s="51">
        <v>-60148024</v>
      </c>
      <c r="J54" s="51">
        <v>-320</v>
      </c>
      <c r="K54" s="56">
        <v>187962.58</v>
      </c>
      <c r="L54" s="76">
        <v>189500</v>
      </c>
      <c r="M54" s="75" t="s">
        <v>367</v>
      </c>
      <c r="N54" s="74" t="s">
        <v>460</v>
      </c>
      <c r="O54" s="73">
        <v>1.61</v>
      </c>
      <c r="P54" s="51">
        <v>-491976</v>
      </c>
      <c r="Q54" s="52">
        <v>-0.82</v>
      </c>
      <c r="R54" s="51">
        <v>-960000</v>
      </c>
      <c r="S54" s="51">
        <v>241476</v>
      </c>
      <c r="T54" s="50" t="s">
        <v>269</v>
      </c>
      <c r="U54" s="49" t="s">
        <v>343</v>
      </c>
      <c r="V54" s="48" t="s">
        <v>342</v>
      </c>
      <c r="W54" s="48" t="s">
        <v>342</v>
      </c>
    </row>
    <row r="55" spans="1:23">
      <c r="A55" s="40" t="s">
        <v>456</v>
      </c>
      <c r="B55" s="40" t="s">
        <v>399</v>
      </c>
      <c r="C55" s="39" t="s">
        <v>668</v>
      </c>
      <c r="D55" s="72" t="s">
        <v>339</v>
      </c>
      <c r="E55" s="40" t="s">
        <v>129</v>
      </c>
      <c r="F55" s="39" t="s">
        <v>130</v>
      </c>
      <c r="G55" s="42">
        <v>1.72</v>
      </c>
      <c r="H55" s="42">
        <v>3.3</v>
      </c>
      <c r="I55" s="41">
        <v>-100143710</v>
      </c>
      <c r="J55" s="41">
        <v>-1469</v>
      </c>
      <c r="K55" s="46">
        <v>68171.350000000006</v>
      </c>
      <c r="L55" s="66">
        <v>65200</v>
      </c>
      <c r="M55" s="65" t="s">
        <v>367</v>
      </c>
      <c r="N55" s="64" t="s">
        <v>428</v>
      </c>
      <c r="O55" s="63">
        <v>0.77</v>
      </c>
      <c r="P55" s="41">
        <v>4364910</v>
      </c>
      <c r="Q55" s="42">
        <v>4.3600000000000003</v>
      </c>
      <c r="R55" s="41">
        <v>-734500</v>
      </c>
      <c r="S55" s="41">
        <v>273452</v>
      </c>
      <c r="T55" s="40" t="s">
        <v>269</v>
      </c>
      <c r="U55" s="39" t="s">
        <v>343</v>
      </c>
      <c r="V55" s="38" t="s">
        <v>342</v>
      </c>
      <c r="W55" s="38" t="s">
        <v>342</v>
      </c>
    </row>
    <row r="56" spans="1:23">
      <c r="A56" s="50" t="s">
        <v>452</v>
      </c>
      <c r="B56" s="50" t="s">
        <v>399</v>
      </c>
      <c r="C56" s="49" t="s">
        <v>668</v>
      </c>
      <c r="D56" s="77" t="s">
        <v>339</v>
      </c>
      <c r="E56" s="50" t="s">
        <v>320</v>
      </c>
      <c r="F56" s="49" t="s">
        <v>321</v>
      </c>
      <c r="G56" s="52">
        <v>0.94</v>
      </c>
      <c r="H56" s="52">
        <v>1.8</v>
      </c>
      <c r="I56" s="51">
        <v>-51632593</v>
      </c>
      <c r="J56" s="51">
        <v>-440</v>
      </c>
      <c r="K56" s="78">
        <v>117346.8</v>
      </c>
      <c r="L56" s="62">
        <v>119000</v>
      </c>
      <c r="M56" s="61" t="s">
        <v>362</v>
      </c>
      <c r="N56" s="60" t="s">
        <v>458</v>
      </c>
      <c r="O56" s="59">
        <v>-2.06</v>
      </c>
      <c r="P56" s="51">
        <v>-727407</v>
      </c>
      <c r="Q56" s="52">
        <v>-1.41</v>
      </c>
      <c r="R56" s="51">
        <v>1100000</v>
      </c>
      <c r="S56" s="51">
        <v>1481400</v>
      </c>
      <c r="T56" s="50" t="s">
        <v>269</v>
      </c>
      <c r="U56" s="49" t="s">
        <v>343</v>
      </c>
      <c r="V56" s="48" t="s">
        <v>342</v>
      </c>
      <c r="W56" s="48" t="s">
        <v>342</v>
      </c>
    </row>
    <row r="57" spans="1:23">
      <c r="A57" s="40" t="s">
        <v>373</v>
      </c>
      <c r="B57" s="40" t="s">
        <v>399</v>
      </c>
      <c r="C57" s="39" t="s">
        <v>668</v>
      </c>
      <c r="D57" s="72" t="s">
        <v>339</v>
      </c>
      <c r="E57" s="40" t="s">
        <v>330</v>
      </c>
      <c r="F57" s="39" t="s">
        <v>331</v>
      </c>
      <c r="G57" s="42">
        <v>1.35</v>
      </c>
      <c r="H57" s="42">
        <v>2.59</v>
      </c>
      <c r="I57" s="41">
        <v>-77673168</v>
      </c>
      <c r="J57" s="41">
        <v>-360</v>
      </c>
      <c r="K57" s="58">
        <v>215758.8</v>
      </c>
      <c r="L57" s="66">
        <v>209000</v>
      </c>
      <c r="M57" s="65" t="s">
        <v>367</v>
      </c>
      <c r="N57" s="64" t="s">
        <v>389</v>
      </c>
      <c r="O57" s="63">
        <v>1.7</v>
      </c>
      <c r="P57" s="41">
        <v>2433168</v>
      </c>
      <c r="Q57" s="42">
        <v>3.13</v>
      </c>
      <c r="R57" s="41">
        <v>-1260000</v>
      </c>
      <c r="S57" s="41">
        <v>1018538</v>
      </c>
      <c r="T57" s="40" t="s">
        <v>269</v>
      </c>
      <c r="U57" s="39" t="s">
        <v>343</v>
      </c>
      <c r="V57" s="38" t="s">
        <v>342</v>
      </c>
      <c r="W57" s="38" t="s">
        <v>342</v>
      </c>
    </row>
    <row r="58" spans="1:23">
      <c r="A58" s="50" t="s">
        <v>449</v>
      </c>
      <c r="B58" s="50" t="s">
        <v>399</v>
      </c>
      <c r="C58" s="49" t="s">
        <v>668</v>
      </c>
      <c r="D58" s="77" t="s">
        <v>339</v>
      </c>
      <c r="E58" s="50" t="s">
        <v>455</v>
      </c>
      <c r="F58" s="49" t="s">
        <v>454</v>
      </c>
      <c r="G58" s="52">
        <v>0.91</v>
      </c>
      <c r="H58" s="52">
        <v>1.75</v>
      </c>
      <c r="I58" s="51">
        <v>-59610768</v>
      </c>
      <c r="J58" s="51">
        <v>-1040</v>
      </c>
      <c r="K58" s="56">
        <v>57318.05</v>
      </c>
      <c r="L58" s="76">
        <v>48750</v>
      </c>
      <c r="M58" s="75" t="s">
        <v>367</v>
      </c>
      <c r="N58" s="74" t="s">
        <v>453</v>
      </c>
      <c r="O58" s="73">
        <v>0.1</v>
      </c>
      <c r="P58" s="51">
        <v>8910768</v>
      </c>
      <c r="Q58" s="52">
        <v>14.95</v>
      </c>
      <c r="R58" s="51">
        <v>-52000</v>
      </c>
      <c r="S58" s="51">
        <v>239332</v>
      </c>
      <c r="T58" s="50" t="s">
        <v>269</v>
      </c>
      <c r="U58" s="49" t="s">
        <v>343</v>
      </c>
      <c r="V58" s="48" t="s">
        <v>342</v>
      </c>
      <c r="W58" s="48" t="s">
        <v>342</v>
      </c>
    </row>
    <row r="59" spans="1:23">
      <c r="A59" s="40" t="s">
        <v>447</v>
      </c>
      <c r="B59" s="40" t="s">
        <v>399</v>
      </c>
      <c r="C59" s="39" t="s">
        <v>668</v>
      </c>
      <c r="D59" s="72" t="s">
        <v>339</v>
      </c>
      <c r="E59" s="40" t="s">
        <v>238</v>
      </c>
      <c r="F59" s="39" t="s">
        <v>239</v>
      </c>
      <c r="G59" s="42">
        <v>1.99</v>
      </c>
      <c r="H59" s="42">
        <v>3.81</v>
      </c>
      <c r="I59" s="41">
        <v>-114901515</v>
      </c>
      <c r="J59" s="41">
        <v>-732</v>
      </c>
      <c r="K59" s="46">
        <v>156969.28</v>
      </c>
      <c r="L59" s="70">
        <v>151000</v>
      </c>
      <c r="M59" s="69" t="s">
        <v>362</v>
      </c>
      <c r="N59" s="68" t="s">
        <v>451</v>
      </c>
      <c r="O59" s="67">
        <v>-2.58</v>
      </c>
      <c r="P59" s="41">
        <v>4369515</v>
      </c>
      <c r="Q59" s="42">
        <v>3.8</v>
      </c>
      <c r="R59" s="41">
        <v>2353000</v>
      </c>
      <c r="S59" s="41">
        <v>663670</v>
      </c>
      <c r="T59" s="40" t="s">
        <v>269</v>
      </c>
      <c r="U59" s="39" t="s">
        <v>343</v>
      </c>
      <c r="V59" s="38" t="s">
        <v>342</v>
      </c>
      <c r="W59" s="38" t="s">
        <v>342</v>
      </c>
    </row>
    <row r="60" spans="1:23">
      <c r="A60" s="50" t="s">
        <v>446</v>
      </c>
      <c r="B60" s="50" t="s">
        <v>399</v>
      </c>
      <c r="C60" s="49" t="s">
        <v>668</v>
      </c>
      <c r="D60" s="77" t="s">
        <v>339</v>
      </c>
      <c r="E60" s="50" t="s">
        <v>300</v>
      </c>
      <c r="F60" s="49" t="s">
        <v>292</v>
      </c>
      <c r="G60" s="52">
        <v>1.96</v>
      </c>
      <c r="H60" s="52">
        <v>3.77</v>
      </c>
      <c r="I60" s="51">
        <v>-112151208</v>
      </c>
      <c r="J60" s="51">
        <v>-11390</v>
      </c>
      <c r="K60" s="56">
        <v>9846.4599999999991</v>
      </c>
      <c r="L60" s="62">
        <v>9600</v>
      </c>
      <c r="M60" s="61" t="s">
        <v>362</v>
      </c>
      <c r="N60" s="60" t="s">
        <v>450</v>
      </c>
      <c r="O60" s="59">
        <v>-3.52</v>
      </c>
      <c r="P60" s="51">
        <v>2807208</v>
      </c>
      <c r="Q60" s="52">
        <v>2.5</v>
      </c>
      <c r="R60" s="51">
        <v>3986500</v>
      </c>
      <c r="S60" s="51">
        <v>732288</v>
      </c>
      <c r="T60" s="50" t="s">
        <v>269</v>
      </c>
      <c r="U60" s="49" t="s">
        <v>343</v>
      </c>
      <c r="V60" s="48" t="s">
        <v>342</v>
      </c>
      <c r="W60" s="48" t="s">
        <v>342</v>
      </c>
    </row>
    <row r="61" spans="1:23">
      <c r="A61" s="40" t="s">
        <v>442</v>
      </c>
      <c r="B61" s="40" t="s">
        <v>399</v>
      </c>
      <c r="C61" s="39" t="s">
        <v>668</v>
      </c>
      <c r="D61" s="72" t="s">
        <v>339</v>
      </c>
      <c r="E61" s="40" t="s">
        <v>326</v>
      </c>
      <c r="F61" s="39" t="s">
        <v>327</v>
      </c>
      <c r="G61" s="42">
        <v>1.51</v>
      </c>
      <c r="H61" s="42">
        <v>2.9</v>
      </c>
      <c r="I61" s="41">
        <v>-84416402</v>
      </c>
      <c r="J61" s="41">
        <v>-990</v>
      </c>
      <c r="K61" s="46">
        <v>85269.09</v>
      </c>
      <c r="L61" s="70">
        <v>85000</v>
      </c>
      <c r="M61" s="69" t="s">
        <v>362</v>
      </c>
      <c r="N61" s="68" t="s">
        <v>448</v>
      </c>
      <c r="O61" s="67">
        <v>-1.28</v>
      </c>
      <c r="P61" s="41">
        <v>266402</v>
      </c>
      <c r="Q61" s="42">
        <v>0.32</v>
      </c>
      <c r="R61" s="41">
        <v>1089000</v>
      </c>
      <c r="S61" s="41">
        <v>1015308</v>
      </c>
      <c r="T61" s="40" t="s">
        <v>269</v>
      </c>
      <c r="U61" s="39" t="s">
        <v>343</v>
      </c>
      <c r="V61" s="38" t="s">
        <v>342</v>
      </c>
      <c r="W61" s="38" t="s">
        <v>342</v>
      </c>
    </row>
    <row r="62" spans="1:23">
      <c r="A62" s="50" t="s">
        <v>440</v>
      </c>
      <c r="B62" s="50" t="s">
        <v>399</v>
      </c>
      <c r="C62" s="49" t="s">
        <v>668</v>
      </c>
      <c r="D62" s="77" t="s">
        <v>339</v>
      </c>
      <c r="E62" s="50" t="s">
        <v>332</v>
      </c>
      <c r="F62" s="49" t="s">
        <v>333</v>
      </c>
      <c r="G62" s="52">
        <v>1.37</v>
      </c>
      <c r="H62" s="52">
        <v>2.63</v>
      </c>
      <c r="I62" s="51">
        <v>-77536644</v>
      </c>
      <c r="J62" s="51">
        <v>-270</v>
      </c>
      <c r="K62" s="56">
        <v>287172.76</v>
      </c>
      <c r="L62" s="76">
        <v>282500</v>
      </c>
      <c r="M62" s="75" t="s">
        <v>367</v>
      </c>
      <c r="N62" s="74" t="s">
        <v>382</v>
      </c>
      <c r="O62" s="73">
        <v>0.53</v>
      </c>
      <c r="P62" s="51">
        <v>1261644</v>
      </c>
      <c r="Q62" s="52">
        <v>1.63</v>
      </c>
      <c r="R62" s="51">
        <v>-405000</v>
      </c>
      <c r="S62" s="51">
        <v>898160</v>
      </c>
      <c r="T62" s="50" t="s">
        <v>269</v>
      </c>
      <c r="U62" s="49" t="s">
        <v>343</v>
      </c>
      <c r="V62" s="48" t="s">
        <v>342</v>
      </c>
      <c r="W62" s="48" t="s">
        <v>342</v>
      </c>
    </row>
    <row r="63" spans="1:23">
      <c r="A63" s="40" t="s">
        <v>439</v>
      </c>
      <c r="B63" s="40" t="s">
        <v>399</v>
      </c>
      <c r="C63" s="39" t="s">
        <v>668</v>
      </c>
      <c r="D63" s="72" t="s">
        <v>339</v>
      </c>
      <c r="E63" s="40" t="s">
        <v>445</v>
      </c>
      <c r="F63" s="39" t="s">
        <v>444</v>
      </c>
      <c r="G63" s="42">
        <v>0.9</v>
      </c>
      <c r="H63" s="42">
        <v>1.72</v>
      </c>
      <c r="I63" s="41">
        <v>-55664434</v>
      </c>
      <c r="J63" s="41">
        <v>-1770</v>
      </c>
      <c r="K63" s="46">
        <v>31448.83</v>
      </c>
      <c r="L63" s="70">
        <v>28250</v>
      </c>
      <c r="M63" s="69" t="s">
        <v>362</v>
      </c>
      <c r="N63" s="68" t="s">
        <v>443</v>
      </c>
      <c r="O63" s="67">
        <v>-0.88</v>
      </c>
      <c r="P63" s="41">
        <v>5661934</v>
      </c>
      <c r="Q63" s="42">
        <v>10.17</v>
      </c>
      <c r="R63" s="41">
        <v>442500</v>
      </c>
      <c r="S63" s="41">
        <v>223316</v>
      </c>
      <c r="T63" s="40" t="s">
        <v>269</v>
      </c>
      <c r="U63" s="39" t="s">
        <v>343</v>
      </c>
      <c r="V63" s="38" t="s">
        <v>342</v>
      </c>
      <c r="W63" s="38" t="s">
        <v>342</v>
      </c>
    </row>
    <row r="64" spans="1:23">
      <c r="A64" s="50" t="s">
        <v>438</v>
      </c>
      <c r="B64" s="50" t="s">
        <v>399</v>
      </c>
      <c r="C64" s="49" t="s">
        <v>668</v>
      </c>
      <c r="D64" s="77" t="s">
        <v>339</v>
      </c>
      <c r="E64" s="50" t="s">
        <v>143</v>
      </c>
      <c r="F64" s="49" t="s">
        <v>144</v>
      </c>
      <c r="G64" s="52">
        <v>0.48</v>
      </c>
      <c r="H64" s="52">
        <v>0.93</v>
      </c>
      <c r="I64" s="51">
        <v>-28453510</v>
      </c>
      <c r="J64" s="51">
        <v>-2956</v>
      </c>
      <c r="K64" s="56">
        <v>9625.68</v>
      </c>
      <c r="L64" s="62">
        <v>9110</v>
      </c>
      <c r="M64" s="61" t="s">
        <v>362</v>
      </c>
      <c r="N64" s="60" t="s">
        <v>441</v>
      </c>
      <c r="O64" s="59">
        <v>-2.88</v>
      </c>
      <c r="P64" s="51">
        <v>1524350</v>
      </c>
      <c r="Q64" s="52">
        <v>5.36</v>
      </c>
      <c r="R64" s="51">
        <v>798120</v>
      </c>
      <c r="S64" s="51">
        <v>416086</v>
      </c>
      <c r="T64" s="50" t="s">
        <v>269</v>
      </c>
      <c r="U64" s="49" t="s">
        <v>343</v>
      </c>
      <c r="V64" s="48" t="s">
        <v>342</v>
      </c>
      <c r="W64" s="48" t="s">
        <v>342</v>
      </c>
    </row>
    <row r="65" spans="1:23">
      <c r="A65" s="40" t="s">
        <v>436</v>
      </c>
      <c r="B65" s="40" t="s">
        <v>399</v>
      </c>
      <c r="C65" s="39" t="s">
        <v>668</v>
      </c>
      <c r="D65" s="72" t="s">
        <v>339</v>
      </c>
      <c r="E65" s="40" t="s">
        <v>204</v>
      </c>
      <c r="F65" s="39" t="s">
        <v>205</v>
      </c>
      <c r="G65" s="42">
        <v>1</v>
      </c>
      <c r="H65" s="42">
        <v>1.92</v>
      </c>
      <c r="I65" s="41">
        <v>-54911520</v>
      </c>
      <c r="J65" s="41">
        <v>-250</v>
      </c>
      <c r="K65" s="46">
        <v>219646.07999999999</v>
      </c>
      <c r="L65" s="66">
        <v>222500</v>
      </c>
      <c r="M65" s="65" t="s">
        <v>367</v>
      </c>
      <c r="N65" s="64" t="s">
        <v>398</v>
      </c>
      <c r="O65" s="63">
        <v>0.91</v>
      </c>
      <c r="P65" s="41">
        <v>-713480</v>
      </c>
      <c r="Q65" s="42">
        <v>-1.3</v>
      </c>
      <c r="R65" s="41">
        <v>-500000</v>
      </c>
      <c r="S65" s="41">
        <v>220480</v>
      </c>
      <c r="T65" s="40" t="s">
        <v>269</v>
      </c>
      <c r="U65" s="39" t="s">
        <v>343</v>
      </c>
      <c r="V65" s="38" t="s">
        <v>342</v>
      </c>
      <c r="W65" s="38" t="s">
        <v>342</v>
      </c>
    </row>
    <row r="66" spans="1:23">
      <c r="A66" s="50" t="s">
        <v>435</v>
      </c>
      <c r="B66" s="50" t="s">
        <v>399</v>
      </c>
      <c r="C66" s="49" t="s">
        <v>668</v>
      </c>
      <c r="D66" s="77" t="s">
        <v>339</v>
      </c>
      <c r="E66" s="50" t="s">
        <v>145</v>
      </c>
      <c r="F66" s="49" t="s">
        <v>146</v>
      </c>
      <c r="G66" s="52">
        <v>1.0900000000000001</v>
      </c>
      <c r="H66" s="52">
        <v>2.09</v>
      </c>
      <c r="I66" s="51">
        <v>-60535401</v>
      </c>
      <c r="J66" s="51">
        <v>-5357</v>
      </c>
      <c r="K66" s="56">
        <v>11300.24</v>
      </c>
      <c r="L66" s="76">
        <v>11350</v>
      </c>
      <c r="M66" s="75" t="s">
        <v>367</v>
      </c>
      <c r="N66" s="74" t="s">
        <v>401</v>
      </c>
      <c r="O66" s="73">
        <v>1.34</v>
      </c>
      <c r="P66" s="51">
        <v>-266549</v>
      </c>
      <c r="Q66" s="52">
        <v>-0.44</v>
      </c>
      <c r="R66" s="51">
        <v>-803550</v>
      </c>
      <c r="S66" s="51">
        <v>560774</v>
      </c>
      <c r="T66" s="50" t="s">
        <v>269</v>
      </c>
      <c r="U66" s="49" t="s">
        <v>343</v>
      </c>
      <c r="V66" s="48" t="s">
        <v>342</v>
      </c>
      <c r="W66" s="48" t="s">
        <v>342</v>
      </c>
    </row>
    <row r="67" spans="1:23">
      <c r="A67" s="40" t="s">
        <v>434</v>
      </c>
      <c r="B67" s="40" t="s">
        <v>399</v>
      </c>
      <c r="C67" s="39" t="s">
        <v>668</v>
      </c>
      <c r="D67" s="72" t="s">
        <v>339</v>
      </c>
      <c r="E67" s="40" t="s">
        <v>274</v>
      </c>
      <c r="F67" s="39" t="s">
        <v>275</v>
      </c>
      <c r="G67" s="42">
        <v>2.06</v>
      </c>
      <c r="H67" s="42">
        <v>3.96</v>
      </c>
      <c r="I67" s="41">
        <v>-112245780</v>
      </c>
      <c r="J67" s="41">
        <v>-550</v>
      </c>
      <c r="K67" s="46">
        <v>204083.24</v>
      </c>
      <c r="L67" s="66">
        <v>208500</v>
      </c>
      <c r="M67" s="65" t="s">
        <v>367</v>
      </c>
      <c r="N67" s="64" t="s">
        <v>437</v>
      </c>
      <c r="O67" s="63">
        <v>2.46</v>
      </c>
      <c r="P67" s="41">
        <v>-2429220</v>
      </c>
      <c r="Q67" s="42">
        <v>-2.16</v>
      </c>
      <c r="R67" s="41">
        <v>-2750000</v>
      </c>
      <c r="S67" s="41">
        <v>450720</v>
      </c>
      <c r="T67" s="40" t="s">
        <v>269</v>
      </c>
      <c r="U67" s="39" t="s">
        <v>343</v>
      </c>
      <c r="V67" s="38" t="s">
        <v>342</v>
      </c>
      <c r="W67" s="38" t="s">
        <v>342</v>
      </c>
    </row>
    <row r="68" spans="1:23">
      <c r="A68" s="50" t="s">
        <v>433</v>
      </c>
      <c r="B68" s="50" t="s">
        <v>399</v>
      </c>
      <c r="C68" s="49" t="s">
        <v>668</v>
      </c>
      <c r="D68" s="77" t="s">
        <v>339</v>
      </c>
      <c r="E68" s="50" t="s">
        <v>147</v>
      </c>
      <c r="F68" s="49" t="s">
        <v>148</v>
      </c>
      <c r="G68" s="52">
        <v>1.58</v>
      </c>
      <c r="H68" s="52">
        <v>3.04</v>
      </c>
      <c r="I68" s="51">
        <v>-83505793</v>
      </c>
      <c r="J68" s="51">
        <v>-421</v>
      </c>
      <c r="K68" s="56">
        <v>198351.05</v>
      </c>
      <c r="L68" s="51">
        <v>209500</v>
      </c>
      <c r="M68" s="55" t="s">
        <v>269</v>
      </c>
      <c r="N68" s="54" t="s">
        <v>342</v>
      </c>
      <c r="O68" s="53">
        <v>0</v>
      </c>
      <c r="P68" s="51">
        <v>-4693707</v>
      </c>
      <c r="Q68" s="52">
        <v>-5.62</v>
      </c>
      <c r="R68" s="51">
        <v>0</v>
      </c>
      <c r="S68" s="51">
        <v>809148</v>
      </c>
      <c r="T68" s="50" t="s">
        <v>269</v>
      </c>
      <c r="U68" s="49" t="s">
        <v>343</v>
      </c>
      <c r="V68" s="48" t="s">
        <v>342</v>
      </c>
      <c r="W68" s="48" t="s">
        <v>342</v>
      </c>
    </row>
    <row r="69" spans="1:23">
      <c r="A69" s="40" t="s">
        <v>430</v>
      </c>
      <c r="B69" s="40" t="s">
        <v>399</v>
      </c>
      <c r="C69" s="39" t="s">
        <v>668</v>
      </c>
      <c r="D69" s="72" t="s">
        <v>339</v>
      </c>
      <c r="E69" s="40" t="s">
        <v>153</v>
      </c>
      <c r="F69" s="39" t="s">
        <v>154</v>
      </c>
      <c r="G69" s="42">
        <v>1.85</v>
      </c>
      <c r="H69" s="42">
        <v>3.55</v>
      </c>
      <c r="I69" s="41">
        <v>-116658912</v>
      </c>
      <c r="J69" s="41">
        <v>-1270</v>
      </c>
      <c r="K69" s="46">
        <v>91857.41</v>
      </c>
      <c r="L69" s="41">
        <v>81000</v>
      </c>
      <c r="M69" s="45" t="s">
        <v>269</v>
      </c>
      <c r="N69" s="44" t="s">
        <v>342</v>
      </c>
      <c r="O69" s="43">
        <v>0</v>
      </c>
      <c r="P69" s="41">
        <v>13788912</v>
      </c>
      <c r="Q69" s="42">
        <v>11.82</v>
      </c>
      <c r="R69" s="41">
        <v>0</v>
      </c>
      <c r="S69" s="41">
        <v>468388</v>
      </c>
      <c r="T69" s="40" t="s">
        <v>269</v>
      </c>
      <c r="U69" s="39" t="s">
        <v>343</v>
      </c>
      <c r="V69" s="38" t="s">
        <v>342</v>
      </c>
      <c r="W69" s="38" t="s">
        <v>342</v>
      </c>
    </row>
    <row r="70" spans="1:23">
      <c r="A70" s="50" t="s">
        <v>429</v>
      </c>
      <c r="B70" s="50" t="s">
        <v>399</v>
      </c>
      <c r="C70" s="49" t="s">
        <v>668</v>
      </c>
      <c r="D70" s="77" t="s">
        <v>339</v>
      </c>
      <c r="E70" s="50" t="s">
        <v>310</v>
      </c>
      <c r="F70" s="49" t="s">
        <v>311</v>
      </c>
      <c r="G70" s="52">
        <v>0.89</v>
      </c>
      <c r="H70" s="52">
        <v>1.72</v>
      </c>
      <c r="I70" s="51">
        <v>-54760359</v>
      </c>
      <c r="J70" s="51">
        <v>-3300</v>
      </c>
      <c r="K70" s="56">
        <v>16594.05</v>
      </c>
      <c r="L70" s="62">
        <v>15100</v>
      </c>
      <c r="M70" s="61" t="s">
        <v>362</v>
      </c>
      <c r="N70" s="60" t="s">
        <v>371</v>
      </c>
      <c r="O70" s="59">
        <v>-1.95</v>
      </c>
      <c r="P70" s="51">
        <v>4930359</v>
      </c>
      <c r="Q70" s="52">
        <v>9</v>
      </c>
      <c r="R70" s="51">
        <v>990000</v>
      </c>
      <c r="S70" s="51">
        <v>504947</v>
      </c>
      <c r="T70" s="50" t="s">
        <v>269</v>
      </c>
      <c r="U70" s="49" t="s">
        <v>343</v>
      </c>
      <c r="V70" s="48" t="s">
        <v>342</v>
      </c>
      <c r="W70" s="48" t="s">
        <v>342</v>
      </c>
    </row>
    <row r="71" spans="1:23">
      <c r="A71" s="40" t="s">
        <v>427</v>
      </c>
      <c r="B71" s="40" t="s">
        <v>399</v>
      </c>
      <c r="C71" s="39" t="s">
        <v>668</v>
      </c>
      <c r="D71" s="72" t="s">
        <v>339</v>
      </c>
      <c r="E71" s="40" t="s">
        <v>432</v>
      </c>
      <c r="F71" s="39" t="s">
        <v>431</v>
      </c>
      <c r="G71" s="42">
        <v>1.7</v>
      </c>
      <c r="H71" s="42">
        <v>3.26</v>
      </c>
      <c r="I71" s="41">
        <v>-96050577</v>
      </c>
      <c r="J71" s="41">
        <v>-3962</v>
      </c>
      <c r="K71" s="46">
        <v>24242.95</v>
      </c>
      <c r="L71" s="70">
        <v>23850</v>
      </c>
      <c r="M71" s="69" t="s">
        <v>362</v>
      </c>
      <c r="N71" s="68" t="s">
        <v>401</v>
      </c>
      <c r="O71" s="67">
        <v>-0.62</v>
      </c>
      <c r="P71" s="41">
        <v>1556877</v>
      </c>
      <c r="Q71" s="42">
        <v>1.62</v>
      </c>
      <c r="R71" s="41">
        <v>594300</v>
      </c>
      <c r="S71" s="41">
        <v>668924</v>
      </c>
      <c r="T71" s="40" t="s">
        <v>269</v>
      </c>
      <c r="U71" s="39" t="s">
        <v>343</v>
      </c>
      <c r="V71" s="38" t="s">
        <v>342</v>
      </c>
      <c r="W71" s="38" t="s">
        <v>342</v>
      </c>
    </row>
    <row r="72" spans="1:23">
      <c r="A72" s="50" t="s">
        <v>375</v>
      </c>
      <c r="B72" s="50" t="s">
        <v>399</v>
      </c>
      <c r="C72" s="49" t="s">
        <v>668</v>
      </c>
      <c r="D72" s="77" t="s">
        <v>339</v>
      </c>
      <c r="E72" s="50" t="s">
        <v>261</v>
      </c>
      <c r="F72" s="49" t="s">
        <v>262</v>
      </c>
      <c r="G72" s="52">
        <v>0.53</v>
      </c>
      <c r="H72" s="52">
        <v>1.02</v>
      </c>
      <c r="I72" s="51">
        <v>-31712895</v>
      </c>
      <c r="J72" s="51">
        <v>-447</v>
      </c>
      <c r="K72" s="56">
        <v>70946.070000000007</v>
      </c>
      <c r="L72" s="76">
        <v>66200</v>
      </c>
      <c r="M72" s="75" t="s">
        <v>367</v>
      </c>
      <c r="N72" s="74" t="s">
        <v>384</v>
      </c>
      <c r="O72" s="73">
        <v>1.53</v>
      </c>
      <c r="P72" s="51">
        <v>2121495</v>
      </c>
      <c r="Q72" s="52">
        <v>6.69</v>
      </c>
      <c r="R72" s="51">
        <v>-447000</v>
      </c>
      <c r="S72" s="51">
        <v>466870</v>
      </c>
      <c r="T72" s="50" t="s">
        <v>269</v>
      </c>
      <c r="U72" s="49" t="s">
        <v>343</v>
      </c>
      <c r="V72" s="48" t="s">
        <v>342</v>
      </c>
      <c r="W72" s="48" t="s">
        <v>342</v>
      </c>
    </row>
    <row r="73" spans="1:23">
      <c r="A73" s="40" t="s">
        <v>422</v>
      </c>
      <c r="B73" s="40" t="s">
        <v>399</v>
      </c>
      <c r="C73" s="39" t="s">
        <v>668</v>
      </c>
      <c r="D73" s="72" t="s">
        <v>339</v>
      </c>
      <c r="E73" s="40" t="s">
        <v>163</v>
      </c>
      <c r="F73" s="39" t="s">
        <v>164</v>
      </c>
      <c r="G73" s="42">
        <v>0.48</v>
      </c>
      <c r="H73" s="42">
        <v>0.92</v>
      </c>
      <c r="I73" s="41">
        <v>-26029010</v>
      </c>
      <c r="J73" s="41">
        <v>-100</v>
      </c>
      <c r="K73" s="58">
        <v>260290.1</v>
      </c>
      <c r="L73" s="66">
        <v>268500</v>
      </c>
      <c r="M73" s="65" t="s">
        <v>367</v>
      </c>
      <c r="N73" s="64" t="s">
        <v>428</v>
      </c>
      <c r="O73" s="63">
        <v>0.19</v>
      </c>
      <c r="P73" s="41">
        <v>-820990</v>
      </c>
      <c r="Q73" s="42">
        <v>-3.15</v>
      </c>
      <c r="R73" s="41">
        <v>-50000</v>
      </c>
      <c r="S73" s="41">
        <v>930988</v>
      </c>
      <c r="T73" s="40" t="s">
        <v>269</v>
      </c>
      <c r="U73" s="39" t="s">
        <v>343</v>
      </c>
      <c r="V73" s="38" t="s">
        <v>342</v>
      </c>
      <c r="W73" s="38" t="s">
        <v>342</v>
      </c>
    </row>
    <row r="74" spans="1:23">
      <c r="A74" s="50" t="s">
        <v>421</v>
      </c>
      <c r="B74" s="50" t="s">
        <v>399</v>
      </c>
      <c r="C74" s="49" t="s">
        <v>668</v>
      </c>
      <c r="D74" s="77" t="s">
        <v>339</v>
      </c>
      <c r="E74" s="50" t="s">
        <v>165</v>
      </c>
      <c r="F74" s="49" t="s">
        <v>166</v>
      </c>
      <c r="G74" s="52">
        <v>0.7</v>
      </c>
      <c r="H74" s="52">
        <v>1.34</v>
      </c>
      <c r="I74" s="51">
        <v>-32427005</v>
      </c>
      <c r="J74" s="51">
        <v>-1143</v>
      </c>
      <c r="K74" s="56">
        <v>28370.080000000002</v>
      </c>
      <c r="L74" s="62">
        <v>34100</v>
      </c>
      <c r="M74" s="61" t="s">
        <v>362</v>
      </c>
      <c r="N74" s="60" t="s">
        <v>426</v>
      </c>
      <c r="O74" s="59">
        <v>-3.94</v>
      </c>
      <c r="P74" s="51">
        <v>-6549295</v>
      </c>
      <c r="Q74" s="52">
        <v>-20.2</v>
      </c>
      <c r="R74" s="51">
        <v>1600200</v>
      </c>
      <c r="S74" s="51">
        <v>427128</v>
      </c>
      <c r="T74" s="50" t="s">
        <v>269</v>
      </c>
      <c r="U74" s="49" t="s">
        <v>343</v>
      </c>
      <c r="V74" s="48" t="s">
        <v>342</v>
      </c>
      <c r="W74" s="48" t="s">
        <v>342</v>
      </c>
    </row>
    <row r="75" spans="1:23">
      <c r="A75" s="40" t="s">
        <v>420</v>
      </c>
      <c r="B75" s="40" t="s">
        <v>399</v>
      </c>
      <c r="C75" s="39" t="s">
        <v>668</v>
      </c>
      <c r="D75" s="72" t="s">
        <v>339</v>
      </c>
      <c r="E75" s="40" t="s">
        <v>425</v>
      </c>
      <c r="F75" s="39" t="s">
        <v>424</v>
      </c>
      <c r="G75" s="42">
        <v>1.59</v>
      </c>
      <c r="H75" s="42">
        <v>3.05</v>
      </c>
      <c r="I75" s="41">
        <v>-91281236</v>
      </c>
      <c r="J75" s="41">
        <v>-820</v>
      </c>
      <c r="K75" s="46">
        <v>111318.58</v>
      </c>
      <c r="L75" s="70">
        <v>108000</v>
      </c>
      <c r="M75" s="69" t="s">
        <v>362</v>
      </c>
      <c r="N75" s="68" t="s">
        <v>423</v>
      </c>
      <c r="O75" s="67">
        <v>-0.55000000000000004</v>
      </c>
      <c r="P75" s="41">
        <v>2721236</v>
      </c>
      <c r="Q75" s="42">
        <v>2.98</v>
      </c>
      <c r="R75" s="41">
        <v>492000</v>
      </c>
      <c r="S75" s="41">
        <v>507809</v>
      </c>
      <c r="T75" s="40" t="s">
        <v>269</v>
      </c>
      <c r="U75" s="39" t="s">
        <v>343</v>
      </c>
      <c r="V75" s="38" t="s">
        <v>342</v>
      </c>
      <c r="W75" s="38" t="s">
        <v>342</v>
      </c>
    </row>
    <row r="76" spans="1:23">
      <c r="A76" s="50" t="s">
        <v>418</v>
      </c>
      <c r="B76" s="50" t="s">
        <v>399</v>
      </c>
      <c r="C76" s="49" t="s">
        <v>668</v>
      </c>
      <c r="D76" s="77" t="s">
        <v>339</v>
      </c>
      <c r="E76" s="50" t="s">
        <v>316</v>
      </c>
      <c r="F76" s="49" t="s">
        <v>317</v>
      </c>
      <c r="G76" s="52">
        <v>0.43</v>
      </c>
      <c r="H76" s="52">
        <v>0.83</v>
      </c>
      <c r="I76" s="51">
        <v>-27514126</v>
      </c>
      <c r="J76" s="51">
        <v>-950</v>
      </c>
      <c r="K76" s="56">
        <v>28962.240000000002</v>
      </c>
      <c r="L76" s="76">
        <v>25500</v>
      </c>
      <c r="M76" s="75" t="s">
        <v>367</v>
      </c>
      <c r="N76" s="74" t="s">
        <v>391</v>
      </c>
      <c r="O76" s="73">
        <v>3.24</v>
      </c>
      <c r="P76" s="51">
        <v>3289126</v>
      </c>
      <c r="Q76" s="52">
        <v>11.95</v>
      </c>
      <c r="R76" s="51">
        <v>-760000</v>
      </c>
      <c r="S76" s="51">
        <v>110424</v>
      </c>
      <c r="T76" s="50" t="s">
        <v>269</v>
      </c>
      <c r="U76" s="49" t="s">
        <v>343</v>
      </c>
      <c r="V76" s="48" t="s">
        <v>342</v>
      </c>
      <c r="W76" s="48" t="s">
        <v>342</v>
      </c>
    </row>
    <row r="77" spans="1:23">
      <c r="A77" s="40" t="s">
        <v>417</v>
      </c>
      <c r="B77" s="40" t="s">
        <v>399</v>
      </c>
      <c r="C77" s="39" t="s">
        <v>668</v>
      </c>
      <c r="D77" s="72" t="s">
        <v>339</v>
      </c>
      <c r="E77" s="40" t="s">
        <v>240</v>
      </c>
      <c r="F77" s="39" t="s">
        <v>241</v>
      </c>
      <c r="G77" s="42">
        <v>1.43</v>
      </c>
      <c r="H77" s="42">
        <v>2.74</v>
      </c>
      <c r="I77" s="41">
        <v>-83121555</v>
      </c>
      <c r="J77" s="41">
        <v>-948</v>
      </c>
      <c r="K77" s="46">
        <v>87680.97</v>
      </c>
      <c r="L77" s="66">
        <v>83800</v>
      </c>
      <c r="M77" s="65" t="s">
        <v>367</v>
      </c>
      <c r="N77" s="64" t="s">
        <v>371</v>
      </c>
      <c r="O77" s="63">
        <v>0.36</v>
      </c>
      <c r="P77" s="41">
        <v>3679155</v>
      </c>
      <c r="Q77" s="42">
        <v>4.43</v>
      </c>
      <c r="R77" s="41">
        <v>-284400</v>
      </c>
      <c r="S77" s="41">
        <v>461182</v>
      </c>
      <c r="T77" s="40" t="s">
        <v>269</v>
      </c>
      <c r="U77" s="39" t="s">
        <v>343</v>
      </c>
      <c r="V77" s="38" t="s">
        <v>342</v>
      </c>
      <c r="W77" s="38" t="s">
        <v>342</v>
      </c>
    </row>
    <row r="78" spans="1:23">
      <c r="A78" s="50" t="s">
        <v>413</v>
      </c>
      <c r="B78" s="50" t="s">
        <v>399</v>
      </c>
      <c r="C78" s="49" t="s">
        <v>668</v>
      </c>
      <c r="D78" s="77" t="s">
        <v>339</v>
      </c>
      <c r="E78" s="50" t="s">
        <v>218</v>
      </c>
      <c r="F78" s="49" t="s">
        <v>219</v>
      </c>
      <c r="G78" s="52">
        <v>1.59</v>
      </c>
      <c r="H78" s="52">
        <v>3.05</v>
      </c>
      <c r="I78" s="51">
        <v>-96038952</v>
      </c>
      <c r="J78" s="51">
        <v>-3660</v>
      </c>
      <c r="K78" s="56">
        <v>26240.15</v>
      </c>
      <c r="L78" s="76">
        <v>24200</v>
      </c>
      <c r="M78" s="75" t="s">
        <v>367</v>
      </c>
      <c r="N78" s="74" t="s">
        <v>419</v>
      </c>
      <c r="O78" s="73">
        <v>3.2</v>
      </c>
      <c r="P78" s="51">
        <v>7466952</v>
      </c>
      <c r="Q78" s="52">
        <v>7.77</v>
      </c>
      <c r="R78" s="51">
        <v>-2745000</v>
      </c>
      <c r="S78" s="51">
        <v>588208</v>
      </c>
      <c r="T78" s="50" t="s">
        <v>269</v>
      </c>
      <c r="U78" s="49" t="s">
        <v>343</v>
      </c>
      <c r="V78" s="48" t="s">
        <v>342</v>
      </c>
      <c r="W78" s="48" t="s">
        <v>342</v>
      </c>
    </row>
    <row r="79" spans="1:23">
      <c r="A79" s="40" t="s">
        <v>412</v>
      </c>
      <c r="B79" s="40" t="s">
        <v>399</v>
      </c>
      <c r="C79" s="39" t="s">
        <v>668</v>
      </c>
      <c r="D79" s="72" t="s">
        <v>339</v>
      </c>
      <c r="E79" s="40" t="s">
        <v>263</v>
      </c>
      <c r="F79" s="39" t="s">
        <v>264</v>
      </c>
      <c r="G79" s="42">
        <v>1.57</v>
      </c>
      <c r="H79" s="42">
        <v>3.02</v>
      </c>
      <c r="I79" s="41">
        <v>-86770270</v>
      </c>
      <c r="J79" s="41">
        <v>-700</v>
      </c>
      <c r="K79" s="46">
        <v>123957.53</v>
      </c>
      <c r="L79" s="70">
        <v>125000</v>
      </c>
      <c r="M79" s="69" t="s">
        <v>362</v>
      </c>
      <c r="N79" s="68" t="s">
        <v>398</v>
      </c>
      <c r="O79" s="67">
        <v>-1.57</v>
      </c>
      <c r="P79" s="41">
        <v>-729730</v>
      </c>
      <c r="Q79" s="42">
        <v>-0.84</v>
      </c>
      <c r="R79" s="41">
        <v>1400000</v>
      </c>
      <c r="S79" s="41">
        <v>348430</v>
      </c>
      <c r="T79" s="40" t="s">
        <v>269</v>
      </c>
      <c r="U79" s="39" t="s">
        <v>343</v>
      </c>
      <c r="V79" s="38" t="s">
        <v>342</v>
      </c>
      <c r="W79" s="38" t="s">
        <v>342</v>
      </c>
    </row>
    <row r="80" spans="1:23">
      <c r="A80" s="50" t="s">
        <v>409</v>
      </c>
      <c r="B80" s="50" t="s">
        <v>399</v>
      </c>
      <c r="C80" s="49" t="s">
        <v>668</v>
      </c>
      <c r="D80" s="77" t="s">
        <v>339</v>
      </c>
      <c r="E80" s="50" t="s">
        <v>416</v>
      </c>
      <c r="F80" s="49" t="s">
        <v>415</v>
      </c>
      <c r="G80" s="52">
        <v>0.54</v>
      </c>
      <c r="H80" s="52">
        <v>1.03</v>
      </c>
      <c r="I80" s="51">
        <v>-28353190</v>
      </c>
      <c r="J80" s="51">
        <v>-1610</v>
      </c>
      <c r="K80" s="56">
        <v>17610.68</v>
      </c>
      <c r="L80" s="62">
        <v>18700</v>
      </c>
      <c r="M80" s="61" t="s">
        <v>362</v>
      </c>
      <c r="N80" s="60" t="s">
        <v>414</v>
      </c>
      <c r="O80" s="59">
        <v>-1.06</v>
      </c>
      <c r="P80" s="51">
        <v>-1753810</v>
      </c>
      <c r="Q80" s="52">
        <v>-6.19</v>
      </c>
      <c r="R80" s="51">
        <v>322000</v>
      </c>
      <c r="S80" s="51">
        <v>113810</v>
      </c>
      <c r="T80" s="50" t="s">
        <v>269</v>
      </c>
      <c r="U80" s="49" t="s">
        <v>343</v>
      </c>
      <c r="V80" s="48" t="s">
        <v>342</v>
      </c>
      <c r="W80" s="48" t="s">
        <v>342</v>
      </c>
    </row>
    <row r="81" spans="1:23">
      <c r="A81" s="40" t="s">
        <v>408</v>
      </c>
      <c r="B81" s="40" t="s">
        <v>399</v>
      </c>
      <c r="C81" s="39" t="s">
        <v>668</v>
      </c>
      <c r="D81" s="72" t="s">
        <v>339</v>
      </c>
      <c r="E81" s="40" t="s">
        <v>280</v>
      </c>
      <c r="F81" s="39" t="s">
        <v>281</v>
      </c>
      <c r="G81" s="42">
        <v>2.04</v>
      </c>
      <c r="H81" s="42">
        <v>3.92</v>
      </c>
      <c r="I81" s="41">
        <v>-119886162</v>
      </c>
      <c r="J81" s="41">
        <v>-720</v>
      </c>
      <c r="K81" s="46">
        <v>166508.56</v>
      </c>
      <c r="L81" s="66">
        <v>158000</v>
      </c>
      <c r="M81" s="65" t="s">
        <v>367</v>
      </c>
      <c r="N81" s="64" t="s">
        <v>398</v>
      </c>
      <c r="O81" s="63">
        <v>1.28</v>
      </c>
      <c r="P81" s="41">
        <v>6126162</v>
      </c>
      <c r="Q81" s="42">
        <v>5.1100000000000003</v>
      </c>
      <c r="R81" s="41">
        <v>-1440000</v>
      </c>
      <c r="S81" s="41">
        <v>481338</v>
      </c>
      <c r="T81" s="40" t="s">
        <v>269</v>
      </c>
      <c r="U81" s="39" t="s">
        <v>343</v>
      </c>
      <c r="V81" s="38" t="s">
        <v>342</v>
      </c>
      <c r="W81" s="38" t="s">
        <v>342</v>
      </c>
    </row>
    <row r="82" spans="1:23">
      <c r="A82" s="50" t="s">
        <v>407</v>
      </c>
      <c r="B82" s="50" t="s">
        <v>399</v>
      </c>
      <c r="C82" s="49" t="s">
        <v>668</v>
      </c>
      <c r="D82" s="77" t="s">
        <v>339</v>
      </c>
      <c r="E82" s="50" t="s">
        <v>411</v>
      </c>
      <c r="F82" s="49" t="s">
        <v>410</v>
      </c>
      <c r="G82" s="52">
        <v>0.97</v>
      </c>
      <c r="H82" s="52">
        <v>1.87</v>
      </c>
      <c r="I82" s="51">
        <v>-56351710</v>
      </c>
      <c r="J82" s="51">
        <v>-880</v>
      </c>
      <c r="K82" s="56">
        <v>64036.03</v>
      </c>
      <c r="L82" s="62">
        <v>61600</v>
      </c>
      <c r="M82" s="61" t="s">
        <v>362</v>
      </c>
      <c r="N82" s="60" t="s">
        <v>355</v>
      </c>
      <c r="O82" s="59">
        <v>-0.16</v>
      </c>
      <c r="P82" s="51">
        <v>2143710</v>
      </c>
      <c r="Q82" s="52">
        <v>3.8</v>
      </c>
      <c r="R82" s="51">
        <v>88000</v>
      </c>
      <c r="S82" s="51">
        <v>511510</v>
      </c>
      <c r="T82" s="50" t="s">
        <v>269</v>
      </c>
      <c r="U82" s="49" t="s">
        <v>343</v>
      </c>
      <c r="V82" s="48" t="s">
        <v>342</v>
      </c>
      <c r="W82" s="48" t="s">
        <v>342</v>
      </c>
    </row>
    <row r="83" spans="1:23">
      <c r="A83" s="40" t="s">
        <v>405</v>
      </c>
      <c r="B83" s="40" t="s">
        <v>399</v>
      </c>
      <c r="C83" s="39" t="s">
        <v>668</v>
      </c>
      <c r="D83" s="72" t="s">
        <v>339</v>
      </c>
      <c r="E83" s="40" t="s">
        <v>296</v>
      </c>
      <c r="F83" s="39" t="s">
        <v>297</v>
      </c>
      <c r="G83" s="42">
        <v>1.68</v>
      </c>
      <c r="H83" s="42">
        <v>3.23</v>
      </c>
      <c r="I83" s="41">
        <v>-106305298</v>
      </c>
      <c r="J83" s="41">
        <v>-3058</v>
      </c>
      <c r="K83" s="46">
        <v>34763.01</v>
      </c>
      <c r="L83" s="70">
        <v>30650</v>
      </c>
      <c r="M83" s="69" t="s">
        <v>362</v>
      </c>
      <c r="N83" s="68" t="s">
        <v>355</v>
      </c>
      <c r="O83" s="67">
        <v>-0.33</v>
      </c>
      <c r="P83" s="41">
        <v>12577598</v>
      </c>
      <c r="Q83" s="42">
        <v>11.83</v>
      </c>
      <c r="R83" s="41">
        <v>305800</v>
      </c>
      <c r="S83" s="41">
        <v>426702</v>
      </c>
      <c r="T83" s="40" t="s">
        <v>269</v>
      </c>
      <c r="U83" s="39" t="s">
        <v>343</v>
      </c>
      <c r="V83" s="38" t="s">
        <v>342</v>
      </c>
      <c r="W83" s="38" t="s">
        <v>342</v>
      </c>
    </row>
    <row r="84" spans="1:23">
      <c r="A84" s="50" t="s">
        <v>402</v>
      </c>
      <c r="B84" s="50" t="s">
        <v>399</v>
      </c>
      <c r="C84" s="49" t="s">
        <v>668</v>
      </c>
      <c r="D84" s="77" t="s">
        <v>339</v>
      </c>
      <c r="E84" s="50" t="s">
        <v>312</v>
      </c>
      <c r="F84" s="49" t="s">
        <v>313</v>
      </c>
      <c r="G84" s="52">
        <v>0.46</v>
      </c>
      <c r="H84" s="52">
        <v>0.89</v>
      </c>
      <c r="I84" s="51">
        <v>-26682958</v>
      </c>
      <c r="J84" s="51">
        <v>-210</v>
      </c>
      <c r="K84" s="78">
        <v>127061.7</v>
      </c>
      <c r="L84" s="76">
        <v>122800</v>
      </c>
      <c r="M84" s="75" t="s">
        <v>367</v>
      </c>
      <c r="N84" s="74" t="s">
        <v>371</v>
      </c>
      <c r="O84" s="73">
        <v>0.24</v>
      </c>
      <c r="P84" s="51">
        <v>894958</v>
      </c>
      <c r="Q84" s="52">
        <v>3.35</v>
      </c>
      <c r="R84" s="51">
        <v>-63000</v>
      </c>
      <c r="S84" s="51">
        <v>107142</v>
      </c>
      <c r="T84" s="50" t="s">
        <v>269</v>
      </c>
      <c r="U84" s="49" t="s">
        <v>343</v>
      </c>
      <c r="V84" s="48" t="s">
        <v>342</v>
      </c>
      <c r="W84" s="48" t="s">
        <v>342</v>
      </c>
    </row>
    <row r="85" spans="1:23">
      <c r="A85" s="40" t="s">
        <v>400</v>
      </c>
      <c r="B85" s="40" t="s">
        <v>399</v>
      </c>
      <c r="C85" s="39" t="s">
        <v>669</v>
      </c>
      <c r="D85" s="47" t="s">
        <v>338</v>
      </c>
      <c r="E85" s="40" t="s">
        <v>322</v>
      </c>
      <c r="F85" s="39" t="s">
        <v>323</v>
      </c>
      <c r="G85" s="42">
        <v>1.53</v>
      </c>
      <c r="H85" s="42">
        <v>2.13</v>
      </c>
      <c r="I85" s="41">
        <v>88254660</v>
      </c>
      <c r="J85" s="41">
        <v>206</v>
      </c>
      <c r="K85" s="46">
        <v>428420.68</v>
      </c>
      <c r="L85" s="70">
        <v>415000</v>
      </c>
      <c r="M85" s="69" t="s">
        <v>362</v>
      </c>
      <c r="N85" s="68" t="s">
        <v>406</v>
      </c>
      <c r="O85" s="67">
        <v>-2.12</v>
      </c>
      <c r="P85" s="41">
        <v>-2764660</v>
      </c>
      <c r="Q85" s="42">
        <v>-3.13</v>
      </c>
      <c r="R85" s="41">
        <v>-1854000</v>
      </c>
      <c r="S85" s="41">
        <v>88160</v>
      </c>
      <c r="T85" s="40" t="s">
        <v>269</v>
      </c>
      <c r="U85" s="39" t="s">
        <v>343</v>
      </c>
      <c r="V85" s="38" t="s">
        <v>342</v>
      </c>
      <c r="W85" s="38" t="s">
        <v>342</v>
      </c>
    </row>
    <row r="86" spans="1:23">
      <c r="A86" s="50" t="s">
        <v>397</v>
      </c>
      <c r="B86" s="50" t="s">
        <v>399</v>
      </c>
      <c r="C86" s="49" t="s">
        <v>669</v>
      </c>
      <c r="D86" s="57" t="s">
        <v>338</v>
      </c>
      <c r="E86" s="50" t="s">
        <v>404</v>
      </c>
      <c r="F86" s="49" t="s">
        <v>403</v>
      </c>
      <c r="G86" s="52">
        <v>3.65</v>
      </c>
      <c r="H86" s="52">
        <v>5.07</v>
      </c>
      <c r="I86" s="51">
        <v>217035650</v>
      </c>
      <c r="J86" s="51">
        <v>25164</v>
      </c>
      <c r="K86" s="56">
        <v>8624.85</v>
      </c>
      <c r="L86" s="62">
        <v>8070</v>
      </c>
      <c r="M86" s="61" t="s">
        <v>362</v>
      </c>
      <c r="N86" s="60" t="s">
        <v>383</v>
      </c>
      <c r="O86" s="59">
        <v>-1.1000000000000001</v>
      </c>
      <c r="P86" s="51">
        <v>-13962170</v>
      </c>
      <c r="Q86" s="52">
        <v>-6.43</v>
      </c>
      <c r="R86" s="51">
        <v>-2264760</v>
      </c>
      <c r="S86" s="51">
        <v>164100</v>
      </c>
      <c r="T86" s="50" t="s">
        <v>269</v>
      </c>
      <c r="U86" s="49" t="s">
        <v>343</v>
      </c>
      <c r="V86" s="48" t="s">
        <v>342</v>
      </c>
      <c r="W86" s="48" t="s">
        <v>342</v>
      </c>
    </row>
    <row r="87" spans="1:23">
      <c r="A87" s="40" t="s">
        <v>396</v>
      </c>
      <c r="B87" s="40" t="s">
        <v>399</v>
      </c>
      <c r="C87" s="39" t="s">
        <v>669</v>
      </c>
      <c r="D87" s="72" t="s">
        <v>339</v>
      </c>
      <c r="E87" s="40" t="s">
        <v>308</v>
      </c>
      <c r="F87" s="39" t="s">
        <v>309</v>
      </c>
      <c r="G87" s="42">
        <v>3.38</v>
      </c>
      <c r="H87" s="42">
        <v>6.49</v>
      </c>
      <c r="I87" s="41">
        <v>-198135392</v>
      </c>
      <c r="J87" s="41">
        <v>-4510</v>
      </c>
      <c r="K87" s="46">
        <v>43932.46</v>
      </c>
      <c r="L87" s="70">
        <v>41700</v>
      </c>
      <c r="M87" s="69" t="s">
        <v>362</v>
      </c>
      <c r="N87" s="68" t="s">
        <v>401</v>
      </c>
      <c r="O87" s="67">
        <v>-0.36</v>
      </c>
      <c r="P87" s="41">
        <v>10068392</v>
      </c>
      <c r="Q87" s="42">
        <v>5.08</v>
      </c>
      <c r="R87" s="41">
        <v>676500</v>
      </c>
      <c r="S87" s="41">
        <v>531884</v>
      </c>
      <c r="T87" s="40" t="s">
        <v>269</v>
      </c>
      <c r="U87" s="39" t="s">
        <v>343</v>
      </c>
      <c r="V87" s="38" t="s">
        <v>342</v>
      </c>
      <c r="W87" s="38" t="s">
        <v>342</v>
      </c>
    </row>
    <row r="88" spans="1:23">
      <c r="A88" s="50" t="s">
        <v>394</v>
      </c>
      <c r="B88" s="50" t="s">
        <v>399</v>
      </c>
      <c r="C88" s="49" t="s">
        <v>669</v>
      </c>
      <c r="D88" s="77" t="s">
        <v>339</v>
      </c>
      <c r="E88" s="50" t="s">
        <v>90</v>
      </c>
      <c r="F88" s="49" t="s">
        <v>91</v>
      </c>
      <c r="G88" s="52">
        <v>1.34</v>
      </c>
      <c r="H88" s="52">
        <v>2.58</v>
      </c>
      <c r="I88" s="51">
        <v>-81594452</v>
      </c>
      <c r="J88" s="51">
        <v>-670</v>
      </c>
      <c r="K88" s="56">
        <v>121782.76</v>
      </c>
      <c r="L88" s="62">
        <v>111500</v>
      </c>
      <c r="M88" s="61" t="s">
        <v>362</v>
      </c>
      <c r="N88" s="60" t="s">
        <v>398</v>
      </c>
      <c r="O88" s="59">
        <v>-1.76</v>
      </c>
      <c r="P88" s="51">
        <v>6889452</v>
      </c>
      <c r="Q88" s="52">
        <v>8.44</v>
      </c>
      <c r="R88" s="51">
        <v>1340000</v>
      </c>
      <c r="S88" s="51">
        <v>216524</v>
      </c>
      <c r="T88" s="50" t="s">
        <v>269</v>
      </c>
      <c r="U88" s="49" t="s">
        <v>343</v>
      </c>
      <c r="V88" s="48" t="s">
        <v>342</v>
      </c>
      <c r="W88" s="48" t="s">
        <v>342</v>
      </c>
    </row>
    <row r="89" spans="1:23">
      <c r="A89" s="40" t="s">
        <v>390</v>
      </c>
      <c r="B89" s="40" t="s">
        <v>378</v>
      </c>
      <c r="C89" s="39" t="s">
        <v>255</v>
      </c>
      <c r="D89" s="47" t="s">
        <v>338</v>
      </c>
      <c r="E89" s="40" t="s">
        <v>298</v>
      </c>
      <c r="F89" s="39" t="s">
        <v>299</v>
      </c>
      <c r="G89" s="42">
        <v>1.03</v>
      </c>
      <c r="H89" s="42">
        <v>13.19</v>
      </c>
      <c r="I89" s="41">
        <v>57525010</v>
      </c>
      <c r="J89" s="41">
        <v>1644</v>
      </c>
      <c r="K89" s="46">
        <v>34990.879999999997</v>
      </c>
      <c r="L89" s="66">
        <v>34950</v>
      </c>
      <c r="M89" s="65" t="s">
        <v>367</v>
      </c>
      <c r="N89" s="64" t="s">
        <v>395</v>
      </c>
      <c r="O89" s="63">
        <v>1.1599999999999999</v>
      </c>
      <c r="P89" s="41">
        <v>-67210</v>
      </c>
      <c r="Q89" s="42">
        <v>-0.12</v>
      </c>
      <c r="R89" s="41">
        <v>657600</v>
      </c>
      <c r="S89" s="41">
        <v>57460</v>
      </c>
      <c r="T89" s="40" t="s">
        <v>269</v>
      </c>
      <c r="U89" s="39" t="s">
        <v>343</v>
      </c>
      <c r="V89" s="38" t="s">
        <v>342</v>
      </c>
      <c r="W89" s="38" t="s">
        <v>342</v>
      </c>
    </row>
    <row r="90" spans="1:23">
      <c r="A90" s="50" t="s">
        <v>388</v>
      </c>
      <c r="B90" s="50" t="s">
        <v>378</v>
      </c>
      <c r="C90" s="49" t="s">
        <v>255</v>
      </c>
      <c r="D90" s="57" t="s">
        <v>338</v>
      </c>
      <c r="E90" s="50" t="s">
        <v>50</v>
      </c>
      <c r="F90" s="49" t="s">
        <v>51</v>
      </c>
      <c r="G90" s="52">
        <v>1</v>
      </c>
      <c r="H90" s="52">
        <v>12.85</v>
      </c>
      <c r="I90" s="51">
        <v>63967240</v>
      </c>
      <c r="J90" s="51">
        <v>2879</v>
      </c>
      <c r="K90" s="56">
        <v>22218.560000000001</v>
      </c>
      <c r="L90" s="76">
        <v>19450</v>
      </c>
      <c r="M90" s="75" t="s">
        <v>367</v>
      </c>
      <c r="N90" s="74" t="s">
        <v>395</v>
      </c>
      <c r="O90" s="73">
        <v>2.1</v>
      </c>
      <c r="P90" s="51">
        <v>-7970690</v>
      </c>
      <c r="Q90" s="52">
        <v>-12.46</v>
      </c>
      <c r="R90" s="51">
        <v>1151600</v>
      </c>
      <c r="S90" s="51">
        <v>63890</v>
      </c>
      <c r="T90" s="50" t="s">
        <v>269</v>
      </c>
      <c r="U90" s="49" t="s">
        <v>343</v>
      </c>
      <c r="V90" s="48" t="s">
        <v>342</v>
      </c>
      <c r="W90" s="48" t="s">
        <v>342</v>
      </c>
    </row>
    <row r="91" spans="1:23">
      <c r="A91" s="40" t="s">
        <v>387</v>
      </c>
      <c r="B91" s="40" t="s">
        <v>378</v>
      </c>
      <c r="C91" s="39" t="s">
        <v>255</v>
      </c>
      <c r="D91" s="47" t="s">
        <v>338</v>
      </c>
      <c r="E91" s="40" t="s">
        <v>393</v>
      </c>
      <c r="F91" s="39" t="s">
        <v>392</v>
      </c>
      <c r="G91" s="42">
        <v>0.98</v>
      </c>
      <c r="H91" s="42">
        <v>12.56</v>
      </c>
      <c r="I91" s="41">
        <v>57149290</v>
      </c>
      <c r="J91" s="41">
        <v>886</v>
      </c>
      <c r="K91" s="46">
        <v>64502.58</v>
      </c>
      <c r="L91" s="66">
        <v>61800</v>
      </c>
      <c r="M91" s="65" t="s">
        <v>367</v>
      </c>
      <c r="N91" s="64" t="s">
        <v>391</v>
      </c>
      <c r="O91" s="63">
        <v>1.31</v>
      </c>
      <c r="P91" s="41">
        <v>-2394490</v>
      </c>
      <c r="Q91" s="42">
        <v>-4.1900000000000004</v>
      </c>
      <c r="R91" s="41">
        <v>708800</v>
      </c>
      <c r="S91" s="41">
        <v>55390</v>
      </c>
      <c r="T91" s="40" t="s">
        <v>269</v>
      </c>
      <c r="U91" s="39" t="s">
        <v>343</v>
      </c>
      <c r="V91" s="38" t="s">
        <v>342</v>
      </c>
      <c r="W91" s="38" t="s">
        <v>342</v>
      </c>
    </row>
    <row r="92" spans="1:23">
      <c r="A92" s="50" t="s">
        <v>383</v>
      </c>
      <c r="B92" s="50" t="s">
        <v>378</v>
      </c>
      <c r="C92" s="49" t="s">
        <v>255</v>
      </c>
      <c r="D92" s="57" t="s">
        <v>338</v>
      </c>
      <c r="E92" s="50" t="s">
        <v>305</v>
      </c>
      <c r="F92" s="49" t="s">
        <v>306</v>
      </c>
      <c r="G92" s="52">
        <v>0.63</v>
      </c>
      <c r="H92" s="52">
        <v>8.08</v>
      </c>
      <c r="I92" s="51">
        <v>30924450</v>
      </c>
      <c r="J92" s="51">
        <v>136</v>
      </c>
      <c r="K92" s="56">
        <v>227385.66</v>
      </c>
      <c r="L92" s="62">
        <v>259000</v>
      </c>
      <c r="M92" s="61" t="s">
        <v>362</v>
      </c>
      <c r="N92" s="60" t="s">
        <v>389</v>
      </c>
      <c r="O92" s="59">
        <v>-1.33</v>
      </c>
      <c r="P92" s="51">
        <v>4299550</v>
      </c>
      <c r="Q92" s="52">
        <v>13.9</v>
      </c>
      <c r="R92" s="51">
        <v>-476000</v>
      </c>
      <c r="S92" s="51">
        <v>15450</v>
      </c>
      <c r="T92" s="50" t="s">
        <v>269</v>
      </c>
      <c r="U92" s="49" t="s">
        <v>343</v>
      </c>
      <c r="V92" s="48" t="s">
        <v>342</v>
      </c>
      <c r="W92" s="48" t="s">
        <v>342</v>
      </c>
    </row>
    <row r="93" spans="1:23">
      <c r="A93" s="40" t="s">
        <v>381</v>
      </c>
      <c r="B93" s="40" t="s">
        <v>378</v>
      </c>
      <c r="C93" s="39" t="s">
        <v>254</v>
      </c>
      <c r="D93" s="47" t="s">
        <v>338</v>
      </c>
      <c r="E93" s="40" t="s">
        <v>282</v>
      </c>
      <c r="F93" s="39" t="s">
        <v>283</v>
      </c>
      <c r="G93" s="42">
        <v>1.01</v>
      </c>
      <c r="H93" s="42">
        <v>12.98</v>
      </c>
      <c r="I93" s="41">
        <v>62939673</v>
      </c>
      <c r="J93" s="41">
        <v>3231</v>
      </c>
      <c r="K93" s="46">
        <v>19479.939999999999</v>
      </c>
      <c r="L93" s="66">
        <v>17500</v>
      </c>
      <c r="M93" s="65" t="s">
        <v>367</v>
      </c>
      <c r="N93" s="64" t="s">
        <v>371</v>
      </c>
      <c r="O93" s="63">
        <v>1.74</v>
      </c>
      <c r="P93" s="41">
        <v>-6397173</v>
      </c>
      <c r="Q93" s="42">
        <v>-10.16</v>
      </c>
      <c r="R93" s="41">
        <v>969300</v>
      </c>
      <c r="S93" s="41">
        <v>150630</v>
      </c>
      <c r="T93" s="40" t="s">
        <v>269</v>
      </c>
      <c r="U93" s="39" t="s">
        <v>343</v>
      </c>
      <c r="V93" s="38" t="s">
        <v>342</v>
      </c>
      <c r="W93" s="38" t="s">
        <v>342</v>
      </c>
    </row>
    <row r="94" spans="1:23">
      <c r="A94" s="50" t="s">
        <v>379</v>
      </c>
      <c r="B94" s="50" t="s">
        <v>378</v>
      </c>
      <c r="C94" s="49" t="s">
        <v>254</v>
      </c>
      <c r="D94" s="57" t="s">
        <v>338</v>
      </c>
      <c r="E94" s="50" t="s">
        <v>386</v>
      </c>
      <c r="F94" s="49" t="s">
        <v>385</v>
      </c>
      <c r="G94" s="52">
        <v>0.49</v>
      </c>
      <c r="H94" s="52">
        <v>6.32</v>
      </c>
      <c r="I94" s="51">
        <v>27787500</v>
      </c>
      <c r="J94" s="51">
        <v>171</v>
      </c>
      <c r="K94" s="51">
        <v>162500</v>
      </c>
      <c r="L94" s="62">
        <v>161000</v>
      </c>
      <c r="M94" s="61" t="s">
        <v>362</v>
      </c>
      <c r="N94" s="60" t="s">
        <v>384</v>
      </c>
      <c r="O94" s="59">
        <v>-0.62</v>
      </c>
      <c r="P94" s="51">
        <v>-256500</v>
      </c>
      <c r="Q94" s="52">
        <v>-0.92</v>
      </c>
      <c r="R94" s="51">
        <v>-256500</v>
      </c>
      <c r="S94" s="51">
        <v>0</v>
      </c>
      <c r="T94" s="50" t="s">
        <v>269</v>
      </c>
      <c r="U94" s="49" t="s">
        <v>343</v>
      </c>
      <c r="V94" s="48" t="s">
        <v>342</v>
      </c>
      <c r="W94" s="48" t="s">
        <v>342</v>
      </c>
    </row>
    <row r="95" spans="1:23">
      <c r="A95" s="40" t="s">
        <v>374</v>
      </c>
      <c r="B95" s="40" t="s">
        <v>378</v>
      </c>
      <c r="C95" s="39" t="s">
        <v>254</v>
      </c>
      <c r="D95" s="47" t="s">
        <v>338</v>
      </c>
      <c r="E95" s="40" t="s">
        <v>202</v>
      </c>
      <c r="F95" s="39" t="s">
        <v>203</v>
      </c>
      <c r="G95" s="42">
        <v>1.68</v>
      </c>
      <c r="H95" s="42">
        <v>21.51</v>
      </c>
      <c r="I95" s="41">
        <v>82695600</v>
      </c>
      <c r="J95" s="41">
        <v>627</v>
      </c>
      <c r="K95" s="46">
        <v>131890.91</v>
      </c>
      <c r="L95" s="70">
        <v>149500</v>
      </c>
      <c r="M95" s="69" t="s">
        <v>362</v>
      </c>
      <c r="N95" s="68" t="s">
        <v>382</v>
      </c>
      <c r="O95" s="67">
        <v>-0.99</v>
      </c>
      <c r="P95" s="41">
        <v>11040900</v>
      </c>
      <c r="Q95" s="42">
        <v>13.35</v>
      </c>
      <c r="R95" s="41">
        <v>-940500</v>
      </c>
      <c r="S95" s="41">
        <v>82600</v>
      </c>
      <c r="T95" s="40" t="s">
        <v>269</v>
      </c>
      <c r="U95" s="39" t="s">
        <v>343</v>
      </c>
      <c r="V95" s="38" t="s">
        <v>342</v>
      </c>
      <c r="W95" s="38" t="s">
        <v>342</v>
      </c>
    </row>
    <row r="96" spans="1:23">
      <c r="A96" s="50" t="s">
        <v>372</v>
      </c>
      <c r="B96" s="50" t="s">
        <v>378</v>
      </c>
      <c r="C96" s="49" t="s">
        <v>197</v>
      </c>
      <c r="D96" s="77" t="s">
        <v>339</v>
      </c>
      <c r="E96" s="50" t="s">
        <v>270</v>
      </c>
      <c r="F96" s="49" t="s">
        <v>271</v>
      </c>
      <c r="G96" s="52">
        <v>18.489999999999998</v>
      </c>
      <c r="H96" s="52">
        <v>100</v>
      </c>
      <c r="I96" s="51">
        <v>-992088890</v>
      </c>
      <c r="J96" s="51">
        <v>-8</v>
      </c>
      <c r="K96" s="56">
        <v>248.02</v>
      </c>
      <c r="L96" s="90">
        <v>256.7</v>
      </c>
      <c r="M96" s="61" t="s">
        <v>362</v>
      </c>
      <c r="N96" s="60" t="s">
        <v>380</v>
      </c>
      <c r="O96" s="59">
        <v>0.27</v>
      </c>
      <c r="P96" s="51">
        <v>-34711110</v>
      </c>
      <c r="Q96" s="52">
        <v>-3.5</v>
      </c>
      <c r="R96" s="51">
        <v>2800000</v>
      </c>
      <c r="S96" s="51">
        <v>349890</v>
      </c>
      <c r="T96" s="50" t="s">
        <v>269</v>
      </c>
      <c r="U96" s="49" t="s">
        <v>343</v>
      </c>
      <c r="V96" s="48" t="s">
        <v>342</v>
      </c>
      <c r="W96" s="48" t="s">
        <v>342</v>
      </c>
    </row>
    <row r="97" spans="1:23">
      <c r="A97" s="40" t="s">
        <v>370</v>
      </c>
      <c r="B97" s="40" t="s">
        <v>378</v>
      </c>
      <c r="C97" s="39" t="s">
        <v>260</v>
      </c>
      <c r="D97" s="47" t="s">
        <v>338</v>
      </c>
      <c r="E97" s="40" t="s">
        <v>377</v>
      </c>
      <c r="F97" s="39" t="s">
        <v>376</v>
      </c>
      <c r="G97" s="42">
        <v>0.97</v>
      </c>
      <c r="H97" s="42">
        <v>12.47</v>
      </c>
      <c r="I97" s="41">
        <v>59650150</v>
      </c>
      <c r="J97" s="41">
        <v>8740</v>
      </c>
      <c r="K97" s="46">
        <v>6824.96</v>
      </c>
      <c r="L97" s="70">
        <v>6220</v>
      </c>
      <c r="M97" s="69" t="s">
        <v>362</v>
      </c>
      <c r="N97" s="68" t="s">
        <v>375</v>
      </c>
      <c r="O97" s="67">
        <v>-1.1100000000000001</v>
      </c>
      <c r="P97" s="41">
        <v>-5287350</v>
      </c>
      <c r="Q97" s="42">
        <v>-8.86</v>
      </c>
      <c r="R97" s="41">
        <v>-611800</v>
      </c>
      <c r="S97" s="41">
        <v>52200</v>
      </c>
      <c r="T97" s="40" t="s">
        <v>269</v>
      </c>
      <c r="U97" s="39" t="s">
        <v>343</v>
      </c>
      <c r="V97" s="38" t="s">
        <v>342</v>
      </c>
      <c r="W97" s="38" t="s">
        <v>342</v>
      </c>
    </row>
    <row r="98" spans="1:23">
      <c r="A98" s="50" t="s">
        <v>365</v>
      </c>
      <c r="B98" s="50" t="s">
        <v>349</v>
      </c>
      <c r="C98" s="49" t="s">
        <v>251</v>
      </c>
      <c r="D98" s="57" t="s">
        <v>338</v>
      </c>
      <c r="E98" s="50" t="s">
        <v>295</v>
      </c>
      <c r="F98" s="49" t="s">
        <v>307</v>
      </c>
      <c r="G98" s="52">
        <v>0.02</v>
      </c>
      <c r="H98" s="52">
        <v>0.28000000000000003</v>
      </c>
      <c r="I98" s="51">
        <v>1275170</v>
      </c>
      <c r="J98" s="51">
        <v>577</v>
      </c>
      <c r="K98" s="51">
        <v>2210</v>
      </c>
      <c r="L98" s="62">
        <v>2335</v>
      </c>
      <c r="M98" s="61" t="s">
        <v>362</v>
      </c>
      <c r="N98" s="60" t="s">
        <v>373</v>
      </c>
      <c r="O98" s="59">
        <v>-2.2999999999999998</v>
      </c>
      <c r="P98" s="51">
        <v>72125</v>
      </c>
      <c r="Q98" s="52">
        <v>5.66</v>
      </c>
      <c r="R98" s="51">
        <v>-31735</v>
      </c>
      <c r="S98" s="51">
        <v>0</v>
      </c>
      <c r="T98" s="50" t="s">
        <v>269</v>
      </c>
      <c r="U98" s="49" t="s">
        <v>343</v>
      </c>
      <c r="V98" s="48" t="s">
        <v>342</v>
      </c>
      <c r="W98" s="48" t="s">
        <v>342</v>
      </c>
    </row>
    <row r="99" spans="1:23">
      <c r="A99" s="40" t="s">
        <v>360</v>
      </c>
      <c r="B99" s="40" t="s">
        <v>349</v>
      </c>
      <c r="C99" s="39" t="s">
        <v>251</v>
      </c>
      <c r="D99" s="47" t="s">
        <v>338</v>
      </c>
      <c r="E99" s="40" t="s">
        <v>278</v>
      </c>
      <c r="F99" s="39" t="s">
        <v>279</v>
      </c>
      <c r="G99" s="42">
        <v>0.16</v>
      </c>
      <c r="H99" s="42">
        <v>1.92</v>
      </c>
      <c r="I99" s="41">
        <v>4901000</v>
      </c>
      <c r="J99" s="41">
        <v>169</v>
      </c>
      <c r="K99" s="41">
        <v>29000</v>
      </c>
      <c r="L99" s="70">
        <v>53500</v>
      </c>
      <c r="M99" s="69" t="s">
        <v>362</v>
      </c>
      <c r="N99" s="68" t="s">
        <v>371</v>
      </c>
      <c r="O99" s="67">
        <v>-0.56000000000000005</v>
      </c>
      <c r="P99" s="41">
        <v>4140500</v>
      </c>
      <c r="Q99" s="42">
        <v>84.48</v>
      </c>
      <c r="R99" s="41">
        <v>-50700</v>
      </c>
      <c r="S99" s="41">
        <v>0</v>
      </c>
      <c r="T99" s="40" t="s">
        <v>269</v>
      </c>
      <c r="U99" s="39" t="s">
        <v>343</v>
      </c>
      <c r="V99" s="38" t="s">
        <v>342</v>
      </c>
      <c r="W99" s="38" t="s">
        <v>342</v>
      </c>
    </row>
    <row r="100" spans="1:23">
      <c r="A100" s="50" t="s">
        <v>359</v>
      </c>
      <c r="B100" s="50" t="s">
        <v>349</v>
      </c>
      <c r="C100" s="49" t="s">
        <v>672</v>
      </c>
      <c r="D100" s="57" t="s">
        <v>338</v>
      </c>
      <c r="E100" s="50" t="s">
        <v>364</v>
      </c>
      <c r="F100" s="49" t="s">
        <v>363</v>
      </c>
      <c r="G100" s="52">
        <v>0.06</v>
      </c>
      <c r="H100" s="52">
        <v>0.75</v>
      </c>
      <c r="I100" s="51">
        <v>5259867</v>
      </c>
      <c r="J100" s="51">
        <v>4907</v>
      </c>
      <c r="K100" s="56">
        <v>1071.9100000000001</v>
      </c>
      <c r="L100" s="62">
        <v>722</v>
      </c>
      <c r="M100" s="61" t="s">
        <v>362</v>
      </c>
      <c r="N100" s="60" t="s">
        <v>361</v>
      </c>
      <c r="O100" s="59">
        <v>5.62</v>
      </c>
      <c r="P100" s="51">
        <v>-1717013</v>
      </c>
      <c r="Q100" s="52">
        <v>-32.64</v>
      </c>
      <c r="R100" s="51">
        <v>-211001</v>
      </c>
      <c r="S100" s="51">
        <v>0</v>
      </c>
      <c r="T100" s="50" t="s">
        <v>269</v>
      </c>
      <c r="U100" s="49" t="s">
        <v>343</v>
      </c>
      <c r="V100" s="48" t="s">
        <v>342</v>
      </c>
      <c r="W100" s="48" t="s">
        <v>342</v>
      </c>
    </row>
    <row r="101" spans="1:23">
      <c r="A101" s="40" t="s">
        <v>358</v>
      </c>
      <c r="B101" s="40" t="s">
        <v>349</v>
      </c>
      <c r="C101" s="39" t="s">
        <v>672</v>
      </c>
      <c r="D101" s="47" t="s">
        <v>338</v>
      </c>
      <c r="E101" s="40" t="s">
        <v>580</v>
      </c>
      <c r="F101" s="39" t="s">
        <v>579</v>
      </c>
      <c r="G101" s="42">
        <v>2.6</v>
      </c>
      <c r="H101" s="42">
        <v>30.87</v>
      </c>
      <c r="I101" s="41">
        <v>133917249</v>
      </c>
      <c r="J101" s="41">
        <v>145900000</v>
      </c>
      <c r="K101" s="58">
        <v>9178.7000000000007</v>
      </c>
      <c r="L101" s="46">
        <v>9929.8700000000008</v>
      </c>
      <c r="M101" s="45" t="s">
        <v>269</v>
      </c>
      <c r="N101" s="44" t="s">
        <v>342</v>
      </c>
      <c r="O101" s="43">
        <v>0</v>
      </c>
      <c r="P101" s="41">
        <v>10959554</v>
      </c>
      <c r="Q101" s="42">
        <v>8.18</v>
      </c>
      <c r="R101" s="41">
        <v>0</v>
      </c>
      <c r="S101" s="41">
        <v>0</v>
      </c>
      <c r="T101" s="40" t="s">
        <v>269</v>
      </c>
      <c r="U101" s="39" t="s">
        <v>343</v>
      </c>
      <c r="V101" s="38" t="s">
        <v>342</v>
      </c>
      <c r="W101" s="38" t="s">
        <v>342</v>
      </c>
    </row>
    <row r="102" spans="1:23">
      <c r="A102" s="50" t="s">
        <v>355</v>
      </c>
      <c r="B102" s="50" t="s">
        <v>349</v>
      </c>
      <c r="C102" s="49" t="s">
        <v>672</v>
      </c>
      <c r="D102" s="57" t="s">
        <v>338</v>
      </c>
      <c r="E102" s="50" t="s">
        <v>354</v>
      </c>
      <c r="F102" s="49" t="s">
        <v>353</v>
      </c>
      <c r="G102" s="52">
        <v>0.37</v>
      </c>
      <c r="H102" s="52">
        <v>4.42</v>
      </c>
      <c r="I102" s="51">
        <v>21327905</v>
      </c>
      <c r="J102" s="51">
        <v>22325000</v>
      </c>
      <c r="K102" s="56">
        <v>9553.3700000000008</v>
      </c>
      <c r="L102" s="56">
        <v>9292.81</v>
      </c>
      <c r="M102" s="55" t="s">
        <v>269</v>
      </c>
      <c r="N102" s="54" t="s">
        <v>342</v>
      </c>
      <c r="O102" s="53">
        <v>0</v>
      </c>
      <c r="P102" s="51">
        <v>-581707</v>
      </c>
      <c r="Q102" s="52">
        <v>-2.73</v>
      </c>
      <c r="R102" s="51">
        <v>0</v>
      </c>
      <c r="S102" s="51">
        <v>0</v>
      </c>
      <c r="T102" s="50" t="s">
        <v>269</v>
      </c>
      <c r="U102" s="49" t="s">
        <v>343</v>
      </c>
      <c r="V102" s="48" t="s">
        <v>342</v>
      </c>
      <c r="W102" s="48" t="s">
        <v>342</v>
      </c>
    </row>
    <row r="103" spans="1:23">
      <c r="A103" s="40" t="s">
        <v>352</v>
      </c>
      <c r="B103" s="40" t="s">
        <v>349</v>
      </c>
      <c r="C103" s="39" t="s">
        <v>672</v>
      </c>
      <c r="D103" s="47" t="s">
        <v>338</v>
      </c>
      <c r="E103" s="40" t="s">
        <v>578</v>
      </c>
      <c r="F103" s="39" t="s">
        <v>577</v>
      </c>
      <c r="G103" s="42">
        <v>1.77</v>
      </c>
      <c r="H103" s="42">
        <v>21.06</v>
      </c>
      <c r="I103" s="41">
        <v>100078804</v>
      </c>
      <c r="J103" s="41">
        <v>100000000</v>
      </c>
      <c r="K103" s="46">
        <v>10007.879999999999</v>
      </c>
      <c r="L103" s="58">
        <v>9883.2999999999993</v>
      </c>
      <c r="M103" s="45" t="s">
        <v>269</v>
      </c>
      <c r="N103" s="44" t="s">
        <v>342</v>
      </c>
      <c r="O103" s="43">
        <v>0</v>
      </c>
      <c r="P103" s="41">
        <v>-1245804</v>
      </c>
      <c r="Q103" s="42">
        <v>-1.24</v>
      </c>
      <c r="R103" s="41">
        <v>0</v>
      </c>
      <c r="S103" s="41">
        <v>0</v>
      </c>
      <c r="T103" s="40" t="s">
        <v>269</v>
      </c>
      <c r="U103" s="39" t="s">
        <v>343</v>
      </c>
      <c r="V103" s="38" t="s">
        <v>342</v>
      </c>
      <c r="W103" s="38" t="s">
        <v>342</v>
      </c>
    </row>
    <row r="104" spans="1:23">
      <c r="A104" s="50" t="s">
        <v>350</v>
      </c>
      <c r="B104" s="50" t="s">
        <v>349</v>
      </c>
      <c r="C104" s="49" t="s">
        <v>672</v>
      </c>
      <c r="D104" s="57" t="s">
        <v>338</v>
      </c>
      <c r="E104" s="50" t="s">
        <v>348</v>
      </c>
      <c r="F104" s="49" t="s">
        <v>347</v>
      </c>
      <c r="G104" s="52">
        <v>3.43</v>
      </c>
      <c r="H104" s="52">
        <v>40.659999999999997</v>
      </c>
      <c r="I104" s="51">
        <v>200388635</v>
      </c>
      <c r="J104" s="51">
        <v>200000000</v>
      </c>
      <c r="K104" s="56">
        <v>10019.43</v>
      </c>
      <c r="L104" s="56">
        <v>9538.92</v>
      </c>
      <c r="M104" s="55" t="s">
        <v>269</v>
      </c>
      <c r="N104" s="54" t="s">
        <v>342</v>
      </c>
      <c r="O104" s="53">
        <v>0</v>
      </c>
      <c r="P104" s="51">
        <v>-9610235</v>
      </c>
      <c r="Q104" s="52">
        <v>-4.8</v>
      </c>
      <c r="R104" s="51">
        <v>0</v>
      </c>
      <c r="S104" s="51">
        <v>0</v>
      </c>
      <c r="T104" s="50" t="s">
        <v>269</v>
      </c>
      <c r="U104" s="49" t="s">
        <v>343</v>
      </c>
      <c r="V104" s="48" t="s">
        <v>342</v>
      </c>
      <c r="W104" s="48" t="s">
        <v>342</v>
      </c>
    </row>
    <row r="105" spans="1:23">
      <c r="A105" s="40" t="s">
        <v>346</v>
      </c>
      <c r="B105" s="40" t="s">
        <v>345</v>
      </c>
      <c r="C105" s="39" t="s">
        <v>318</v>
      </c>
      <c r="D105" s="47" t="s">
        <v>338</v>
      </c>
      <c r="E105" s="40" t="s">
        <v>319</v>
      </c>
      <c r="F105" s="39" t="s">
        <v>344</v>
      </c>
      <c r="G105" s="42">
        <v>17.05</v>
      </c>
      <c r="H105" s="42">
        <v>100</v>
      </c>
      <c r="I105" s="41">
        <v>1000000000</v>
      </c>
      <c r="J105" s="41">
        <v>1000000000</v>
      </c>
      <c r="K105" s="41">
        <v>10000</v>
      </c>
      <c r="L105" s="46">
        <v>9471.67</v>
      </c>
      <c r="M105" s="45" t="s">
        <v>269</v>
      </c>
      <c r="N105" s="44" t="s">
        <v>342</v>
      </c>
      <c r="O105" s="43">
        <v>0</v>
      </c>
      <c r="P105" s="41">
        <v>-52833000</v>
      </c>
      <c r="Q105" s="42">
        <v>-5.28</v>
      </c>
      <c r="R105" s="41">
        <v>0</v>
      </c>
      <c r="S105" s="41">
        <v>0</v>
      </c>
      <c r="T105" s="40" t="s">
        <v>269</v>
      </c>
      <c r="U105" s="39" t="s">
        <v>343</v>
      </c>
      <c r="V105" s="38" t="s">
        <v>342</v>
      </c>
      <c r="W105" s="38" t="s">
        <v>342</v>
      </c>
    </row>
    <row r="106" spans="1:23">
      <c r="A106" s="113" t="s">
        <v>341</v>
      </c>
      <c r="B106" s="114"/>
      <c r="C106" s="115"/>
      <c r="D106" s="35" t="s">
        <v>269</v>
      </c>
      <c r="E106" s="35" t="s">
        <v>269</v>
      </c>
      <c r="F106" s="35" t="s">
        <v>269</v>
      </c>
      <c r="G106" s="37">
        <v>176.09</v>
      </c>
      <c r="H106" s="37">
        <v>599.99</v>
      </c>
      <c r="I106" s="36">
        <v>1864218607</v>
      </c>
      <c r="J106" s="36">
        <v>1468359126</v>
      </c>
      <c r="K106" s="35" t="s">
        <v>269</v>
      </c>
      <c r="L106" s="35" t="s">
        <v>269</v>
      </c>
      <c r="M106" s="116" t="s">
        <v>269</v>
      </c>
      <c r="N106" s="117"/>
      <c r="O106" s="35" t="s">
        <v>269</v>
      </c>
      <c r="P106" s="36">
        <v>70034033</v>
      </c>
      <c r="Q106" s="37">
        <v>180.24</v>
      </c>
      <c r="R106" s="35" t="s">
        <v>269</v>
      </c>
      <c r="S106" s="36">
        <v>33043536</v>
      </c>
      <c r="T106" s="35" t="s">
        <v>269</v>
      </c>
      <c r="U106" s="35" t="s">
        <v>269</v>
      </c>
      <c r="V106" s="35" t="s">
        <v>269</v>
      </c>
      <c r="W106" s="35" t="s">
        <v>269</v>
      </c>
    </row>
  </sheetData>
  <mergeCells count="24">
    <mergeCell ref="J1:J2"/>
    <mergeCell ref="K1:K2"/>
    <mergeCell ref="L1:L2"/>
    <mergeCell ref="A1:A2"/>
    <mergeCell ref="B1:B2"/>
    <mergeCell ref="C1:C2"/>
    <mergeCell ref="D1:D2"/>
    <mergeCell ref="E1:E2"/>
    <mergeCell ref="T1:T2"/>
    <mergeCell ref="U1:U2"/>
    <mergeCell ref="V1:V2"/>
    <mergeCell ref="W1:W2"/>
    <mergeCell ref="A106:C106"/>
    <mergeCell ref="M106:N106"/>
    <mergeCell ref="M1:N2"/>
    <mergeCell ref="O1:O2"/>
    <mergeCell ref="P1:P2"/>
    <mergeCell ref="Q1:Q2"/>
    <mergeCell ref="F1:F2"/>
    <mergeCell ref="R1:R2"/>
    <mergeCell ref="S1:S2"/>
    <mergeCell ref="G1:G2"/>
    <mergeCell ref="H1:H2"/>
    <mergeCell ref="I1:I2"/>
  </mergeCells>
  <phoneticPr fontId="1" type="noConversion"/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W106"/>
  <sheetViews>
    <sheetView workbookViewId="0">
      <selection activeCell="P6" sqref="P6"/>
    </sheetView>
  </sheetViews>
  <sheetFormatPr defaultRowHeight="16.5"/>
  <cols>
    <col min="1" max="1" width="3.75" bestFit="1" customWidth="1"/>
    <col min="2" max="2" width="7.5" bestFit="1" customWidth="1"/>
    <col min="3" max="3" width="10" bestFit="1" customWidth="1"/>
    <col min="4" max="4" width="4.125" bestFit="1" customWidth="1"/>
    <col min="5" max="5" width="11.625" bestFit="1" customWidth="1"/>
    <col min="6" max="6" width="18.75" bestFit="1" customWidth="1"/>
    <col min="7" max="7" width="10.5" bestFit="1" customWidth="1"/>
    <col min="8" max="8" width="13.875" bestFit="1" customWidth="1"/>
    <col min="9" max="10" width="13" bestFit="1" customWidth="1"/>
    <col min="11" max="11" width="10.25" bestFit="1" customWidth="1"/>
    <col min="12" max="12" width="8.25" bestFit="1" customWidth="1"/>
    <col min="13" max="13" width="2.75" bestFit="1" customWidth="1"/>
    <col min="14" max="14" width="5.75" bestFit="1" customWidth="1"/>
    <col min="15" max="15" width="6" bestFit="1" customWidth="1"/>
    <col min="16" max="16" width="11.375" bestFit="1" customWidth="1"/>
    <col min="17" max="17" width="9.75" bestFit="1" customWidth="1"/>
    <col min="18" max="19" width="11.375" bestFit="1" customWidth="1"/>
    <col min="20" max="20" width="4.75" bestFit="1" customWidth="1"/>
    <col min="21" max="22" width="7.5" bestFit="1" customWidth="1"/>
    <col min="23" max="23" width="4.5" bestFit="1" customWidth="1"/>
  </cols>
  <sheetData>
    <row r="1" spans="1:23">
      <c r="A1" s="111" t="s">
        <v>576</v>
      </c>
      <c r="B1" s="111" t="s">
        <v>575</v>
      </c>
      <c r="C1" s="111" t="s">
        <v>574</v>
      </c>
      <c r="D1" s="111" t="s">
        <v>573</v>
      </c>
      <c r="E1" s="111" t="s">
        <v>572</v>
      </c>
      <c r="F1" s="111" t="s">
        <v>571</v>
      </c>
      <c r="G1" s="111" t="s">
        <v>570</v>
      </c>
      <c r="H1" s="111" t="s">
        <v>569</v>
      </c>
      <c r="I1" s="111" t="s">
        <v>568</v>
      </c>
      <c r="J1" s="111" t="s">
        <v>567</v>
      </c>
      <c r="K1" s="111" t="s">
        <v>566</v>
      </c>
      <c r="L1" s="111" t="s">
        <v>565</v>
      </c>
      <c r="M1" s="118" t="s">
        <v>564</v>
      </c>
      <c r="N1" s="119"/>
      <c r="O1" s="111" t="s">
        <v>563</v>
      </c>
      <c r="P1" s="111" t="s">
        <v>562</v>
      </c>
      <c r="Q1" s="111" t="s">
        <v>561</v>
      </c>
      <c r="R1" s="111" t="s">
        <v>560</v>
      </c>
      <c r="S1" s="111" t="s">
        <v>559</v>
      </c>
      <c r="T1" s="111" t="s">
        <v>558</v>
      </c>
      <c r="U1" s="111" t="s">
        <v>557</v>
      </c>
      <c r="V1" s="111" t="s">
        <v>556</v>
      </c>
      <c r="W1" s="111" t="s">
        <v>555</v>
      </c>
    </row>
    <row r="2" spans="1:23">
      <c r="A2" s="112"/>
      <c r="B2" s="112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20"/>
      <c r="N2" s="121"/>
      <c r="O2" s="112"/>
      <c r="P2" s="112"/>
      <c r="Q2" s="112"/>
      <c r="R2" s="112"/>
      <c r="S2" s="112"/>
      <c r="T2" s="112"/>
      <c r="U2" s="112"/>
      <c r="V2" s="112"/>
      <c r="W2" s="112"/>
    </row>
    <row r="3" spans="1:23">
      <c r="A3" s="81" t="s">
        <v>554</v>
      </c>
      <c r="B3" s="81" t="s">
        <v>399</v>
      </c>
      <c r="C3" s="80" t="s">
        <v>625</v>
      </c>
      <c r="D3" s="89" t="s">
        <v>338</v>
      </c>
      <c r="E3" s="81" t="s">
        <v>0</v>
      </c>
      <c r="F3" s="80" t="s">
        <v>1</v>
      </c>
      <c r="G3" s="83">
        <v>2.48</v>
      </c>
      <c r="H3" s="83">
        <v>3.62</v>
      </c>
      <c r="I3" s="82">
        <v>209514609</v>
      </c>
      <c r="J3" s="82">
        <v>2628</v>
      </c>
      <c r="K3" s="88">
        <v>79723.98</v>
      </c>
      <c r="L3" s="87">
        <v>83400</v>
      </c>
      <c r="M3" s="86" t="s">
        <v>362</v>
      </c>
      <c r="N3" s="85" t="s">
        <v>414</v>
      </c>
      <c r="O3" s="84">
        <v>-0.24</v>
      </c>
      <c r="P3" s="82">
        <v>9660591</v>
      </c>
      <c r="Q3" s="83">
        <v>4.6100000000000003</v>
      </c>
      <c r="R3" s="82">
        <v>-525600</v>
      </c>
      <c r="S3" s="82">
        <v>3940640</v>
      </c>
      <c r="T3" s="81" t="s">
        <v>269</v>
      </c>
      <c r="U3" s="80" t="s">
        <v>343</v>
      </c>
      <c r="V3" s="79" t="s">
        <v>342</v>
      </c>
      <c r="W3" s="79" t="s">
        <v>342</v>
      </c>
    </row>
    <row r="4" spans="1:23">
      <c r="A4" s="50" t="s">
        <v>553</v>
      </c>
      <c r="B4" s="50" t="s">
        <v>399</v>
      </c>
      <c r="C4" s="49" t="s">
        <v>625</v>
      </c>
      <c r="D4" s="57" t="s">
        <v>338</v>
      </c>
      <c r="E4" s="50" t="s">
        <v>4</v>
      </c>
      <c r="F4" s="49" t="s">
        <v>5</v>
      </c>
      <c r="G4" s="52">
        <v>1.96</v>
      </c>
      <c r="H4" s="52">
        <v>2.86</v>
      </c>
      <c r="I4" s="51">
        <v>163743440</v>
      </c>
      <c r="J4" s="51">
        <v>4459</v>
      </c>
      <c r="K4" s="56">
        <v>36722.01</v>
      </c>
      <c r="L4" s="62">
        <v>38850</v>
      </c>
      <c r="M4" s="61" t="s">
        <v>362</v>
      </c>
      <c r="N4" s="60" t="s">
        <v>453</v>
      </c>
      <c r="O4" s="59">
        <v>-0.13</v>
      </c>
      <c r="P4" s="51">
        <v>9488710</v>
      </c>
      <c r="Q4" s="52">
        <v>5.79</v>
      </c>
      <c r="R4" s="51">
        <v>-222950</v>
      </c>
      <c r="S4" s="51">
        <v>3733620</v>
      </c>
      <c r="T4" s="50" t="s">
        <v>269</v>
      </c>
      <c r="U4" s="49" t="s">
        <v>343</v>
      </c>
      <c r="V4" s="48" t="s">
        <v>342</v>
      </c>
      <c r="W4" s="48" t="s">
        <v>342</v>
      </c>
    </row>
    <row r="5" spans="1:23">
      <c r="A5" s="40" t="s">
        <v>552</v>
      </c>
      <c r="B5" s="40" t="s">
        <v>399</v>
      </c>
      <c r="C5" s="39" t="s">
        <v>625</v>
      </c>
      <c r="D5" s="47" t="s">
        <v>338</v>
      </c>
      <c r="E5" s="40" t="s">
        <v>324</v>
      </c>
      <c r="F5" s="39" t="s">
        <v>325</v>
      </c>
      <c r="G5" s="42">
        <v>0.95</v>
      </c>
      <c r="H5" s="42">
        <v>1.38</v>
      </c>
      <c r="I5" s="41">
        <v>88032440</v>
      </c>
      <c r="J5" s="41">
        <v>318</v>
      </c>
      <c r="K5" s="46">
        <v>276831.57</v>
      </c>
      <c r="L5" s="70">
        <v>264000</v>
      </c>
      <c r="M5" s="69" t="s">
        <v>362</v>
      </c>
      <c r="N5" s="68" t="s">
        <v>398</v>
      </c>
      <c r="O5" s="67">
        <v>-0.75</v>
      </c>
      <c r="P5" s="41">
        <v>-4080440</v>
      </c>
      <c r="Q5" s="42">
        <v>-4.6399999999999997</v>
      </c>
      <c r="R5" s="41">
        <v>-636000</v>
      </c>
      <c r="S5" s="41">
        <v>87940</v>
      </c>
      <c r="T5" s="40" t="s">
        <v>269</v>
      </c>
      <c r="U5" s="39" t="s">
        <v>343</v>
      </c>
      <c r="V5" s="38" t="s">
        <v>342</v>
      </c>
      <c r="W5" s="38" t="s">
        <v>342</v>
      </c>
    </row>
    <row r="6" spans="1:23">
      <c r="A6" s="50" t="s">
        <v>551</v>
      </c>
      <c r="B6" s="50" t="s">
        <v>399</v>
      </c>
      <c r="C6" s="49" t="s">
        <v>625</v>
      </c>
      <c r="D6" s="57" t="s">
        <v>338</v>
      </c>
      <c r="E6" s="50" t="s">
        <v>6</v>
      </c>
      <c r="F6" s="49" t="s">
        <v>7</v>
      </c>
      <c r="G6" s="52">
        <v>3.09</v>
      </c>
      <c r="H6" s="52">
        <v>4.51</v>
      </c>
      <c r="I6" s="51">
        <v>282041541</v>
      </c>
      <c r="J6" s="51">
        <v>7946</v>
      </c>
      <c r="K6" s="56">
        <v>35494.78</v>
      </c>
      <c r="L6" s="62">
        <v>34400</v>
      </c>
      <c r="M6" s="61" t="s">
        <v>362</v>
      </c>
      <c r="N6" s="60" t="s">
        <v>401</v>
      </c>
      <c r="O6" s="59">
        <v>-0.43</v>
      </c>
      <c r="P6" s="51">
        <v>-8699141</v>
      </c>
      <c r="Q6" s="52">
        <v>-3.08</v>
      </c>
      <c r="R6" s="51">
        <v>-1191900</v>
      </c>
      <c r="S6" s="51">
        <v>2361322</v>
      </c>
      <c r="T6" s="50" t="s">
        <v>269</v>
      </c>
      <c r="U6" s="49" t="s">
        <v>343</v>
      </c>
      <c r="V6" s="48" t="s">
        <v>342</v>
      </c>
      <c r="W6" s="48" t="s">
        <v>342</v>
      </c>
    </row>
    <row r="7" spans="1:23">
      <c r="A7" s="40" t="s">
        <v>550</v>
      </c>
      <c r="B7" s="40" t="s">
        <v>399</v>
      </c>
      <c r="C7" s="39" t="s">
        <v>625</v>
      </c>
      <c r="D7" s="47" t="s">
        <v>338</v>
      </c>
      <c r="E7" s="40" t="s">
        <v>314</v>
      </c>
      <c r="F7" s="39" t="s">
        <v>315</v>
      </c>
      <c r="G7" s="42">
        <v>2.2200000000000002</v>
      </c>
      <c r="H7" s="42">
        <v>3.24</v>
      </c>
      <c r="I7" s="41">
        <v>187776650</v>
      </c>
      <c r="J7" s="41">
        <v>16523</v>
      </c>
      <c r="K7" s="46">
        <v>11364.56</v>
      </c>
      <c r="L7" s="70">
        <v>11900</v>
      </c>
      <c r="M7" s="69" t="s">
        <v>362</v>
      </c>
      <c r="N7" s="68" t="s">
        <v>443</v>
      </c>
      <c r="O7" s="67">
        <v>-2.06</v>
      </c>
      <c r="P7" s="41">
        <v>8847050</v>
      </c>
      <c r="Q7" s="42">
        <v>4.71</v>
      </c>
      <c r="R7" s="41">
        <v>-3397850</v>
      </c>
      <c r="S7" s="41">
        <v>156100</v>
      </c>
      <c r="T7" s="40" t="s">
        <v>269</v>
      </c>
      <c r="U7" s="39" t="s">
        <v>343</v>
      </c>
      <c r="V7" s="38" t="s">
        <v>342</v>
      </c>
      <c r="W7" s="38" t="s">
        <v>342</v>
      </c>
    </row>
    <row r="8" spans="1:23">
      <c r="A8" s="50" t="s">
        <v>549</v>
      </c>
      <c r="B8" s="50" t="s">
        <v>399</v>
      </c>
      <c r="C8" s="49" t="s">
        <v>625</v>
      </c>
      <c r="D8" s="57" t="s">
        <v>338</v>
      </c>
      <c r="E8" s="50" t="s">
        <v>284</v>
      </c>
      <c r="F8" s="49" t="s">
        <v>285</v>
      </c>
      <c r="G8" s="52">
        <v>1.88</v>
      </c>
      <c r="H8" s="52">
        <v>2.74</v>
      </c>
      <c r="I8" s="51">
        <v>181037015</v>
      </c>
      <c r="J8" s="51">
        <v>2578</v>
      </c>
      <c r="K8" s="56">
        <v>70223.820000000007</v>
      </c>
      <c r="L8" s="51">
        <v>64400</v>
      </c>
      <c r="M8" s="55" t="s">
        <v>269</v>
      </c>
      <c r="N8" s="54" t="s">
        <v>342</v>
      </c>
      <c r="O8" s="53">
        <v>0</v>
      </c>
      <c r="P8" s="51">
        <v>-15013815</v>
      </c>
      <c r="Q8" s="52">
        <v>-8.2899999999999991</v>
      </c>
      <c r="R8" s="51">
        <v>0</v>
      </c>
      <c r="S8" s="51">
        <v>1172766</v>
      </c>
      <c r="T8" s="50" t="s">
        <v>269</v>
      </c>
      <c r="U8" s="49" t="s">
        <v>343</v>
      </c>
      <c r="V8" s="48" t="s">
        <v>342</v>
      </c>
      <c r="W8" s="48" t="s">
        <v>342</v>
      </c>
    </row>
    <row r="9" spans="1:23">
      <c r="A9" s="40" t="s">
        <v>548</v>
      </c>
      <c r="B9" s="40" t="s">
        <v>399</v>
      </c>
      <c r="C9" s="39" t="s">
        <v>625</v>
      </c>
      <c r="D9" s="47" t="s">
        <v>338</v>
      </c>
      <c r="E9" s="40" t="s">
        <v>14</v>
      </c>
      <c r="F9" s="39" t="s">
        <v>15</v>
      </c>
      <c r="G9" s="42">
        <v>1</v>
      </c>
      <c r="H9" s="42">
        <v>1.46</v>
      </c>
      <c r="I9" s="41">
        <v>84377179</v>
      </c>
      <c r="J9" s="41">
        <v>665</v>
      </c>
      <c r="K9" s="46">
        <v>126882.98</v>
      </c>
      <c r="L9" s="66">
        <v>133500</v>
      </c>
      <c r="M9" s="65" t="s">
        <v>367</v>
      </c>
      <c r="N9" s="64" t="s">
        <v>382</v>
      </c>
      <c r="O9" s="63">
        <v>1.1399999999999999</v>
      </c>
      <c r="P9" s="41">
        <v>4400321</v>
      </c>
      <c r="Q9" s="42">
        <v>5.22</v>
      </c>
      <c r="R9" s="41">
        <v>997500</v>
      </c>
      <c r="S9" s="41">
        <v>3998732</v>
      </c>
      <c r="T9" s="40" t="s">
        <v>269</v>
      </c>
      <c r="U9" s="39" t="s">
        <v>343</v>
      </c>
      <c r="V9" s="38" t="s">
        <v>342</v>
      </c>
      <c r="W9" s="38" t="s">
        <v>342</v>
      </c>
    </row>
    <row r="10" spans="1:23">
      <c r="A10" s="50" t="s">
        <v>547</v>
      </c>
      <c r="B10" s="50" t="s">
        <v>399</v>
      </c>
      <c r="C10" s="49" t="s">
        <v>625</v>
      </c>
      <c r="D10" s="57" t="s">
        <v>338</v>
      </c>
      <c r="E10" s="50" t="s">
        <v>16</v>
      </c>
      <c r="F10" s="49" t="s">
        <v>17</v>
      </c>
      <c r="G10" s="52">
        <v>1.98</v>
      </c>
      <c r="H10" s="52">
        <v>2.89</v>
      </c>
      <c r="I10" s="51">
        <v>161375169</v>
      </c>
      <c r="J10" s="51">
        <v>787</v>
      </c>
      <c r="K10" s="56">
        <v>205051.04</v>
      </c>
      <c r="L10" s="62">
        <v>222500</v>
      </c>
      <c r="M10" s="61" t="s">
        <v>362</v>
      </c>
      <c r="N10" s="60" t="s">
        <v>398</v>
      </c>
      <c r="O10" s="59">
        <v>-0.89</v>
      </c>
      <c r="P10" s="51">
        <v>13732331</v>
      </c>
      <c r="Q10" s="52">
        <v>8.51</v>
      </c>
      <c r="R10" s="51">
        <v>-1574000</v>
      </c>
      <c r="S10" s="51">
        <v>4372186</v>
      </c>
      <c r="T10" s="50" t="s">
        <v>269</v>
      </c>
      <c r="U10" s="49" t="s">
        <v>343</v>
      </c>
      <c r="V10" s="48" t="s">
        <v>342</v>
      </c>
      <c r="W10" s="48" t="s">
        <v>342</v>
      </c>
    </row>
    <row r="11" spans="1:23">
      <c r="A11" s="40" t="s">
        <v>546</v>
      </c>
      <c r="B11" s="40" t="s">
        <v>399</v>
      </c>
      <c r="C11" s="39" t="s">
        <v>625</v>
      </c>
      <c r="D11" s="47" t="s">
        <v>338</v>
      </c>
      <c r="E11" s="40" t="s">
        <v>20</v>
      </c>
      <c r="F11" s="39" t="s">
        <v>21</v>
      </c>
      <c r="G11" s="42">
        <v>4.8</v>
      </c>
      <c r="H11" s="42">
        <v>7</v>
      </c>
      <c r="I11" s="41">
        <v>359850228</v>
      </c>
      <c r="J11" s="41">
        <v>263</v>
      </c>
      <c r="K11" s="46">
        <v>1368251.82</v>
      </c>
      <c r="L11" s="70">
        <v>1612000</v>
      </c>
      <c r="M11" s="69" t="s">
        <v>362</v>
      </c>
      <c r="N11" s="68" t="s">
        <v>545</v>
      </c>
      <c r="O11" s="67">
        <v>-1.65</v>
      </c>
      <c r="P11" s="41">
        <v>64105772</v>
      </c>
      <c r="Q11" s="42">
        <v>17.809999999999999</v>
      </c>
      <c r="R11" s="41">
        <v>-7101000</v>
      </c>
      <c r="S11" s="41">
        <v>6128044</v>
      </c>
      <c r="T11" s="40" t="s">
        <v>269</v>
      </c>
      <c r="U11" s="39" t="s">
        <v>343</v>
      </c>
      <c r="V11" s="38" t="s">
        <v>342</v>
      </c>
      <c r="W11" s="38" t="s">
        <v>342</v>
      </c>
    </row>
    <row r="12" spans="1:23">
      <c r="A12" s="50" t="s">
        <v>366</v>
      </c>
      <c r="B12" s="50" t="s">
        <v>399</v>
      </c>
      <c r="C12" s="49" t="s">
        <v>625</v>
      </c>
      <c r="D12" s="57" t="s">
        <v>338</v>
      </c>
      <c r="E12" s="50" t="s">
        <v>286</v>
      </c>
      <c r="F12" s="49" t="s">
        <v>287</v>
      </c>
      <c r="G12" s="52">
        <v>0.39</v>
      </c>
      <c r="H12" s="52">
        <v>0.56999999999999995</v>
      </c>
      <c r="I12" s="51">
        <v>30364764</v>
      </c>
      <c r="J12" s="51">
        <v>1841</v>
      </c>
      <c r="K12" s="56">
        <v>16493.63</v>
      </c>
      <c r="L12" s="62">
        <v>18900</v>
      </c>
      <c r="M12" s="61" t="s">
        <v>362</v>
      </c>
      <c r="N12" s="60" t="s">
        <v>453</v>
      </c>
      <c r="O12" s="59">
        <v>-0.26</v>
      </c>
      <c r="P12" s="51">
        <v>4430136</v>
      </c>
      <c r="Q12" s="52">
        <v>14.59</v>
      </c>
      <c r="R12" s="51">
        <v>-92050</v>
      </c>
      <c r="S12" s="51">
        <v>1338556</v>
      </c>
      <c r="T12" s="50" t="s">
        <v>269</v>
      </c>
      <c r="U12" s="49" t="s">
        <v>343</v>
      </c>
      <c r="V12" s="48" t="s">
        <v>342</v>
      </c>
      <c r="W12" s="48" t="s">
        <v>342</v>
      </c>
    </row>
    <row r="13" spans="1:23">
      <c r="A13" s="40" t="s">
        <v>544</v>
      </c>
      <c r="B13" s="40" t="s">
        <v>399</v>
      </c>
      <c r="C13" s="39" t="s">
        <v>625</v>
      </c>
      <c r="D13" s="47" t="s">
        <v>338</v>
      </c>
      <c r="E13" s="40" t="s">
        <v>543</v>
      </c>
      <c r="F13" s="39" t="s">
        <v>542</v>
      </c>
      <c r="G13" s="42">
        <v>2</v>
      </c>
      <c r="H13" s="42">
        <v>2.92</v>
      </c>
      <c r="I13" s="41">
        <v>163862145</v>
      </c>
      <c r="J13" s="41">
        <v>5978</v>
      </c>
      <c r="K13" s="46">
        <v>27410.86</v>
      </c>
      <c r="L13" s="70">
        <v>29600</v>
      </c>
      <c r="M13" s="69" t="s">
        <v>362</v>
      </c>
      <c r="N13" s="68" t="s">
        <v>453</v>
      </c>
      <c r="O13" s="67">
        <v>-0.17</v>
      </c>
      <c r="P13" s="41">
        <v>13086655</v>
      </c>
      <c r="Q13" s="42">
        <v>7.99</v>
      </c>
      <c r="R13" s="41">
        <v>-298900</v>
      </c>
      <c r="S13" s="41">
        <v>2512596</v>
      </c>
      <c r="T13" s="40" t="s">
        <v>269</v>
      </c>
      <c r="U13" s="39" t="s">
        <v>343</v>
      </c>
      <c r="V13" s="38" t="s">
        <v>342</v>
      </c>
      <c r="W13" s="38" t="s">
        <v>342</v>
      </c>
    </row>
    <row r="14" spans="1:23">
      <c r="A14" s="50" t="s">
        <v>541</v>
      </c>
      <c r="B14" s="50" t="s">
        <v>399</v>
      </c>
      <c r="C14" s="49" t="s">
        <v>625</v>
      </c>
      <c r="D14" s="57" t="s">
        <v>338</v>
      </c>
      <c r="E14" s="50" t="s">
        <v>24</v>
      </c>
      <c r="F14" s="49" t="s">
        <v>25</v>
      </c>
      <c r="G14" s="52">
        <v>2.0099999999999998</v>
      </c>
      <c r="H14" s="52">
        <v>2.94</v>
      </c>
      <c r="I14" s="51">
        <v>170595570</v>
      </c>
      <c r="J14" s="51">
        <v>2658</v>
      </c>
      <c r="K14" s="56">
        <v>64181.93</v>
      </c>
      <c r="L14" s="76">
        <v>67000</v>
      </c>
      <c r="M14" s="75" t="s">
        <v>367</v>
      </c>
      <c r="N14" s="74" t="s">
        <v>540</v>
      </c>
      <c r="O14" s="73">
        <v>1.36</v>
      </c>
      <c r="P14" s="51">
        <v>7490430</v>
      </c>
      <c r="Q14" s="52">
        <v>4.3899999999999997</v>
      </c>
      <c r="R14" s="51">
        <v>2027400</v>
      </c>
      <c r="S14" s="51">
        <v>3137482</v>
      </c>
      <c r="T14" s="50" t="s">
        <v>269</v>
      </c>
      <c r="U14" s="49" t="s">
        <v>343</v>
      </c>
      <c r="V14" s="48" t="s">
        <v>342</v>
      </c>
      <c r="W14" s="48" t="s">
        <v>342</v>
      </c>
    </row>
    <row r="15" spans="1:23">
      <c r="A15" s="40" t="s">
        <v>539</v>
      </c>
      <c r="B15" s="40" t="s">
        <v>399</v>
      </c>
      <c r="C15" s="39" t="s">
        <v>625</v>
      </c>
      <c r="D15" s="47" t="s">
        <v>338</v>
      </c>
      <c r="E15" s="40" t="s">
        <v>28</v>
      </c>
      <c r="F15" s="39" t="s">
        <v>29</v>
      </c>
      <c r="G15" s="42">
        <v>1.2</v>
      </c>
      <c r="H15" s="42">
        <v>1.75</v>
      </c>
      <c r="I15" s="41">
        <v>58404016</v>
      </c>
      <c r="J15" s="41">
        <v>1849</v>
      </c>
      <c r="K15" s="46">
        <v>31586.81</v>
      </c>
      <c r="L15" s="70">
        <v>57400</v>
      </c>
      <c r="M15" s="69" t="s">
        <v>362</v>
      </c>
      <c r="N15" s="68" t="s">
        <v>355</v>
      </c>
      <c r="O15" s="67">
        <v>-0.17</v>
      </c>
      <c r="P15" s="41">
        <v>47728584</v>
      </c>
      <c r="Q15" s="42">
        <v>81.72</v>
      </c>
      <c r="R15" s="41">
        <v>-184900</v>
      </c>
      <c r="S15" s="41">
        <v>971560</v>
      </c>
      <c r="T15" s="40" t="s">
        <v>269</v>
      </c>
      <c r="U15" s="39" t="s">
        <v>343</v>
      </c>
      <c r="V15" s="38" t="s">
        <v>342</v>
      </c>
      <c r="W15" s="38" t="s">
        <v>342</v>
      </c>
    </row>
    <row r="16" spans="1:23">
      <c r="A16" s="50" t="s">
        <v>538</v>
      </c>
      <c r="B16" s="50" t="s">
        <v>399</v>
      </c>
      <c r="C16" s="49" t="s">
        <v>625</v>
      </c>
      <c r="D16" s="57" t="s">
        <v>338</v>
      </c>
      <c r="E16" s="50" t="s">
        <v>30</v>
      </c>
      <c r="F16" s="49" t="s">
        <v>31</v>
      </c>
      <c r="G16" s="52">
        <v>0.94</v>
      </c>
      <c r="H16" s="52">
        <v>1.37</v>
      </c>
      <c r="I16" s="51">
        <v>88444245</v>
      </c>
      <c r="J16" s="51">
        <v>170</v>
      </c>
      <c r="K16" s="56">
        <v>520260.26</v>
      </c>
      <c r="L16" s="76">
        <v>490000</v>
      </c>
      <c r="M16" s="75" t="s">
        <v>367</v>
      </c>
      <c r="N16" s="74" t="s">
        <v>451</v>
      </c>
      <c r="O16" s="73">
        <v>0.82</v>
      </c>
      <c r="P16" s="51">
        <v>-5144245</v>
      </c>
      <c r="Q16" s="52">
        <v>-5.82</v>
      </c>
      <c r="R16" s="51">
        <v>680000</v>
      </c>
      <c r="S16" s="51">
        <v>3244962</v>
      </c>
      <c r="T16" s="50" t="s">
        <v>269</v>
      </c>
      <c r="U16" s="49" t="s">
        <v>343</v>
      </c>
      <c r="V16" s="48" t="s">
        <v>342</v>
      </c>
      <c r="W16" s="48" t="s">
        <v>342</v>
      </c>
    </row>
    <row r="17" spans="1:23">
      <c r="A17" s="40" t="s">
        <v>537</v>
      </c>
      <c r="B17" s="40" t="s">
        <v>399</v>
      </c>
      <c r="C17" s="39" t="s">
        <v>625</v>
      </c>
      <c r="D17" s="47" t="s">
        <v>338</v>
      </c>
      <c r="E17" s="40" t="s">
        <v>536</v>
      </c>
      <c r="F17" s="39" t="s">
        <v>535</v>
      </c>
      <c r="G17" s="42">
        <v>1.1100000000000001</v>
      </c>
      <c r="H17" s="42">
        <v>1.63</v>
      </c>
      <c r="I17" s="41">
        <v>108253294</v>
      </c>
      <c r="J17" s="41">
        <v>1832</v>
      </c>
      <c r="K17" s="46">
        <v>59090.23</v>
      </c>
      <c r="L17" s="66">
        <v>53900</v>
      </c>
      <c r="M17" s="65" t="s">
        <v>367</v>
      </c>
      <c r="N17" s="64" t="s">
        <v>371</v>
      </c>
      <c r="O17" s="63">
        <v>0.56000000000000005</v>
      </c>
      <c r="P17" s="41">
        <v>-9508494</v>
      </c>
      <c r="Q17" s="42">
        <v>-8.7799999999999994</v>
      </c>
      <c r="R17" s="41">
        <v>549600</v>
      </c>
      <c r="S17" s="41">
        <v>1808652</v>
      </c>
      <c r="T17" s="40" t="s">
        <v>269</v>
      </c>
      <c r="U17" s="39" t="s">
        <v>343</v>
      </c>
      <c r="V17" s="38" t="s">
        <v>342</v>
      </c>
      <c r="W17" s="38" t="s">
        <v>342</v>
      </c>
    </row>
    <row r="18" spans="1:23">
      <c r="A18" s="50" t="s">
        <v>534</v>
      </c>
      <c r="B18" s="50" t="s">
        <v>399</v>
      </c>
      <c r="C18" s="49" t="s">
        <v>625</v>
      </c>
      <c r="D18" s="57" t="s">
        <v>338</v>
      </c>
      <c r="E18" s="50" t="s">
        <v>533</v>
      </c>
      <c r="F18" s="49" t="s">
        <v>532</v>
      </c>
      <c r="G18" s="52">
        <v>1.46</v>
      </c>
      <c r="H18" s="52">
        <v>2.13</v>
      </c>
      <c r="I18" s="51">
        <v>124757392</v>
      </c>
      <c r="J18" s="51">
        <v>499</v>
      </c>
      <c r="K18" s="56">
        <v>250014.81</v>
      </c>
      <c r="L18" s="76">
        <v>258500</v>
      </c>
      <c r="M18" s="75" t="s">
        <v>367</v>
      </c>
      <c r="N18" s="74" t="s">
        <v>437</v>
      </c>
      <c r="O18" s="73">
        <v>1.97</v>
      </c>
      <c r="P18" s="51">
        <v>4234108</v>
      </c>
      <c r="Q18" s="52">
        <v>3.39</v>
      </c>
      <c r="R18" s="51">
        <v>2495000</v>
      </c>
      <c r="S18" s="51">
        <v>2289090</v>
      </c>
      <c r="T18" s="50" t="s">
        <v>269</v>
      </c>
      <c r="U18" s="49" t="s">
        <v>343</v>
      </c>
      <c r="V18" s="48" t="s">
        <v>342</v>
      </c>
      <c r="W18" s="48" t="s">
        <v>342</v>
      </c>
    </row>
    <row r="19" spans="1:23">
      <c r="A19" s="40" t="s">
        <v>531</v>
      </c>
      <c r="B19" s="40" t="s">
        <v>399</v>
      </c>
      <c r="C19" s="39" t="s">
        <v>625</v>
      </c>
      <c r="D19" s="47" t="s">
        <v>338</v>
      </c>
      <c r="E19" s="40" t="s">
        <v>272</v>
      </c>
      <c r="F19" s="39" t="s">
        <v>273</v>
      </c>
      <c r="G19" s="42">
        <v>0.97</v>
      </c>
      <c r="H19" s="42">
        <v>1.42</v>
      </c>
      <c r="I19" s="41">
        <v>74825475</v>
      </c>
      <c r="J19" s="41">
        <v>1523</v>
      </c>
      <c r="K19" s="46">
        <v>49130.32</v>
      </c>
      <c r="L19" s="70">
        <v>56700</v>
      </c>
      <c r="M19" s="69" t="s">
        <v>362</v>
      </c>
      <c r="N19" s="68" t="s">
        <v>528</v>
      </c>
      <c r="O19" s="67">
        <v>-2.74</v>
      </c>
      <c r="P19" s="41">
        <v>11528625</v>
      </c>
      <c r="Q19" s="42">
        <v>15.41</v>
      </c>
      <c r="R19" s="41">
        <v>-2436800</v>
      </c>
      <c r="S19" s="41">
        <v>367960</v>
      </c>
      <c r="T19" s="40" t="s">
        <v>269</v>
      </c>
      <c r="U19" s="39" t="s">
        <v>343</v>
      </c>
      <c r="V19" s="38" t="s">
        <v>342</v>
      </c>
      <c r="W19" s="38" t="s">
        <v>342</v>
      </c>
    </row>
    <row r="20" spans="1:23">
      <c r="A20" s="50" t="s">
        <v>530</v>
      </c>
      <c r="B20" s="50" t="s">
        <v>399</v>
      </c>
      <c r="C20" s="49" t="s">
        <v>625</v>
      </c>
      <c r="D20" s="57" t="s">
        <v>338</v>
      </c>
      <c r="E20" s="50" t="s">
        <v>36</v>
      </c>
      <c r="F20" s="49" t="s">
        <v>37</v>
      </c>
      <c r="G20" s="52">
        <v>0.5</v>
      </c>
      <c r="H20" s="52">
        <v>0.74</v>
      </c>
      <c r="I20" s="51">
        <v>62310118</v>
      </c>
      <c r="J20" s="51">
        <v>494</v>
      </c>
      <c r="K20" s="56">
        <v>126133.84</v>
      </c>
      <c r="L20" s="62">
        <v>90900</v>
      </c>
      <c r="M20" s="61" t="s">
        <v>362</v>
      </c>
      <c r="N20" s="60" t="s">
        <v>391</v>
      </c>
      <c r="O20" s="59">
        <v>-0.87</v>
      </c>
      <c r="P20" s="51">
        <v>-17405518</v>
      </c>
      <c r="Q20" s="52">
        <v>-27.93</v>
      </c>
      <c r="R20" s="51">
        <v>-395200</v>
      </c>
      <c r="S20" s="51">
        <v>614806</v>
      </c>
      <c r="T20" s="50" t="s">
        <v>269</v>
      </c>
      <c r="U20" s="49" t="s">
        <v>343</v>
      </c>
      <c r="V20" s="48" t="s">
        <v>342</v>
      </c>
      <c r="W20" s="48" t="s">
        <v>342</v>
      </c>
    </row>
    <row r="21" spans="1:23">
      <c r="A21" s="40" t="s">
        <v>529</v>
      </c>
      <c r="B21" s="40" t="s">
        <v>399</v>
      </c>
      <c r="C21" s="39" t="s">
        <v>625</v>
      </c>
      <c r="D21" s="47" t="s">
        <v>338</v>
      </c>
      <c r="E21" s="40" t="s">
        <v>258</v>
      </c>
      <c r="F21" s="39" t="s">
        <v>259</v>
      </c>
      <c r="G21" s="42">
        <v>3.2</v>
      </c>
      <c r="H21" s="42">
        <v>4.67</v>
      </c>
      <c r="I21" s="41">
        <v>248806244</v>
      </c>
      <c r="J21" s="41">
        <v>4010</v>
      </c>
      <c r="K21" s="46">
        <v>62046.44</v>
      </c>
      <c r="L21" s="66">
        <v>70500</v>
      </c>
      <c r="M21" s="65" t="s">
        <v>367</v>
      </c>
      <c r="N21" s="64" t="s">
        <v>528</v>
      </c>
      <c r="O21" s="63">
        <v>2.3199999999999998</v>
      </c>
      <c r="P21" s="41">
        <v>33898756</v>
      </c>
      <c r="Q21" s="42">
        <v>13.62</v>
      </c>
      <c r="R21" s="41">
        <v>6416000</v>
      </c>
      <c r="S21" s="41">
        <v>2212262</v>
      </c>
      <c r="T21" s="40" t="s">
        <v>269</v>
      </c>
      <c r="U21" s="39" t="s">
        <v>343</v>
      </c>
      <c r="V21" s="38" t="s">
        <v>342</v>
      </c>
      <c r="W21" s="38" t="s">
        <v>342</v>
      </c>
    </row>
    <row r="22" spans="1:23">
      <c r="A22" s="50" t="s">
        <v>527</v>
      </c>
      <c r="B22" s="50" t="s">
        <v>399</v>
      </c>
      <c r="C22" s="49" t="s">
        <v>625</v>
      </c>
      <c r="D22" s="57" t="s">
        <v>338</v>
      </c>
      <c r="E22" s="50" t="s">
        <v>328</v>
      </c>
      <c r="F22" s="49" t="s">
        <v>329</v>
      </c>
      <c r="G22" s="52">
        <v>1.39</v>
      </c>
      <c r="H22" s="52">
        <v>2.0299999999999998</v>
      </c>
      <c r="I22" s="51">
        <v>124996460</v>
      </c>
      <c r="J22" s="51">
        <v>22007</v>
      </c>
      <c r="K22" s="56">
        <v>5679.85</v>
      </c>
      <c r="L22" s="62">
        <v>5590</v>
      </c>
      <c r="M22" s="61" t="s">
        <v>362</v>
      </c>
      <c r="N22" s="60" t="s">
        <v>355</v>
      </c>
      <c r="O22" s="59">
        <v>-1.76</v>
      </c>
      <c r="P22" s="51">
        <v>-1977330</v>
      </c>
      <c r="Q22" s="52">
        <v>-1.58</v>
      </c>
      <c r="R22" s="51">
        <v>-2200700</v>
      </c>
      <c r="S22" s="51">
        <v>103310</v>
      </c>
      <c r="T22" s="50" t="s">
        <v>269</v>
      </c>
      <c r="U22" s="49" t="s">
        <v>343</v>
      </c>
      <c r="V22" s="48" t="s">
        <v>342</v>
      </c>
      <c r="W22" s="48" t="s">
        <v>342</v>
      </c>
    </row>
    <row r="23" spans="1:23">
      <c r="A23" s="40" t="s">
        <v>526</v>
      </c>
      <c r="B23" s="40" t="s">
        <v>399</v>
      </c>
      <c r="C23" s="39" t="s">
        <v>625</v>
      </c>
      <c r="D23" s="47" t="s">
        <v>338</v>
      </c>
      <c r="E23" s="40" t="s">
        <v>525</v>
      </c>
      <c r="F23" s="39" t="s">
        <v>524</v>
      </c>
      <c r="G23" s="42">
        <v>0.98</v>
      </c>
      <c r="H23" s="42">
        <v>1.43</v>
      </c>
      <c r="I23" s="41">
        <v>89291800</v>
      </c>
      <c r="J23" s="41">
        <v>2279</v>
      </c>
      <c r="K23" s="46">
        <v>39180.25</v>
      </c>
      <c r="L23" s="70">
        <v>38050</v>
      </c>
      <c r="M23" s="69" t="s">
        <v>362</v>
      </c>
      <c r="N23" s="68" t="s">
        <v>414</v>
      </c>
      <c r="O23" s="67">
        <v>-0.52</v>
      </c>
      <c r="P23" s="41">
        <v>-2575850</v>
      </c>
      <c r="Q23" s="42">
        <v>-2.88</v>
      </c>
      <c r="R23" s="41">
        <v>-455800</v>
      </c>
      <c r="S23" s="41">
        <v>1051524</v>
      </c>
      <c r="T23" s="40" t="s">
        <v>269</v>
      </c>
      <c r="U23" s="39" t="s">
        <v>343</v>
      </c>
      <c r="V23" s="38" t="s">
        <v>342</v>
      </c>
      <c r="W23" s="38" t="s">
        <v>342</v>
      </c>
    </row>
    <row r="24" spans="1:23">
      <c r="A24" s="50" t="s">
        <v>523</v>
      </c>
      <c r="B24" s="50" t="s">
        <v>399</v>
      </c>
      <c r="C24" s="49" t="s">
        <v>625</v>
      </c>
      <c r="D24" s="57" t="s">
        <v>338</v>
      </c>
      <c r="E24" s="50" t="s">
        <v>522</v>
      </c>
      <c r="F24" s="49" t="s">
        <v>521</v>
      </c>
      <c r="G24" s="52">
        <v>2.17</v>
      </c>
      <c r="H24" s="52">
        <v>3.16</v>
      </c>
      <c r="I24" s="51">
        <v>182935600</v>
      </c>
      <c r="J24" s="51">
        <v>16445</v>
      </c>
      <c r="K24" s="56">
        <v>11124.09</v>
      </c>
      <c r="L24" s="62">
        <v>11650</v>
      </c>
      <c r="M24" s="61" t="s">
        <v>362</v>
      </c>
      <c r="N24" s="60" t="s">
        <v>355</v>
      </c>
      <c r="O24" s="59">
        <v>-0.85</v>
      </c>
      <c r="P24" s="51">
        <v>8648650</v>
      </c>
      <c r="Q24" s="52">
        <v>4.7300000000000004</v>
      </c>
      <c r="R24" s="51">
        <v>-1644500</v>
      </c>
      <c r="S24" s="51">
        <v>138800</v>
      </c>
      <c r="T24" s="50" t="s">
        <v>269</v>
      </c>
      <c r="U24" s="49" t="s">
        <v>343</v>
      </c>
      <c r="V24" s="48" t="s">
        <v>342</v>
      </c>
      <c r="W24" s="48" t="s">
        <v>342</v>
      </c>
    </row>
    <row r="25" spans="1:23">
      <c r="A25" s="40" t="s">
        <v>520</v>
      </c>
      <c r="B25" s="40" t="s">
        <v>399</v>
      </c>
      <c r="C25" s="39" t="s">
        <v>625</v>
      </c>
      <c r="D25" s="47" t="s">
        <v>338</v>
      </c>
      <c r="E25" s="40" t="s">
        <v>519</v>
      </c>
      <c r="F25" s="39" t="s">
        <v>518</v>
      </c>
      <c r="G25" s="42">
        <v>1.19</v>
      </c>
      <c r="H25" s="42">
        <v>1.74</v>
      </c>
      <c r="I25" s="41">
        <v>106232280</v>
      </c>
      <c r="J25" s="41">
        <v>1386</v>
      </c>
      <c r="K25" s="46">
        <v>76646.67</v>
      </c>
      <c r="L25" s="66">
        <v>76200</v>
      </c>
      <c r="M25" s="65" t="s">
        <v>367</v>
      </c>
      <c r="N25" s="64" t="s">
        <v>517</v>
      </c>
      <c r="O25" s="63">
        <v>5.39</v>
      </c>
      <c r="P25" s="41">
        <v>-619080</v>
      </c>
      <c r="Q25" s="42">
        <v>-0.57999999999999996</v>
      </c>
      <c r="R25" s="41">
        <v>5405400</v>
      </c>
      <c r="S25" s="41">
        <v>88380</v>
      </c>
      <c r="T25" s="40" t="s">
        <v>269</v>
      </c>
      <c r="U25" s="39" t="s">
        <v>343</v>
      </c>
      <c r="V25" s="38" t="s">
        <v>342</v>
      </c>
      <c r="W25" s="38" t="s">
        <v>342</v>
      </c>
    </row>
    <row r="26" spans="1:23">
      <c r="A26" s="50" t="s">
        <v>516</v>
      </c>
      <c r="B26" s="50" t="s">
        <v>399</v>
      </c>
      <c r="C26" s="49" t="s">
        <v>625</v>
      </c>
      <c r="D26" s="57" t="s">
        <v>338</v>
      </c>
      <c r="E26" s="50" t="s">
        <v>515</v>
      </c>
      <c r="F26" s="49" t="s">
        <v>514</v>
      </c>
      <c r="G26" s="52">
        <v>1.31</v>
      </c>
      <c r="H26" s="52">
        <v>1.91</v>
      </c>
      <c r="I26" s="51">
        <v>118470096</v>
      </c>
      <c r="J26" s="51">
        <v>737</v>
      </c>
      <c r="K26" s="78">
        <v>160746.4</v>
      </c>
      <c r="L26" s="76">
        <v>157000</v>
      </c>
      <c r="M26" s="75" t="s">
        <v>367</v>
      </c>
      <c r="N26" s="74" t="s">
        <v>513</v>
      </c>
      <c r="O26" s="73">
        <v>4.67</v>
      </c>
      <c r="P26" s="51">
        <v>-2761096</v>
      </c>
      <c r="Q26" s="52">
        <v>-2.33</v>
      </c>
      <c r="R26" s="51">
        <v>5159000</v>
      </c>
      <c r="S26" s="51">
        <v>396466</v>
      </c>
      <c r="T26" s="50" t="s">
        <v>269</v>
      </c>
      <c r="U26" s="49" t="s">
        <v>343</v>
      </c>
      <c r="V26" s="48" t="s">
        <v>342</v>
      </c>
      <c r="W26" s="48" t="s">
        <v>342</v>
      </c>
    </row>
    <row r="27" spans="1:23">
      <c r="A27" s="40" t="s">
        <v>512</v>
      </c>
      <c r="B27" s="40" t="s">
        <v>399</v>
      </c>
      <c r="C27" s="39" t="s">
        <v>625</v>
      </c>
      <c r="D27" s="47" t="s">
        <v>338</v>
      </c>
      <c r="E27" s="40" t="s">
        <v>48</v>
      </c>
      <c r="F27" s="39" t="s">
        <v>49</v>
      </c>
      <c r="G27" s="42">
        <v>2.48</v>
      </c>
      <c r="H27" s="42">
        <v>3.62</v>
      </c>
      <c r="I27" s="41">
        <v>212351959</v>
      </c>
      <c r="J27" s="41">
        <v>7202</v>
      </c>
      <c r="K27" s="46">
        <v>29485.14</v>
      </c>
      <c r="L27" s="70">
        <v>30500</v>
      </c>
      <c r="M27" s="69" t="s">
        <v>362</v>
      </c>
      <c r="N27" s="68" t="s">
        <v>371</v>
      </c>
      <c r="O27" s="67">
        <v>-0.97</v>
      </c>
      <c r="P27" s="41">
        <v>7309041</v>
      </c>
      <c r="Q27" s="42">
        <v>3.44</v>
      </c>
      <c r="R27" s="41">
        <v>-2160600</v>
      </c>
      <c r="S27" s="41">
        <v>4001580</v>
      </c>
      <c r="T27" s="40" t="s">
        <v>269</v>
      </c>
      <c r="U27" s="39" t="s">
        <v>343</v>
      </c>
      <c r="V27" s="38" t="s">
        <v>342</v>
      </c>
      <c r="W27" s="38" t="s">
        <v>342</v>
      </c>
    </row>
    <row r="28" spans="1:23">
      <c r="A28" s="50" t="s">
        <v>511</v>
      </c>
      <c r="B28" s="50" t="s">
        <v>399</v>
      </c>
      <c r="C28" s="49" t="s">
        <v>625</v>
      </c>
      <c r="D28" s="57" t="s">
        <v>338</v>
      </c>
      <c r="E28" s="50" t="s">
        <v>52</v>
      </c>
      <c r="F28" s="49" t="s">
        <v>53</v>
      </c>
      <c r="G28" s="52">
        <v>1.95</v>
      </c>
      <c r="H28" s="52">
        <v>2.84</v>
      </c>
      <c r="I28" s="51">
        <v>177123995</v>
      </c>
      <c r="J28" s="51">
        <v>808</v>
      </c>
      <c r="K28" s="56">
        <v>219212.87</v>
      </c>
      <c r="L28" s="62">
        <v>213000</v>
      </c>
      <c r="M28" s="61" t="s">
        <v>362</v>
      </c>
      <c r="N28" s="60" t="s">
        <v>384</v>
      </c>
      <c r="O28" s="59">
        <v>-0.47</v>
      </c>
      <c r="P28" s="51">
        <v>-5019995</v>
      </c>
      <c r="Q28" s="52">
        <v>-2.83</v>
      </c>
      <c r="R28" s="51">
        <v>-808000</v>
      </c>
      <c r="S28" s="51">
        <v>5400418</v>
      </c>
      <c r="T28" s="50" t="s">
        <v>269</v>
      </c>
      <c r="U28" s="49" t="s">
        <v>343</v>
      </c>
      <c r="V28" s="48" t="s">
        <v>342</v>
      </c>
      <c r="W28" s="48" t="s">
        <v>342</v>
      </c>
    </row>
    <row r="29" spans="1:23">
      <c r="A29" s="40" t="s">
        <v>510</v>
      </c>
      <c r="B29" s="40" t="s">
        <v>399</v>
      </c>
      <c r="C29" s="39" t="s">
        <v>625</v>
      </c>
      <c r="D29" s="47" t="s">
        <v>338</v>
      </c>
      <c r="E29" s="40" t="s">
        <v>509</v>
      </c>
      <c r="F29" s="39" t="s">
        <v>508</v>
      </c>
      <c r="G29" s="42">
        <v>0.51</v>
      </c>
      <c r="H29" s="42">
        <v>0.74</v>
      </c>
      <c r="I29" s="41">
        <v>43929080</v>
      </c>
      <c r="J29" s="41">
        <v>595</v>
      </c>
      <c r="K29" s="46">
        <v>73830.39</v>
      </c>
      <c r="L29" s="70">
        <v>76100</v>
      </c>
      <c r="M29" s="69" t="s">
        <v>362</v>
      </c>
      <c r="N29" s="68" t="s">
        <v>355</v>
      </c>
      <c r="O29" s="67">
        <v>-0.13</v>
      </c>
      <c r="P29" s="41">
        <v>1350420</v>
      </c>
      <c r="Q29" s="42">
        <v>3.07</v>
      </c>
      <c r="R29" s="41">
        <v>-59500</v>
      </c>
      <c r="S29" s="41">
        <v>43880</v>
      </c>
      <c r="T29" s="40" t="s">
        <v>269</v>
      </c>
      <c r="U29" s="39" t="s">
        <v>343</v>
      </c>
      <c r="V29" s="38" t="s">
        <v>342</v>
      </c>
      <c r="W29" s="38" t="s">
        <v>342</v>
      </c>
    </row>
    <row r="30" spans="1:23">
      <c r="A30" s="50" t="s">
        <v>507</v>
      </c>
      <c r="B30" s="50" t="s">
        <v>399</v>
      </c>
      <c r="C30" s="49" t="s">
        <v>625</v>
      </c>
      <c r="D30" s="57" t="s">
        <v>338</v>
      </c>
      <c r="E30" s="50" t="s">
        <v>506</v>
      </c>
      <c r="F30" s="49" t="s">
        <v>505</v>
      </c>
      <c r="G30" s="52">
        <v>0.54</v>
      </c>
      <c r="H30" s="52">
        <v>0.79</v>
      </c>
      <c r="I30" s="51">
        <v>54501574</v>
      </c>
      <c r="J30" s="51">
        <v>1447</v>
      </c>
      <c r="K30" s="56">
        <v>37665.22</v>
      </c>
      <c r="L30" s="62">
        <v>33150</v>
      </c>
      <c r="M30" s="61" t="s">
        <v>362</v>
      </c>
      <c r="N30" s="60" t="s">
        <v>423</v>
      </c>
      <c r="O30" s="59">
        <v>-1.78</v>
      </c>
      <c r="P30" s="51">
        <v>-6533524</v>
      </c>
      <c r="Q30" s="52">
        <v>-11.99</v>
      </c>
      <c r="R30" s="51">
        <v>-868200</v>
      </c>
      <c r="S30" s="51">
        <v>652069</v>
      </c>
      <c r="T30" s="50" t="s">
        <v>269</v>
      </c>
      <c r="U30" s="49" t="s">
        <v>343</v>
      </c>
      <c r="V30" s="48" t="s">
        <v>342</v>
      </c>
      <c r="W30" s="48" t="s">
        <v>342</v>
      </c>
    </row>
    <row r="31" spans="1:23">
      <c r="A31" s="40" t="s">
        <v>504</v>
      </c>
      <c r="B31" s="40" t="s">
        <v>399</v>
      </c>
      <c r="C31" s="39" t="s">
        <v>625</v>
      </c>
      <c r="D31" s="47" t="s">
        <v>338</v>
      </c>
      <c r="E31" s="40" t="s">
        <v>503</v>
      </c>
      <c r="F31" s="39" t="s">
        <v>502</v>
      </c>
      <c r="G31" s="42">
        <v>0.5</v>
      </c>
      <c r="H31" s="42">
        <v>0.73</v>
      </c>
      <c r="I31" s="41">
        <v>44390550</v>
      </c>
      <c r="J31" s="41">
        <v>248</v>
      </c>
      <c r="K31" s="46">
        <v>178994.15</v>
      </c>
      <c r="L31" s="70">
        <v>180000</v>
      </c>
      <c r="M31" s="69" t="s">
        <v>362</v>
      </c>
      <c r="N31" s="68" t="s">
        <v>451</v>
      </c>
      <c r="O31" s="67">
        <v>-2.17</v>
      </c>
      <c r="P31" s="41">
        <v>249450</v>
      </c>
      <c r="Q31" s="42">
        <v>0.56000000000000005</v>
      </c>
      <c r="R31" s="41">
        <v>-992000</v>
      </c>
      <c r="S31" s="41">
        <v>1090796</v>
      </c>
      <c r="T31" s="40" t="s">
        <v>269</v>
      </c>
      <c r="U31" s="39" t="s">
        <v>343</v>
      </c>
      <c r="V31" s="38" t="s">
        <v>342</v>
      </c>
      <c r="W31" s="38" t="s">
        <v>342</v>
      </c>
    </row>
    <row r="32" spans="1:23">
      <c r="A32" s="50" t="s">
        <v>501</v>
      </c>
      <c r="B32" s="50" t="s">
        <v>399</v>
      </c>
      <c r="C32" s="49" t="s">
        <v>625</v>
      </c>
      <c r="D32" s="57" t="s">
        <v>338</v>
      </c>
      <c r="E32" s="50" t="s">
        <v>76</v>
      </c>
      <c r="F32" s="49" t="s">
        <v>77</v>
      </c>
      <c r="G32" s="52">
        <v>1.62</v>
      </c>
      <c r="H32" s="52">
        <v>2.36</v>
      </c>
      <c r="I32" s="51">
        <v>136049112</v>
      </c>
      <c r="J32" s="51">
        <v>5028</v>
      </c>
      <c r="K32" s="78">
        <v>27058.3</v>
      </c>
      <c r="L32" s="62">
        <v>28500</v>
      </c>
      <c r="M32" s="61" t="s">
        <v>362</v>
      </c>
      <c r="N32" s="60" t="s">
        <v>428</v>
      </c>
      <c r="O32" s="59">
        <v>-1.72</v>
      </c>
      <c r="P32" s="51">
        <v>7248888</v>
      </c>
      <c r="Q32" s="52">
        <v>5.33</v>
      </c>
      <c r="R32" s="51">
        <v>-2514000</v>
      </c>
      <c r="S32" s="51">
        <v>3620956</v>
      </c>
      <c r="T32" s="50" t="s">
        <v>269</v>
      </c>
      <c r="U32" s="49" t="s">
        <v>343</v>
      </c>
      <c r="V32" s="48" t="s">
        <v>342</v>
      </c>
      <c r="W32" s="48" t="s">
        <v>342</v>
      </c>
    </row>
    <row r="33" spans="1:23">
      <c r="A33" s="40" t="s">
        <v>500</v>
      </c>
      <c r="B33" s="40" t="s">
        <v>399</v>
      </c>
      <c r="C33" s="39" t="s">
        <v>625</v>
      </c>
      <c r="D33" s="47" t="s">
        <v>338</v>
      </c>
      <c r="E33" s="40" t="s">
        <v>78</v>
      </c>
      <c r="F33" s="39" t="s">
        <v>79</v>
      </c>
      <c r="G33" s="42">
        <v>0.48</v>
      </c>
      <c r="H33" s="42">
        <v>0.7</v>
      </c>
      <c r="I33" s="41">
        <v>43752080</v>
      </c>
      <c r="J33" s="41">
        <v>4630</v>
      </c>
      <c r="K33" s="46">
        <v>9449.69</v>
      </c>
      <c r="L33" s="41">
        <v>9260</v>
      </c>
      <c r="M33" s="45" t="s">
        <v>269</v>
      </c>
      <c r="N33" s="44" t="s">
        <v>342</v>
      </c>
      <c r="O33" s="43">
        <v>0</v>
      </c>
      <c r="P33" s="41">
        <v>-878280</v>
      </c>
      <c r="Q33" s="42">
        <v>-2.0099999999999998</v>
      </c>
      <c r="R33" s="41">
        <v>0</v>
      </c>
      <c r="S33" s="41">
        <v>1160210</v>
      </c>
      <c r="T33" s="40" t="s">
        <v>269</v>
      </c>
      <c r="U33" s="39" t="s">
        <v>343</v>
      </c>
      <c r="V33" s="38" t="s">
        <v>342</v>
      </c>
      <c r="W33" s="38" t="s">
        <v>342</v>
      </c>
    </row>
    <row r="34" spans="1:23">
      <c r="A34" s="50" t="s">
        <v>499</v>
      </c>
      <c r="B34" s="50" t="s">
        <v>399</v>
      </c>
      <c r="C34" s="49" t="s">
        <v>625</v>
      </c>
      <c r="D34" s="57" t="s">
        <v>338</v>
      </c>
      <c r="E34" s="50" t="s">
        <v>498</v>
      </c>
      <c r="F34" s="49" t="s">
        <v>497</v>
      </c>
      <c r="G34" s="52">
        <v>0</v>
      </c>
      <c r="H34" s="52">
        <v>0</v>
      </c>
      <c r="I34" s="51">
        <v>5251664</v>
      </c>
      <c r="J34" s="51">
        <v>0</v>
      </c>
      <c r="K34" s="51">
        <v>0</v>
      </c>
      <c r="L34" s="62">
        <v>19850</v>
      </c>
      <c r="M34" s="61" t="s">
        <v>362</v>
      </c>
      <c r="N34" s="60" t="s">
        <v>496</v>
      </c>
      <c r="O34" s="59">
        <v>-4.57</v>
      </c>
      <c r="P34" s="51">
        <v>-5251664</v>
      </c>
      <c r="Q34" s="52">
        <v>-6.65</v>
      </c>
      <c r="R34" s="51">
        <v>-3335400</v>
      </c>
      <c r="S34" s="51">
        <v>502849</v>
      </c>
      <c r="T34" s="50" t="s">
        <v>269</v>
      </c>
      <c r="U34" s="49" t="s">
        <v>343</v>
      </c>
      <c r="V34" s="48" t="s">
        <v>342</v>
      </c>
      <c r="W34" s="48" t="s">
        <v>342</v>
      </c>
    </row>
    <row r="35" spans="1:23">
      <c r="A35" s="40" t="s">
        <v>495</v>
      </c>
      <c r="B35" s="40" t="s">
        <v>399</v>
      </c>
      <c r="C35" s="39" t="s">
        <v>625</v>
      </c>
      <c r="D35" s="47" t="s">
        <v>338</v>
      </c>
      <c r="E35" s="40" t="s">
        <v>494</v>
      </c>
      <c r="F35" s="39" t="s">
        <v>493</v>
      </c>
      <c r="G35" s="42">
        <v>2.4</v>
      </c>
      <c r="H35" s="42">
        <v>3.49</v>
      </c>
      <c r="I35" s="41">
        <v>215678538</v>
      </c>
      <c r="J35" s="41">
        <v>1476</v>
      </c>
      <c r="K35" s="46">
        <v>146123.67000000001</v>
      </c>
      <c r="L35" s="66">
        <v>143500</v>
      </c>
      <c r="M35" s="65" t="s">
        <v>367</v>
      </c>
      <c r="N35" s="64" t="s">
        <v>384</v>
      </c>
      <c r="O35" s="63">
        <v>0.7</v>
      </c>
      <c r="P35" s="41">
        <v>-3872538</v>
      </c>
      <c r="Q35" s="42">
        <v>-1.8</v>
      </c>
      <c r="R35" s="41">
        <v>1476000</v>
      </c>
      <c r="S35" s="41">
        <v>1793876</v>
      </c>
      <c r="T35" s="40" t="s">
        <v>269</v>
      </c>
      <c r="U35" s="39" t="s">
        <v>343</v>
      </c>
      <c r="V35" s="38" t="s">
        <v>342</v>
      </c>
      <c r="W35" s="38" t="s">
        <v>342</v>
      </c>
    </row>
    <row r="36" spans="1:23">
      <c r="A36" s="50" t="s">
        <v>492</v>
      </c>
      <c r="B36" s="50" t="s">
        <v>399</v>
      </c>
      <c r="C36" s="49" t="s">
        <v>625</v>
      </c>
      <c r="D36" s="57" t="s">
        <v>338</v>
      </c>
      <c r="E36" s="50" t="s">
        <v>265</v>
      </c>
      <c r="F36" s="49" t="s">
        <v>266</v>
      </c>
      <c r="G36" s="52">
        <v>2.52</v>
      </c>
      <c r="H36" s="52">
        <v>3.68</v>
      </c>
      <c r="I36" s="51">
        <v>211256513</v>
      </c>
      <c r="J36" s="51">
        <v>53581</v>
      </c>
      <c r="K36" s="56">
        <v>3942.75</v>
      </c>
      <c r="L36" s="62">
        <v>4165</v>
      </c>
      <c r="M36" s="61" t="s">
        <v>362</v>
      </c>
      <c r="N36" s="60" t="s">
        <v>414</v>
      </c>
      <c r="O36" s="59">
        <v>-4.58</v>
      </c>
      <c r="P36" s="51">
        <v>11908352</v>
      </c>
      <c r="Q36" s="52">
        <v>5.64</v>
      </c>
      <c r="R36" s="51">
        <v>-10716200</v>
      </c>
      <c r="S36" s="51">
        <v>595352</v>
      </c>
      <c r="T36" s="50" t="s">
        <v>269</v>
      </c>
      <c r="U36" s="49" t="s">
        <v>343</v>
      </c>
      <c r="V36" s="48" t="s">
        <v>342</v>
      </c>
      <c r="W36" s="48" t="s">
        <v>342</v>
      </c>
    </row>
    <row r="37" spans="1:23">
      <c r="A37" s="40" t="s">
        <v>491</v>
      </c>
      <c r="B37" s="40" t="s">
        <v>399</v>
      </c>
      <c r="C37" s="39" t="s">
        <v>625</v>
      </c>
      <c r="D37" s="47" t="s">
        <v>338</v>
      </c>
      <c r="E37" s="40" t="s">
        <v>88</v>
      </c>
      <c r="F37" s="39" t="s">
        <v>89</v>
      </c>
      <c r="G37" s="42">
        <v>1.27</v>
      </c>
      <c r="H37" s="42">
        <v>1.86</v>
      </c>
      <c r="I37" s="41">
        <v>101393608</v>
      </c>
      <c r="J37" s="41">
        <v>3469</v>
      </c>
      <c r="K37" s="46">
        <v>29228.48</v>
      </c>
      <c r="L37" s="66">
        <v>32500</v>
      </c>
      <c r="M37" s="65" t="s">
        <v>367</v>
      </c>
      <c r="N37" s="64" t="s">
        <v>355</v>
      </c>
      <c r="O37" s="63">
        <v>0.31</v>
      </c>
      <c r="P37" s="41">
        <v>11348892</v>
      </c>
      <c r="Q37" s="42">
        <v>11.19</v>
      </c>
      <c r="R37" s="41">
        <v>346900</v>
      </c>
      <c r="S37" s="41">
        <v>2157990</v>
      </c>
      <c r="T37" s="40" t="s">
        <v>269</v>
      </c>
      <c r="U37" s="39" t="s">
        <v>343</v>
      </c>
      <c r="V37" s="38" t="s">
        <v>342</v>
      </c>
      <c r="W37" s="38" t="s">
        <v>342</v>
      </c>
    </row>
    <row r="38" spans="1:23">
      <c r="A38" s="50" t="s">
        <v>490</v>
      </c>
      <c r="B38" s="50" t="s">
        <v>399</v>
      </c>
      <c r="C38" s="49" t="s">
        <v>625</v>
      </c>
      <c r="D38" s="57" t="s">
        <v>338</v>
      </c>
      <c r="E38" s="50" t="s">
        <v>252</v>
      </c>
      <c r="F38" s="49" t="s">
        <v>253</v>
      </c>
      <c r="G38" s="52">
        <v>3.55</v>
      </c>
      <c r="H38" s="52">
        <v>5.17</v>
      </c>
      <c r="I38" s="51">
        <v>287373184</v>
      </c>
      <c r="J38" s="51">
        <v>8395</v>
      </c>
      <c r="K38" s="56">
        <v>34231.47</v>
      </c>
      <c r="L38" s="62">
        <v>37350</v>
      </c>
      <c r="M38" s="61" t="s">
        <v>362</v>
      </c>
      <c r="N38" s="60" t="s">
        <v>419</v>
      </c>
      <c r="O38" s="59">
        <v>-1.97</v>
      </c>
      <c r="P38" s="51">
        <v>26180066</v>
      </c>
      <c r="Q38" s="52">
        <v>9.11</v>
      </c>
      <c r="R38" s="51">
        <v>-6296250</v>
      </c>
      <c r="S38" s="51">
        <v>1225598</v>
      </c>
      <c r="T38" s="50" t="s">
        <v>269</v>
      </c>
      <c r="U38" s="49" t="s">
        <v>343</v>
      </c>
      <c r="V38" s="48" t="s">
        <v>342</v>
      </c>
      <c r="W38" s="48" t="s">
        <v>342</v>
      </c>
    </row>
    <row r="39" spans="1:23">
      <c r="A39" s="40" t="s">
        <v>489</v>
      </c>
      <c r="B39" s="40" t="s">
        <v>399</v>
      </c>
      <c r="C39" s="39" t="s">
        <v>625</v>
      </c>
      <c r="D39" s="47" t="s">
        <v>338</v>
      </c>
      <c r="E39" s="40" t="s">
        <v>488</v>
      </c>
      <c r="F39" s="39" t="s">
        <v>487</v>
      </c>
      <c r="G39" s="42">
        <v>1.34</v>
      </c>
      <c r="H39" s="42">
        <v>1.95</v>
      </c>
      <c r="I39" s="41">
        <v>117266755</v>
      </c>
      <c r="J39" s="41">
        <v>4387</v>
      </c>
      <c r="K39" s="46">
        <v>26730.51</v>
      </c>
      <c r="L39" s="66">
        <v>27000</v>
      </c>
      <c r="M39" s="65" t="s">
        <v>367</v>
      </c>
      <c r="N39" s="64" t="s">
        <v>486</v>
      </c>
      <c r="O39" s="63">
        <v>2.08</v>
      </c>
      <c r="P39" s="41">
        <v>1182245</v>
      </c>
      <c r="Q39" s="42">
        <v>1.01</v>
      </c>
      <c r="R39" s="41">
        <v>2412850</v>
      </c>
      <c r="S39" s="41">
        <v>1843422</v>
      </c>
      <c r="T39" s="40" t="s">
        <v>269</v>
      </c>
      <c r="U39" s="39" t="s">
        <v>343</v>
      </c>
      <c r="V39" s="38" t="s">
        <v>342</v>
      </c>
      <c r="W39" s="38" t="s">
        <v>342</v>
      </c>
    </row>
    <row r="40" spans="1:23">
      <c r="A40" s="50" t="s">
        <v>485</v>
      </c>
      <c r="B40" s="50" t="s">
        <v>399</v>
      </c>
      <c r="C40" s="49" t="s">
        <v>625</v>
      </c>
      <c r="D40" s="57" t="s">
        <v>338</v>
      </c>
      <c r="E40" s="50" t="s">
        <v>334</v>
      </c>
      <c r="F40" s="49" t="s">
        <v>335</v>
      </c>
      <c r="G40" s="52">
        <v>0.5</v>
      </c>
      <c r="H40" s="52">
        <v>0.73</v>
      </c>
      <c r="I40" s="51">
        <v>44812940</v>
      </c>
      <c r="J40" s="51">
        <v>678</v>
      </c>
      <c r="K40" s="56">
        <v>66095.78</v>
      </c>
      <c r="L40" s="62">
        <v>65400</v>
      </c>
      <c r="M40" s="61" t="s">
        <v>362</v>
      </c>
      <c r="N40" s="60" t="s">
        <v>423</v>
      </c>
      <c r="O40" s="59">
        <v>-0.91</v>
      </c>
      <c r="P40" s="51">
        <v>-471740</v>
      </c>
      <c r="Q40" s="52">
        <v>-1.05</v>
      </c>
      <c r="R40" s="51">
        <v>-406800</v>
      </c>
      <c r="S40" s="51">
        <v>31340</v>
      </c>
      <c r="T40" s="50" t="s">
        <v>269</v>
      </c>
      <c r="U40" s="49" t="s">
        <v>343</v>
      </c>
      <c r="V40" s="48" t="s">
        <v>342</v>
      </c>
      <c r="W40" s="48" t="s">
        <v>342</v>
      </c>
    </row>
    <row r="41" spans="1:23">
      <c r="A41" s="40" t="s">
        <v>484</v>
      </c>
      <c r="B41" s="40" t="s">
        <v>399</v>
      </c>
      <c r="C41" s="39" t="s">
        <v>625</v>
      </c>
      <c r="D41" s="47" t="s">
        <v>338</v>
      </c>
      <c r="E41" s="40" t="s">
        <v>100</v>
      </c>
      <c r="F41" s="39" t="s">
        <v>101</v>
      </c>
      <c r="G41" s="42">
        <v>1.02</v>
      </c>
      <c r="H41" s="42">
        <v>1.49</v>
      </c>
      <c r="I41" s="41">
        <v>81248253</v>
      </c>
      <c r="J41" s="41">
        <v>216</v>
      </c>
      <c r="K41" s="46">
        <v>376149.32</v>
      </c>
      <c r="L41" s="70">
        <v>420300</v>
      </c>
      <c r="M41" s="69" t="s">
        <v>362</v>
      </c>
      <c r="N41" s="68" t="s">
        <v>483</v>
      </c>
      <c r="O41" s="67">
        <v>-2.2999999999999998</v>
      </c>
      <c r="P41" s="41">
        <v>9536547</v>
      </c>
      <c r="Q41" s="42">
        <v>11.74</v>
      </c>
      <c r="R41" s="41">
        <v>-2138400</v>
      </c>
      <c r="S41" s="41">
        <v>3676879</v>
      </c>
      <c r="T41" s="40" t="s">
        <v>269</v>
      </c>
      <c r="U41" s="39" t="s">
        <v>343</v>
      </c>
      <c r="V41" s="38" t="s">
        <v>342</v>
      </c>
      <c r="W41" s="38" t="s">
        <v>342</v>
      </c>
    </row>
    <row r="42" spans="1:23">
      <c r="A42" s="50" t="s">
        <v>482</v>
      </c>
      <c r="B42" s="50" t="s">
        <v>399</v>
      </c>
      <c r="C42" s="49" t="s">
        <v>625</v>
      </c>
      <c r="D42" s="57" t="s">
        <v>338</v>
      </c>
      <c r="E42" s="50" t="s">
        <v>290</v>
      </c>
      <c r="F42" s="49" t="s">
        <v>291</v>
      </c>
      <c r="G42" s="52">
        <v>0.53</v>
      </c>
      <c r="H42" s="52">
        <v>0.77</v>
      </c>
      <c r="I42" s="51">
        <v>42555628</v>
      </c>
      <c r="J42" s="51">
        <v>663</v>
      </c>
      <c r="K42" s="56">
        <v>64186.47</v>
      </c>
      <c r="L42" s="62">
        <v>71100</v>
      </c>
      <c r="M42" s="61" t="s">
        <v>362</v>
      </c>
      <c r="N42" s="60" t="s">
        <v>481</v>
      </c>
      <c r="O42" s="59">
        <v>-2.6</v>
      </c>
      <c r="P42" s="51">
        <v>4583672</v>
      </c>
      <c r="Q42" s="52">
        <v>10.77</v>
      </c>
      <c r="R42" s="51">
        <v>-1259700</v>
      </c>
      <c r="S42" s="51">
        <v>467297</v>
      </c>
      <c r="T42" s="50" t="s">
        <v>269</v>
      </c>
      <c r="U42" s="49" t="s">
        <v>343</v>
      </c>
      <c r="V42" s="48" t="s">
        <v>342</v>
      </c>
      <c r="W42" s="48" t="s">
        <v>342</v>
      </c>
    </row>
    <row r="43" spans="1:23">
      <c r="A43" s="40" t="s">
        <v>480</v>
      </c>
      <c r="B43" s="40" t="s">
        <v>399</v>
      </c>
      <c r="C43" s="39" t="s">
        <v>625</v>
      </c>
      <c r="D43" s="47" t="s">
        <v>338</v>
      </c>
      <c r="E43" s="40" t="s">
        <v>336</v>
      </c>
      <c r="F43" s="39" t="s">
        <v>337</v>
      </c>
      <c r="G43" s="42">
        <v>0.96</v>
      </c>
      <c r="H43" s="42">
        <v>1.4</v>
      </c>
      <c r="I43" s="41">
        <v>88949040</v>
      </c>
      <c r="J43" s="41">
        <v>3466</v>
      </c>
      <c r="K43" s="46">
        <v>25663.31</v>
      </c>
      <c r="L43" s="70">
        <v>24550</v>
      </c>
      <c r="M43" s="69" t="s">
        <v>362</v>
      </c>
      <c r="N43" s="68" t="s">
        <v>479</v>
      </c>
      <c r="O43" s="67">
        <v>-1.8</v>
      </c>
      <c r="P43" s="41">
        <v>-3858740</v>
      </c>
      <c r="Q43" s="42">
        <v>-4.34</v>
      </c>
      <c r="R43" s="41">
        <v>-1559700</v>
      </c>
      <c r="S43" s="41">
        <v>80840</v>
      </c>
      <c r="T43" s="40" t="s">
        <v>269</v>
      </c>
      <c r="U43" s="39" t="s">
        <v>343</v>
      </c>
      <c r="V43" s="38" t="s">
        <v>342</v>
      </c>
      <c r="W43" s="38" t="s">
        <v>342</v>
      </c>
    </row>
    <row r="44" spans="1:23">
      <c r="A44" s="50" t="s">
        <v>478</v>
      </c>
      <c r="B44" s="50" t="s">
        <v>399</v>
      </c>
      <c r="C44" s="49" t="s">
        <v>668</v>
      </c>
      <c r="D44" s="77" t="s">
        <v>339</v>
      </c>
      <c r="E44" s="50" t="s">
        <v>477</v>
      </c>
      <c r="F44" s="49" t="s">
        <v>476</v>
      </c>
      <c r="G44" s="52">
        <v>0.53</v>
      </c>
      <c r="H44" s="52">
        <v>1.03</v>
      </c>
      <c r="I44" s="51">
        <v>-44254334</v>
      </c>
      <c r="J44" s="51">
        <v>-400</v>
      </c>
      <c r="K44" s="56">
        <v>110635.84</v>
      </c>
      <c r="L44" s="62">
        <v>118000</v>
      </c>
      <c r="M44" s="61" t="s">
        <v>362</v>
      </c>
      <c r="N44" s="60" t="s">
        <v>382</v>
      </c>
      <c r="O44" s="59">
        <v>-1.26</v>
      </c>
      <c r="P44" s="51">
        <v>-2945666</v>
      </c>
      <c r="Q44" s="52">
        <v>-6.66</v>
      </c>
      <c r="R44" s="51">
        <v>600000</v>
      </c>
      <c r="S44" s="51">
        <v>1954400</v>
      </c>
      <c r="T44" s="50" t="s">
        <v>269</v>
      </c>
      <c r="U44" s="49" t="s">
        <v>343</v>
      </c>
      <c r="V44" s="48" t="s">
        <v>342</v>
      </c>
      <c r="W44" s="48" t="s">
        <v>342</v>
      </c>
    </row>
    <row r="45" spans="1:23">
      <c r="A45" s="40" t="s">
        <v>361</v>
      </c>
      <c r="B45" s="40" t="s">
        <v>399</v>
      </c>
      <c r="C45" s="39" t="s">
        <v>668</v>
      </c>
      <c r="D45" s="72" t="s">
        <v>339</v>
      </c>
      <c r="E45" s="40" t="s">
        <v>475</v>
      </c>
      <c r="F45" s="39" t="s">
        <v>474</v>
      </c>
      <c r="G45" s="42">
        <v>1.01</v>
      </c>
      <c r="H45" s="42">
        <v>1.97</v>
      </c>
      <c r="I45" s="41">
        <v>-94057661</v>
      </c>
      <c r="J45" s="41">
        <v>-469</v>
      </c>
      <c r="K45" s="46">
        <v>200549.38</v>
      </c>
      <c r="L45" s="70">
        <v>191000</v>
      </c>
      <c r="M45" s="69" t="s">
        <v>362</v>
      </c>
      <c r="N45" s="68" t="s">
        <v>382</v>
      </c>
      <c r="O45" s="67">
        <v>-0.78</v>
      </c>
      <c r="P45" s="41">
        <v>4478661</v>
      </c>
      <c r="Q45" s="42">
        <v>4.76</v>
      </c>
      <c r="R45" s="41">
        <v>703500</v>
      </c>
      <c r="S45" s="41">
        <v>1056508</v>
      </c>
      <c r="T45" s="40" t="s">
        <v>269</v>
      </c>
      <c r="U45" s="39" t="s">
        <v>343</v>
      </c>
      <c r="V45" s="38" t="s">
        <v>342</v>
      </c>
      <c r="W45" s="38" t="s">
        <v>342</v>
      </c>
    </row>
    <row r="46" spans="1:23">
      <c r="A46" s="50" t="s">
        <v>473</v>
      </c>
      <c r="B46" s="50" t="s">
        <v>399</v>
      </c>
      <c r="C46" s="49" t="s">
        <v>668</v>
      </c>
      <c r="D46" s="77" t="s">
        <v>339</v>
      </c>
      <c r="E46" s="50" t="s">
        <v>293</v>
      </c>
      <c r="F46" s="49" t="s">
        <v>294</v>
      </c>
      <c r="G46" s="52">
        <v>2.08</v>
      </c>
      <c r="H46" s="52">
        <v>4.05</v>
      </c>
      <c r="I46" s="51">
        <v>-165675081</v>
      </c>
      <c r="J46" s="51">
        <v>-2604</v>
      </c>
      <c r="K46" s="78">
        <v>63623.3</v>
      </c>
      <c r="L46" s="76">
        <v>70700</v>
      </c>
      <c r="M46" s="75" t="s">
        <v>367</v>
      </c>
      <c r="N46" s="74" t="s">
        <v>472</v>
      </c>
      <c r="O46" s="73">
        <v>2.61</v>
      </c>
      <c r="P46" s="51">
        <v>-18427719</v>
      </c>
      <c r="Q46" s="52">
        <v>-11.12</v>
      </c>
      <c r="R46" s="51">
        <v>-4687200</v>
      </c>
      <c r="S46" s="51">
        <v>1040360</v>
      </c>
      <c r="T46" s="50" t="s">
        <v>269</v>
      </c>
      <c r="U46" s="49" t="s">
        <v>343</v>
      </c>
      <c r="V46" s="48" t="s">
        <v>342</v>
      </c>
      <c r="W46" s="48" t="s">
        <v>342</v>
      </c>
    </row>
    <row r="47" spans="1:23">
      <c r="A47" s="40" t="s">
        <v>471</v>
      </c>
      <c r="B47" s="40" t="s">
        <v>399</v>
      </c>
      <c r="C47" s="39" t="s">
        <v>668</v>
      </c>
      <c r="D47" s="72" t="s">
        <v>339</v>
      </c>
      <c r="E47" s="40" t="s">
        <v>8</v>
      </c>
      <c r="F47" s="39" t="s">
        <v>9</v>
      </c>
      <c r="G47" s="42">
        <v>1.17</v>
      </c>
      <c r="H47" s="42">
        <v>2.27</v>
      </c>
      <c r="I47" s="41">
        <v>-123894204</v>
      </c>
      <c r="J47" s="41">
        <v>-142</v>
      </c>
      <c r="K47" s="46">
        <v>872494.39</v>
      </c>
      <c r="L47" s="66">
        <v>729000</v>
      </c>
      <c r="M47" s="65" t="s">
        <v>367</v>
      </c>
      <c r="N47" s="64" t="s">
        <v>470</v>
      </c>
      <c r="O47" s="63">
        <v>2.39</v>
      </c>
      <c r="P47" s="41">
        <v>20376204</v>
      </c>
      <c r="Q47" s="42">
        <v>16.45</v>
      </c>
      <c r="R47" s="41">
        <v>-2414000</v>
      </c>
      <c r="S47" s="41">
        <v>742098</v>
      </c>
      <c r="T47" s="40" t="s">
        <v>269</v>
      </c>
      <c r="U47" s="39" t="s">
        <v>343</v>
      </c>
      <c r="V47" s="38" t="s">
        <v>342</v>
      </c>
      <c r="W47" s="38" t="s">
        <v>342</v>
      </c>
    </row>
    <row r="48" spans="1:23">
      <c r="A48" s="50" t="s">
        <v>469</v>
      </c>
      <c r="B48" s="50" t="s">
        <v>399</v>
      </c>
      <c r="C48" s="49" t="s">
        <v>668</v>
      </c>
      <c r="D48" s="77" t="s">
        <v>339</v>
      </c>
      <c r="E48" s="50" t="s">
        <v>468</v>
      </c>
      <c r="F48" s="49" t="s">
        <v>467</v>
      </c>
      <c r="G48" s="52">
        <v>1.02</v>
      </c>
      <c r="H48" s="52">
        <v>1.99</v>
      </c>
      <c r="I48" s="51">
        <v>-103307973</v>
      </c>
      <c r="J48" s="51">
        <v>-3197</v>
      </c>
      <c r="K48" s="56">
        <v>32314.04</v>
      </c>
      <c r="L48" s="76">
        <v>28300</v>
      </c>
      <c r="M48" s="75" t="s">
        <v>367</v>
      </c>
      <c r="N48" s="74" t="s">
        <v>414</v>
      </c>
      <c r="O48" s="73">
        <v>0.71</v>
      </c>
      <c r="P48" s="51">
        <v>12832873</v>
      </c>
      <c r="Q48" s="52">
        <v>12.42</v>
      </c>
      <c r="R48" s="51">
        <v>-639400</v>
      </c>
      <c r="S48" s="51">
        <v>985072</v>
      </c>
      <c r="T48" s="50" t="s">
        <v>269</v>
      </c>
      <c r="U48" s="49" t="s">
        <v>343</v>
      </c>
      <c r="V48" s="48" t="s">
        <v>342</v>
      </c>
      <c r="W48" s="48" t="s">
        <v>342</v>
      </c>
    </row>
    <row r="49" spans="1:23">
      <c r="A49" s="40" t="s">
        <v>466</v>
      </c>
      <c r="B49" s="40" t="s">
        <v>399</v>
      </c>
      <c r="C49" s="39" t="s">
        <v>668</v>
      </c>
      <c r="D49" s="72" t="s">
        <v>339</v>
      </c>
      <c r="E49" s="40" t="s">
        <v>288</v>
      </c>
      <c r="F49" s="39" t="s">
        <v>289</v>
      </c>
      <c r="G49" s="42">
        <v>1.56</v>
      </c>
      <c r="H49" s="42">
        <v>3.03</v>
      </c>
      <c r="I49" s="41">
        <v>-133349554</v>
      </c>
      <c r="J49" s="41">
        <v>-702</v>
      </c>
      <c r="K49" s="46">
        <v>189956.63</v>
      </c>
      <c r="L49" s="66">
        <v>196500</v>
      </c>
      <c r="M49" s="65" t="s">
        <v>367</v>
      </c>
      <c r="N49" s="64" t="s">
        <v>465</v>
      </c>
      <c r="O49" s="63">
        <v>8.86</v>
      </c>
      <c r="P49" s="41">
        <v>-4593446</v>
      </c>
      <c r="Q49" s="42">
        <v>-3.44</v>
      </c>
      <c r="R49" s="41">
        <v>-11232000</v>
      </c>
      <c r="S49" s="41">
        <v>1997436</v>
      </c>
      <c r="T49" s="40" t="s">
        <v>269</v>
      </c>
      <c r="U49" s="39" t="s">
        <v>343</v>
      </c>
      <c r="V49" s="38" t="s">
        <v>342</v>
      </c>
      <c r="W49" s="38" t="s">
        <v>342</v>
      </c>
    </row>
    <row r="50" spans="1:23">
      <c r="A50" s="50" t="s">
        <v>464</v>
      </c>
      <c r="B50" s="50" t="s">
        <v>399</v>
      </c>
      <c r="C50" s="49" t="s">
        <v>668</v>
      </c>
      <c r="D50" s="77" t="s">
        <v>339</v>
      </c>
      <c r="E50" s="50" t="s">
        <v>463</v>
      </c>
      <c r="F50" s="49" t="s">
        <v>462</v>
      </c>
      <c r="G50" s="52">
        <v>1.48</v>
      </c>
      <c r="H50" s="52">
        <v>2.87</v>
      </c>
      <c r="I50" s="51">
        <v>-131650914</v>
      </c>
      <c r="J50" s="51">
        <v>-430</v>
      </c>
      <c r="K50" s="56">
        <v>306164.92</v>
      </c>
      <c r="L50" s="51">
        <v>304000</v>
      </c>
      <c r="M50" s="55" t="s">
        <v>269</v>
      </c>
      <c r="N50" s="54" t="s">
        <v>342</v>
      </c>
      <c r="O50" s="53">
        <v>0</v>
      </c>
      <c r="P50" s="51">
        <v>930914</v>
      </c>
      <c r="Q50" s="52">
        <v>0.71</v>
      </c>
      <c r="R50" s="51">
        <v>0</v>
      </c>
      <c r="S50" s="51">
        <v>1845476</v>
      </c>
      <c r="T50" s="50" t="s">
        <v>269</v>
      </c>
      <c r="U50" s="49" t="s">
        <v>343</v>
      </c>
      <c r="V50" s="48" t="s">
        <v>342</v>
      </c>
      <c r="W50" s="48" t="s">
        <v>342</v>
      </c>
    </row>
    <row r="51" spans="1:23">
      <c r="A51" s="40" t="s">
        <v>461</v>
      </c>
      <c r="B51" s="40" t="s">
        <v>399</v>
      </c>
      <c r="C51" s="39" t="s">
        <v>668</v>
      </c>
      <c r="D51" s="72" t="s">
        <v>339</v>
      </c>
      <c r="E51" s="40" t="s">
        <v>301</v>
      </c>
      <c r="F51" s="39" t="s">
        <v>302</v>
      </c>
      <c r="G51" s="42">
        <v>1.04</v>
      </c>
      <c r="H51" s="42">
        <v>2.02</v>
      </c>
      <c r="I51" s="41">
        <v>-91291681</v>
      </c>
      <c r="J51" s="41">
        <v>-485</v>
      </c>
      <c r="K51" s="46">
        <v>188230.27</v>
      </c>
      <c r="L51" s="66">
        <v>189500</v>
      </c>
      <c r="M51" s="65" t="s">
        <v>367</v>
      </c>
      <c r="N51" s="64" t="s">
        <v>460</v>
      </c>
      <c r="O51" s="63">
        <v>1.61</v>
      </c>
      <c r="P51" s="41">
        <v>-615819</v>
      </c>
      <c r="Q51" s="42">
        <v>-0.67</v>
      </c>
      <c r="R51" s="41">
        <v>-1455000</v>
      </c>
      <c r="S51" s="41">
        <v>1451774</v>
      </c>
      <c r="T51" s="40" t="s">
        <v>269</v>
      </c>
      <c r="U51" s="39" t="s">
        <v>343</v>
      </c>
      <c r="V51" s="38" t="s">
        <v>342</v>
      </c>
      <c r="W51" s="38" t="s">
        <v>342</v>
      </c>
    </row>
    <row r="52" spans="1:23">
      <c r="A52" s="50" t="s">
        <v>453</v>
      </c>
      <c r="B52" s="50" t="s">
        <v>399</v>
      </c>
      <c r="C52" s="49" t="s">
        <v>668</v>
      </c>
      <c r="D52" s="77" t="s">
        <v>339</v>
      </c>
      <c r="E52" s="50" t="s">
        <v>129</v>
      </c>
      <c r="F52" s="49" t="s">
        <v>130</v>
      </c>
      <c r="G52" s="52">
        <v>1.65</v>
      </c>
      <c r="H52" s="52">
        <v>3.2</v>
      </c>
      <c r="I52" s="51">
        <v>-147061645</v>
      </c>
      <c r="J52" s="51">
        <v>-2234</v>
      </c>
      <c r="K52" s="56">
        <v>65828.850000000006</v>
      </c>
      <c r="L52" s="76">
        <v>65200</v>
      </c>
      <c r="M52" s="75" t="s">
        <v>367</v>
      </c>
      <c r="N52" s="74" t="s">
        <v>428</v>
      </c>
      <c r="O52" s="73">
        <v>0.77</v>
      </c>
      <c r="P52" s="51">
        <v>1404845</v>
      </c>
      <c r="Q52" s="52">
        <v>0.96</v>
      </c>
      <c r="R52" s="51">
        <v>-1117000</v>
      </c>
      <c r="S52" s="51">
        <v>1608654</v>
      </c>
      <c r="T52" s="50" t="s">
        <v>269</v>
      </c>
      <c r="U52" s="49" t="s">
        <v>343</v>
      </c>
      <c r="V52" s="48" t="s">
        <v>342</v>
      </c>
      <c r="W52" s="48" t="s">
        <v>342</v>
      </c>
    </row>
    <row r="53" spans="1:23">
      <c r="A53" s="40" t="s">
        <v>459</v>
      </c>
      <c r="B53" s="40" t="s">
        <v>399</v>
      </c>
      <c r="C53" s="39" t="s">
        <v>668</v>
      </c>
      <c r="D53" s="72" t="s">
        <v>339</v>
      </c>
      <c r="E53" s="40" t="s">
        <v>320</v>
      </c>
      <c r="F53" s="39" t="s">
        <v>321</v>
      </c>
      <c r="G53" s="42">
        <v>0.87</v>
      </c>
      <c r="H53" s="42">
        <v>1.7</v>
      </c>
      <c r="I53" s="41">
        <v>-76235123</v>
      </c>
      <c r="J53" s="41">
        <v>-650</v>
      </c>
      <c r="K53" s="58">
        <v>117284.8</v>
      </c>
      <c r="L53" s="70">
        <v>119000</v>
      </c>
      <c r="M53" s="69" t="s">
        <v>362</v>
      </c>
      <c r="N53" s="68" t="s">
        <v>458</v>
      </c>
      <c r="O53" s="67">
        <v>-2.06</v>
      </c>
      <c r="P53" s="41">
        <v>-1114877</v>
      </c>
      <c r="Q53" s="42">
        <v>-1.46</v>
      </c>
      <c r="R53" s="41">
        <v>1625000</v>
      </c>
      <c r="S53" s="41">
        <v>4929980</v>
      </c>
      <c r="T53" s="40" t="s">
        <v>269</v>
      </c>
      <c r="U53" s="39" t="s">
        <v>343</v>
      </c>
      <c r="V53" s="38" t="s">
        <v>342</v>
      </c>
      <c r="W53" s="38" t="s">
        <v>342</v>
      </c>
    </row>
    <row r="54" spans="1:23">
      <c r="A54" s="50" t="s">
        <v>457</v>
      </c>
      <c r="B54" s="50" t="s">
        <v>399</v>
      </c>
      <c r="C54" s="49" t="s">
        <v>668</v>
      </c>
      <c r="D54" s="77" t="s">
        <v>339</v>
      </c>
      <c r="E54" s="50" t="s">
        <v>330</v>
      </c>
      <c r="F54" s="49" t="s">
        <v>331</v>
      </c>
      <c r="G54" s="52">
        <v>1.39</v>
      </c>
      <c r="H54" s="52">
        <v>2.71</v>
      </c>
      <c r="I54" s="51">
        <v>-127361132</v>
      </c>
      <c r="J54" s="51">
        <v>-590</v>
      </c>
      <c r="K54" s="56">
        <v>215866.33</v>
      </c>
      <c r="L54" s="76">
        <v>209000</v>
      </c>
      <c r="M54" s="75" t="s">
        <v>367</v>
      </c>
      <c r="N54" s="74" t="s">
        <v>389</v>
      </c>
      <c r="O54" s="73">
        <v>1.7</v>
      </c>
      <c r="P54" s="51">
        <v>4051132</v>
      </c>
      <c r="Q54" s="52">
        <v>3.18</v>
      </c>
      <c r="R54" s="51">
        <v>-2065000</v>
      </c>
      <c r="S54" s="51">
        <v>2560206</v>
      </c>
      <c r="T54" s="50" t="s">
        <v>269</v>
      </c>
      <c r="U54" s="49" t="s">
        <v>343</v>
      </c>
      <c r="V54" s="48" t="s">
        <v>342</v>
      </c>
      <c r="W54" s="48" t="s">
        <v>342</v>
      </c>
    </row>
    <row r="55" spans="1:23">
      <c r="A55" s="40" t="s">
        <v>456</v>
      </c>
      <c r="B55" s="40" t="s">
        <v>399</v>
      </c>
      <c r="C55" s="39" t="s">
        <v>668</v>
      </c>
      <c r="D55" s="72" t="s">
        <v>339</v>
      </c>
      <c r="E55" s="40" t="s">
        <v>455</v>
      </c>
      <c r="F55" s="39" t="s">
        <v>454</v>
      </c>
      <c r="G55" s="42">
        <v>0.9</v>
      </c>
      <c r="H55" s="42">
        <v>1.76</v>
      </c>
      <c r="I55" s="41">
        <v>-92723221</v>
      </c>
      <c r="J55" s="41">
        <v>-1644</v>
      </c>
      <c r="K55" s="46">
        <v>56400.99</v>
      </c>
      <c r="L55" s="66">
        <v>48750</v>
      </c>
      <c r="M55" s="65" t="s">
        <v>367</v>
      </c>
      <c r="N55" s="64" t="s">
        <v>453</v>
      </c>
      <c r="O55" s="63">
        <v>0.1</v>
      </c>
      <c r="P55" s="41">
        <v>12578221</v>
      </c>
      <c r="Q55" s="42">
        <v>13.57</v>
      </c>
      <c r="R55" s="41">
        <v>-82200</v>
      </c>
      <c r="S55" s="41">
        <v>627768</v>
      </c>
      <c r="T55" s="40" t="s">
        <v>269</v>
      </c>
      <c r="U55" s="39" t="s">
        <v>343</v>
      </c>
      <c r="V55" s="38" t="s">
        <v>342</v>
      </c>
      <c r="W55" s="38" t="s">
        <v>342</v>
      </c>
    </row>
    <row r="56" spans="1:23">
      <c r="A56" s="50" t="s">
        <v>452</v>
      </c>
      <c r="B56" s="50" t="s">
        <v>399</v>
      </c>
      <c r="C56" s="49" t="s">
        <v>668</v>
      </c>
      <c r="D56" s="77" t="s">
        <v>339</v>
      </c>
      <c r="E56" s="50" t="s">
        <v>238</v>
      </c>
      <c r="F56" s="49" t="s">
        <v>239</v>
      </c>
      <c r="G56" s="52">
        <v>1.99</v>
      </c>
      <c r="H56" s="52">
        <v>3.88</v>
      </c>
      <c r="I56" s="51">
        <v>-181181802</v>
      </c>
      <c r="J56" s="51">
        <v>-1168</v>
      </c>
      <c r="K56" s="56">
        <v>155121.41</v>
      </c>
      <c r="L56" s="62">
        <v>151000</v>
      </c>
      <c r="M56" s="61" t="s">
        <v>362</v>
      </c>
      <c r="N56" s="60" t="s">
        <v>451</v>
      </c>
      <c r="O56" s="59">
        <v>-2.58</v>
      </c>
      <c r="P56" s="51">
        <v>4813802</v>
      </c>
      <c r="Q56" s="52">
        <v>2.66</v>
      </c>
      <c r="R56" s="51">
        <v>3112000</v>
      </c>
      <c r="S56" s="51">
        <v>2682898</v>
      </c>
      <c r="T56" s="50" t="s">
        <v>269</v>
      </c>
      <c r="U56" s="49" t="s">
        <v>343</v>
      </c>
      <c r="V56" s="48" t="s">
        <v>342</v>
      </c>
      <c r="W56" s="48" t="s">
        <v>342</v>
      </c>
    </row>
    <row r="57" spans="1:23">
      <c r="A57" s="40" t="s">
        <v>373</v>
      </c>
      <c r="B57" s="40" t="s">
        <v>399</v>
      </c>
      <c r="C57" s="39" t="s">
        <v>668</v>
      </c>
      <c r="D57" s="72" t="s">
        <v>339</v>
      </c>
      <c r="E57" s="40" t="s">
        <v>300</v>
      </c>
      <c r="F57" s="39" t="s">
        <v>292</v>
      </c>
      <c r="G57" s="42">
        <v>1.93</v>
      </c>
      <c r="H57" s="42">
        <v>3.76</v>
      </c>
      <c r="I57" s="41">
        <v>-175431097</v>
      </c>
      <c r="J57" s="41">
        <v>-17822</v>
      </c>
      <c r="K57" s="46">
        <v>9843.51</v>
      </c>
      <c r="L57" s="70">
        <v>9600</v>
      </c>
      <c r="M57" s="69" t="s">
        <v>362</v>
      </c>
      <c r="N57" s="68" t="s">
        <v>450</v>
      </c>
      <c r="O57" s="67">
        <v>-3.52</v>
      </c>
      <c r="P57" s="41">
        <v>4339897</v>
      </c>
      <c r="Q57" s="42">
        <v>2.4700000000000002</v>
      </c>
      <c r="R57" s="41">
        <v>6237700</v>
      </c>
      <c r="S57" s="41">
        <v>3063204</v>
      </c>
      <c r="T57" s="40" t="s">
        <v>269</v>
      </c>
      <c r="U57" s="39" t="s">
        <v>343</v>
      </c>
      <c r="V57" s="38" t="s">
        <v>342</v>
      </c>
      <c r="W57" s="38" t="s">
        <v>342</v>
      </c>
    </row>
    <row r="58" spans="1:23">
      <c r="A58" s="50" t="s">
        <v>449</v>
      </c>
      <c r="B58" s="50" t="s">
        <v>399</v>
      </c>
      <c r="C58" s="49" t="s">
        <v>668</v>
      </c>
      <c r="D58" s="77" t="s">
        <v>339</v>
      </c>
      <c r="E58" s="50" t="s">
        <v>326</v>
      </c>
      <c r="F58" s="49" t="s">
        <v>327</v>
      </c>
      <c r="G58" s="52">
        <v>1.49</v>
      </c>
      <c r="H58" s="52">
        <v>2.9</v>
      </c>
      <c r="I58" s="51">
        <v>-132169072</v>
      </c>
      <c r="J58" s="51">
        <v>-1550</v>
      </c>
      <c r="K58" s="56">
        <v>85270.37</v>
      </c>
      <c r="L58" s="62">
        <v>85000</v>
      </c>
      <c r="M58" s="61" t="s">
        <v>362</v>
      </c>
      <c r="N58" s="60" t="s">
        <v>448</v>
      </c>
      <c r="O58" s="59">
        <v>-1.28</v>
      </c>
      <c r="P58" s="51">
        <v>419072</v>
      </c>
      <c r="Q58" s="52">
        <v>0.32</v>
      </c>
      <c r="R58" s="51">
        <v>1705000</v>
      </c>
      <c r="S58" s="51">
        <v>3843580</v>
      </c>
      <c r="T58" s="50" t="s">
        <v>269</v>
      </c>
      <c r="U58" s="49" t="s">
        <v>343</v>
      </c>
      <c r="V58" s="48" t="s">
        <v>342</v>
      </c>
      <c r="W58" s="48" t="s">
        <v>342</v>
      </c>
    </row>
    <row r="59" spans="1:23">
      <c r="A59" s="40" t="s">
        <v>447</v>
      </c>
      <c r="B59" s="40" t="s">
        <v>399</v>
      </c>
      <c r="C59" s="39" t="s">
        <v>668</v>
      </c>
      <c r="D59" s="72" t="s">
        <v>339</v>
      </c>
      <c r="E59" s="40" t="s">
        <v>332</v>
      </c>
      <c r="F59" s="39" t="s">
        <v>333</v>
      </c>
      <c r="G59" s="42">
        <v>1.4</v>
      </c>
      <c r="H59" s="42">
        <v>2.73</v>
      </c>
      <c r="I59" s="41">
        <v>-126295832</v>
      </c>
      <c r="J59" s="41">
        <v>-440</v>
      </c>
      <c r="K59" s="46">
        <v>287035.98</v>
      </c>
      <c r="L59" s="66">
        <v>282500</v>
      </c>
      <c r="M59" s="65" t="s">
        <v>367</v>
      </c>
      <c r="N59" s="64" t="s">
        <v>382</v>
      </c>
      <c r="O59" s="63">
        <v>0.53</v>
      </c>
      <c r="P59" s="41">
        <v>1995832</v>
      </c>
      <c r="Q59" s="42">
        <v>1.58</v>
      </c>
      <c r="R59" s="41">
        <v>-660000</v>
      </c>
      <c r="S59" s="41">
        <v>3781726</v>
      </c>
      <c r="T59" s="40" t="s">
        <v>269</v>
      </c>
      <c r="U59" s="39" t="s">
        <v>343</v>
      </c>
      <c r="V59" s="38" t="s">
        <v>342</v>
      </c>
      <c r="W59" s="38" t="s">
        <v>342</v>
      </c>
    </row>
    <row r="60" spans="1:23">
      <c r="A60" s="50" t="s">
        <v>446</v>
      </c>
      <c r="B60" s="50" t="s">
        <v>399</v>
      </c>
      <c r="C60" s="49" t="s">
        <v>668</v>
      </c>
      <c r="D60" s="77" t="s">
        <v>339</v>
      </c>
      <c r="E60" s="50" t="s">
        <v>445</v>
      </c>
      <c r="F60" s="49" t="s">
        <v>444</v>
      </c>
      <c r="G60" s="52">
        <v>0.88</v>
      </c>
      <c r="H60" s="52">
        <v>1.72</v>
      </c>
      <c r="I60" s="51">
        <v>-87111432</v>
      </c>
      <c r="J60" s="51">
        <v>-2770</v>
      </c>
      <c r="K60" s="56">
        <v>31448.17</v>
      </c>
      <c r="L60" s="62">
        <v>28250</v>
      </c>
      <c r="M60" s="61" t="s">
        <v>362</v>
      </c>
      <c r="N60" s="60" t="s">
        <v>443</v>
      </c>
      <c r="O60" s="59">
        <v>-0.88</v>
      </c>
      <c r="P60" s="51">
        <v>8858932</v>
      </c>
      <c r="Q60" s="52">
        <v>10.17</v>
      </c>
      <c r="R60" s="51">
        <v>692500</v>
      </c>
      <c r="S60" s="51">
        <v>1449744</v>
      </c>
      <c r="T60" s="50" t="s">
        <v>269</v>
      </c>
      <c r="U60" s="49" t="s">
        <v>343</v>
      </c>
      <c r="V60" s="48" t="s">
        <v>342</v>
      </c>
      <c r="W60" s="48" t="s">
        <v>342</v>
      </c>
    </row>
    <row r="61" spans="1:23">
      <c r="A61" s="40" t="s">
        <v>442</v>
      </c>
      <c r="B61" s="40" t="s">
        <v>399</v>
      </c>
      <c r="C61" s="39" t="s">
        <v>668</v>
      </c>
      <c r="D61" s="72" t="s">
        <v>339</v>
      </c>
      <c r="E61" s="40" t="s">
        <v>143</v>
      </c>
      <c r="F61" s="39" t="s">
        <v>144</v>
      </c>
      <c r="G61" s="42">
        <v>0.47</v>
      </c>
      <c r="H61" s="42">
        <v>0.92</v>
      </c>
      <c r="I61" s="41">
        <v>-50698944</v>
      </c>
      <c r="J61" s="41">
        <v>-4626</v>
      </c>
      <c r="K61" s="46">
        <v>10959.56</v>
      </c>
      <c r="L61" s="70">
        <v>9110</v>
      </c>
      <c r="M61" s="69" t="s">
        <v>362</v>
      </c>
      <c r="N61" s="68" t="s">
        <v>441</v>
      </c>
      <c r="O61" s="67">
        <v>-2.88</v>
      </c>
      <c r="P61" s="41">
        <v>8556084</v>
      </c>
      <c r="Q61" s="42">
        <v>16.88</v>
      </c>
      <c r="R61" s="41">
        <v>1249020</v>
      </c>
      <c r="S61" s="41">
        <v>1936106</v>
      </c>
      <c r="T61" s="40" t="s">
        <v>269</v>
      </c>
      <c r="U61" s="39" t="s">
        <v>343</v>
      </c>
      <c r="V61" s="38" t="s">
        <v>342</v>
      </c>
      <c r="W61" s="38" t="s">
        <v>342</v>
      </c>
    </row>
    <row r="62" spans="1:23">
      <c r="A62" s="50" t="s">
        <v>440</v>
      </c>
      <c r="B62" s="50" t="s">
        <v>399</v>
      </c>
      <c r="C62" s="49" t="s">
        <v>668</v>
      </c>
      <c r="D62" s="77" t="s">
        <v>339</v>
      </c>
      <c r="E62" s="50" t="s">
        <v>204</v>
      </c>
      <c r="F62" s="49" t="s">
        <v>205</v>
      </c>
      <c r="G62" s="52">
        <v>0.98</v>
      </c>
      <c r="H62" s="52">
        <v>1.91</v>
      </c>
      <c r="I62" s="51">
        <v>-85671038</v>
      </c>
      <c r="J62" s="51">
        <v>-390</v>
      </c>
      <c r="K62" s="56">
        <v>219669.33</v>
      </c>
      <c r="L62" s="76">
        <v>222500</v>
      </c>
      <c r="M62" s="75" t="s">
        <v>367</v>
      </c>
      <c r="N62" s="74" t="s">
        <v>398</v>
      </c>
      <c r="O62" s="73">
        <v>0.91</v>
      </c>
      <c r="P62" s="51">
        <v>-1103962</v>
      </c>
      <c r="Q62" s="52">
        <v>-1.29</v>
      </c>
      <c r="R62" s="51">
        <v>-780000</v>
      </c>
      <c r="S62" s="51">
        <v>343962</v>
      </c>
      <c r="T62" s="50" t="s">
        <v>269</v>
      </c>
      <c r="U62" s="49" t="s">
        <v>343</v>
      </c>
      <c r="V62" s="48" t="s">
        <v>342</v>
      </c>
      <c r="W62" s="48" t="s">
        <v>342</v>
      </c>
    </row>
    <row r="63" spans="1:23">
      <c r="A63" s="40" t="s">
        <v>439</v>
      </c>
      <c r="B63" s="40" t="s">
        <v>399</v>
      </c>
      <c r="C63" s="39" t="s">
        <v>668</v>
      </c>
      <c r="D63" s="72" t="s">
        <v>339</v>
      </c>
      <c r="E63" s="40" t="s">
        <v>145</v>
      </c>
      <c r="F63" s="39" t="s">
        <v>146</v>
      </c>
      <c r="G63" s="42">
        <v>1.05</v>
      </c>
      <c r="H63" s="42">
        <v>2.04</v>
      </c>
      <c r="I63" s="41">
        <v>-92603831</v>
      </c>
      <c r="J63" s="41">
        <v>-8177</v>
      </c>
      <c r="K63" s="46">
        <v>11324.92</v>
      </c>
      <c r="L63" s="66">
        <v>11350</v>
      </c>
      <c r="M63" s="65" t="s">
        <v>367</v>
      </c>
      <c r="N63" s="64" t="s">
        <v>401</v>
      </c>
      <c r="O63" s="63">
        <v>1.34</v>
      </c>
      <c r="P63" s="41">
        <v>-205119</v>
      </c>
      <c r="Q63" s="42">
        <v>-0.22</v>
      </c>
      <c r="R63" s="41">
        <v>-1226550</v>
      </c>
      <c r="S63" s="41">
        <v>2148098</v>
      </c>
      <c r="T63" s="40" t="s">
        <v>269</v>
      </c>
      <c r="U63" s="39" t="s">
        <v>343</v>
      </c>
      <c r="V63" s="38" t="s">
        <v>342</v>
      </c>
      <c r="W63" s="38" t="s">
        <v>342</v>
      </c>
    </row>
    <row r="64" spans="1:23">
      <c r="A64" s="50" t="s">
        <v>438</v>
      </c>
      <c r="B64" s="50" t="s">
        <v>399</v>
      </c>
      <c r="C64" s="49" t="s">
        <v>668</v>
      </c>
      <c r="D64" s="77" t="s">
        <v>339</v>
      </c>
      <c r="E64" s="50" t="s">
        <v>274</v>
      </c>
      <c r="F64" s="49" t="s">
        <v>275</v>
      </c>
      <c r="G64" s="52">
        <v>2.04</v>
      </c>
      <c r="H64" s="52">
        <v>3.96</v>
      </c>
      <c r="I64" s="51">
        <v>-175181485</v>
      </c>
      <c r="J64" s="51">
        <v>-864</v>
      </c>
      <c r="K64" s="56">
        <v>202756.35</v>
      </c>
      <c r="L64" s="76">
        <v>208500</v>
      </c>
      <c r="M64" s="75" t="s">
        <v>367</v>
      </c>
      <c r="N64" s="74" t="s">
        <v>437</v>
      </c>
      <c r="O64" s="73">
        <v>2.46</v>
      </c>
      <c r="P64" s="51">
        <v>-4962515</v>
      </c>
      <c r="Q64" s="52">
        <v>-2.83</v>
      </c>
      <c r="R64" s="51">
        <v>-4320000</v>
      </c>
      <c r="S64" s="51">
        <v>2161298</v>
      </c>
      <c r="T64" s="50" t="s">
        <v>269</v>
      </c>
      <c r="U64" s="49" t="s">
        <v>343</v>
      </c>
      <c r="V64" s="48" t="s">
        <v>342</v>
      </c>
      <c r="W64" s="48" t="s">
        <v>342</v>
      </c>
    </row>
    <row r="65" spans="1:23">
      <c r="A65" s="40" t="s">
        <v>436</v>
      </c>
      <c r="B65" s="40" t="s">
        <v>399</v>
      </c>
      <c r="C65" s="39" t="s">
        <v>668</v>
      </c>
      <c r="D65" s="72" t="s">
        <v>339</v>
      </c>
      <c r="E65" s="40" t="s">
        <v>147</v>
      </c>
      <c r="F65" s="39" t="s">
        <v>148</v>
      </c>
      <c r="G65" s="42">
        <v>1.55</v>
      </c>
      <c r="H65" s="42">
        <v>3.02</v>
      </c>
      <c r="I65" s="41">
        <v>-130571889</v>
      </c>
      <c r="J65" s="41">
        <v>-655</v>
      </c>
      <c r="K65" s="58">
        <v>199346.4</v>
      </c>
      <c r="L65" s="41">
        <v>209500</v>
      </c>
      <c r="M65" s="45" t="s">
        <v>269</v>
      </c>
      <c r="N65" s="44" t="s">
        <v>342</v>
      </c>
      <c r="O65" s="43">
        <v>0</v>
      </c>
      <c r="P65" s="41">
        <v>-6650611</v>
      </c>
      <c r="Q65" s="42">
        <v>-5.09</v>
      </c>
      <c r="R65" s="41">
        <v>0</v>
      </c>
      <c r="S65" s="41">
        <v>4543106</v>
      </c>
      <c r="T65" s="40" t="s">
        <v>269</v>
      </c>
      <c r="U65" s="39" t="s">
        <v>343</v>
      </c>
      <c r="V65" s="38" t="s">
        <v>342</v>
      </c>
      <c r="W65" s="38" t="s">
        <v>342</v>
      </c>
    </row>
    <row r="66" spans="1:23">
      <c r="A66" s="50" t="s">
        <v>435</v>
      </c>
      <c r="B66" s="50" t="s">
        <v>399</v>
      </c>
      <c r="C66" s="49" t="s">
        <v>668</v>
      </c>
      <c r="D66" s="77" t="s">
        <v>339</v>
      </c>
      <c r="E66" s="50" t="s">
        <v>153</v>
      </c>
      <c r="F66" s="49" t="s">
        <v>154</v>
      </c>
      <c r="G66" s="52">
        <v>1.81</v>
      </c>
      <c r="H66" s="52">
        <v>3.53</v>
      </c>
      <c r="I66" s="51">
        <v>-181939879</v>
      </c>
      <c r="J66" s="51">
        <v>-1980</v>
      </c>
      <c r="K66" s="56">
        <v>91888.83</v>
      </c>
      <c r="L66" s="51">
        <v>81000</v>
      </c>
      <c r="M66" s="55" t="s">
        <v>269</v>
      </c>
      <c r="N66" s="54" t="s">
        <v>342</v>
      </c>
      <c r="O66" s="53">
        <v>0</v>
      </c>
      <c r="P66" s="51">
        <v>21559879</v>
      </c>
      <c r="Q66" s="52">
        <v>11.85</v>
      </c>
      <c r="R66" s="51">
        <v>0</v>
      </c>
      <c r="S66" s="51">
        <v>3664007</v>
      </c>
      <c r="T66" s="50" t="s">
        <v>269</v>
      </c>
      <c r="U66" s="49" t="s">
        <v>343</v>
      </c>
      <c r="V66" s="48" t="s">
        <v>342</v>
      </c>
      <c r="W66" s="48" t="s">
        <v>342</v>
      </c>
    </row>
    <row r="67" spans="1:23">
      <c r="A67" s="40" t="s">
        <v>434</v>
      </c>
      <c r="B67" s="40" t="s">
        <v>399</v>
      </c>
      <c r="C67" s="39" t="s">
        <v>668</v>
      </c>
      <c r="D67" s="72" t="s">
        <v>339</v>
      </c>
      <c r="E67" s="40" t="s">
        <v>310</v>
      </c>
      <c r="F67" s="39" t="s">
        <v>311</v>
      </c>
      <c r="G67" s="42">
        <v>0.88</v>
      </c>
      <c r="H67" s="42">
        <v>1.72</v>
      </c>
      <c r="I67" s="41">
        <v>-85513146</v>
      </c>
      <c r="J67" s="41">
        <v>-5193</v>
      </c>
      <c r="K67" s="41">
        <v>16467</v>
      </c>
      <c r="L67" s="70">
        <v>15100</v>
      </c>
      <c r="M67" s="69" t="s">
        <v>362</v>
      </c>
      <c r="N67" s="68" t="s">
        <v>371</v>
      </c>
      <c r="O67" s="67">
        <v>-1.95</v>
      </c>
      <c r="P67" s="41">
        <v>7098846</v>
      </c>
      <c r="Q67" s="42">
        <v>8.3000000000000007</v>
      </c>
      <c r="R67" s="41">
        <v>1557900</v>
      </c>
      <c r="S67" s="41">
        <v>779336</v>
      </c>
      <c r="T67" s="40" t="s">
        <v>269</v>
      </c>
      <c r="U67" s="39" t="s">
        <v>343</v>
      </c>
      <c r="V67" s="38" t="s">
        <v>342</v>
      </c>
      <c r="W67" s="38" t="s">
        <v>342</v>
      </c>
    </row>
    <row r="68" spans="1:23">
      <c r="A68" s="50" t="s">
        <v>433</v>
      </c>
      <c r="B68" s="50" t="s">
        <v>399</v>
      </c>
      <c r="C68" s="49" t="s">
        <v>668</v>
      </c>
      <c r="D68" s="77" t="s">
        <v>339</v>
      </c>
      <c r="E68" s="50" t="s">
        <v>432</v>
      </c>
      <c r="F68" s="49" t="s">
        <v>431</v>
      </c>
      <c r="G68" s="52">
        <v>1.61</v>
      </c>
      <c r="H68" s="52">
        <v>3.14</v>
      </c>
      <c r="I68" s="51">
        <v>-139867717</v>
      </c>
      <c r="J68" s="51">
        <v>-5988</v>
      </c>
      <c r="K68" s="51">
        <v>23358</v>
      </c>
      <c r="L68" s="62">
        <v>23850</v>
      </c>
      <c r="M68" s="61" t="s">
        <v>362</v>
      </c>
      <c r="N68" s="60" t="s">
        <v>401</v>
      </c>
      <c r="O68" s="59">
        <v>-0.62</v>
      </c>
      <c r="P68" s="51">
        <v>-2946083</v>
      </c>
      <c r="Q68" s="52">
        <v>-2.11</v>
      </c>
      <c r="R68" s="51">
        <v>898200</v>
      </c>
      <c r="S68" s="51">
        <v>3560220</v>
      </c>
      <c r="T68" s="50" t="s">
        <v>269</v>
      </c>
      <c r="U68" s="49" t="s">
        <v>343</v>
      </c>
      <c r="V68" s="48" t="s">
        <v>342</v>
      </c>
      <c r="W68" s="48" t="s">
        <v>342</v>
      </c>
    </row>
    <row r="69" spans="1:23">
      <c r="A69" s="40" t="s">
        <v>430</v>
      </c>
      <c r="B69" s="40" t="s">
        <v>399</v>
      </c>
      <c r="C69" s="39" t="s">
        <v>668</v>
      </c>
      <c r="D69" s="72" t="s">
        <v>339</v>
      </c>
      <c r="E69" s="40" t="s">
        <v>261</v>
      </c>
      <c r="F69" s="39" t="s">
        <v>262</v>
      </c>
      <c r="G69" s="42">
        <v>0.52</v>
      </c>
      <c r="H69" s="42">
        <v>1.01</v>
      </c>
      <c r="I69" s="41">
        <v>-51001835</v>
      </c>
      <c r="J69" s="41">
        <v>-698</v>
      </c>
      <c r="K69" s="46">
        <v>73068.53</v>
      </c>
      <c r="L69" s="66">
        <v>66200</v>
      </c>
      <c r="M69" s="65" t="s">
        <v>367</v>
      </c>
      <c r="N69" s="64" t="s">
        <v>384</v>
      </c>
      <c r="O69" s="63">
        <v>1.53</v>
      </c>
      <c r="P69" s="41">
        <v>4794235</v>
      </c>
      <c r="Q69" s="42">
        <v>9.4</v>
      </c>
      <c r="R69" s="41">
        <v>-698000</v>
      </c>
      <c r="S69" s="41">
        <v>1264736</v>
      </c>
      <c r="T69" s="40" t="s">
        <v>269</v>
      </c>
      <c r="U69" s="39" t="s">
        <v>343</v>
      </c>
      <c r="V69" s="38" t="s">
        <v>342</v>
      </c>
      <c r="W69" s="38" t="s">
        <v>342</v>
      </c>
    </row>
    <row r="70" spans="1:23">
      <c r="A70" s="50" t="s">
        <v>429</v>
      </c>
      <c r="B70" s="50" t="s">
        <v>399</v>
      </c>
      <c r="C70" s="49" t="s">
        <v>668</v>
      </c>
      <c r="D70" s="77" t="s">
        <v>339</v>
      </c>
      <c r="E70" s="50" t="s">
        <v>163</v>
      </c>
      <c r="F70" s="49" t="s">
        <v>164</v>
      </c>
      <c r="G70" s="52">
        <v>0.48</v>
      </c>
      <c r="H70" s="52">
        <v>0.94</v>
      </c>
      <c r="I70" s="51">
        <v>-41650292</v>
      </c>
      <c r="J70" s="51">
        <v>-160</v>
      </c>
      <c r="K70" s="56">
        <v>260314.33</v>
      </c>
      <c r="L70" s="76">
        <v>268500</v>
      </c>
      <c r="M70" s="75" t="s">
        <v>367</v>
      </c>
      <c r="N70" s="74" t="s">
        <v>428</v>
      </c>
      <c r="O70" s="73">
        <v>0.19</v>
      </c>
      <c r="P70" s="51">
        <v>-1309708</v>
      </c>
      <c r="Q70" s="52">
        <v>-3.14</v>
      </c>
      <c r="R70" s="51">
        <v>-80000</v>
      </c>
      <c r="S70" s="51">
        <v>5379040</v>
      </c>
      <c r="T70" s="50" t="s">
        <v>269</v>
      </c>
      <c r="U70" s="49" t="s">
        <v>343</v>
      </c>
      <c r="V70" s="48" t="s">
        <v>342</v>
      </c>
      <c r="W70" s="48" t="s">
        <v>342</v>
      </c>
    </row>
    <row r="71" spans="1:23">
      <c r="A71" s="40" t="s">
        <v>427</v>
      </c>
      <c r="B71" s="40" t="s">
        <v>399</v>
      </c>
      <c r="C71" s="39" t="s">
        <v>668</v>
      </c>
      <c r="D71" s="72" t="s">
        <v>339</v>
      </c>
      <c r="E71" s="40" t="s">
        <v>165</v>
      </c>
      <c r="F71" s="39" t="s">
        <v>166</v>
      </c>
      <c r="G71" s="42">
        <v>0.77</v>
      </c>
      <c r="H71" s="42">
        <v>1.51</v>
      </c>
      <c r="I71" s="41">
        <v>-60216787</v>
      </c>
      <c r="J71" s="41">
        <v>-2018</v>
      </c>
      <c r="K71" s="46">
        <v>29839.83</v>
      </c>
      <c r="L71" s="70">
        <v>34100</v>
      </c>
      <c r="M71" s="69" t="s">
        <v>362</v>
      </c>
      <c r="N71" s="68" t="s">
        <v>426</v>
      </c>
      <c r="O71" s="67">
        <v>-3.94</v>
      </c>
      <c r="P71" s="41">
        <v>-8597013</v>
      </c>
      <c r="Q71" s="42">
        <v>-14.28</v>
      </c>
      <c r="R71" s="41">
        <v>2825200</v>
      </c>
      <c r="S71" s="41">
        <v>1360778</v>
      </c>
      <c r="T71" s="40" t="s">
        <v>269</v>
      </c>
      <c r="U71" s="39" t="s">
        <v>343</v>
      </c>
      <c r="V71" s="38" t="s">
        <v>342</v>
      </c>
      <c r="W71" s="38" t="s">
        <v>342</v>
      </c>
    </row>
    <row r="72" spans="1:23">
      <c r="A72" s="50" t="s">
        <v>375</v>
      </c>
      <c r="B72" s="50" t="s">
        <v>399</v>
      </c>
      <c r="C72" s="49" t="s">
        <v>668</v>
      </c>
      <c r="D72" s="77" t="s">
        <v>339</v>
      </c>
      <c r="E72" s="50" t="s">
        <v>425</v>
      </c>
      <c r="F72" s="49" t="s">
        <v>424</v>
      </c>
      <c r="G72" s="52">
        <v>1.57</v>
      </c>
      <c r="H72" s="52">
        <v>3.06</v>
      </c>
      <c r="I72" s="51">
        <v>-143133231</v>
      </c>
      <c r="J72" s="51">
        <v>-1290</v>
      </c>
      <c r="K72" s="56">
        <v>110955.99</v>
      </c>
      <c r="L72" s="62">
        <v>108000</v>
      </c>
      <c r="M72" s="61" t="s">
        <v>362</v>
      </c>
      <c r="N72" s="60" t="s">
        <v>423</v>
      </c>
      <c r="O72" s="59">
        <v>-0.55000000000000004</v>
      </c>
      <c r="P72" s="51">
        <v>3813231</v>
      </c>
      <c r="Q72" s="52">
        <v>2.66</v>
      </c>
      <c r="R72" s="51">
        <v>774000</v>
      </c>
      <c r="S72" s="51">
        <v>1112578</v>
      </c>
      <c r="T72" s="50" t="s">
        <v>269</v>
      </c>
      <c r="U72" s="49" t="s">
        <v>343</v>
      </c>
      <c r="V72" s="48" t="s">
        <v>342</v>
      </c>
      <c r="W72" s="48" t="s">
        <v>342</v>
      </c>
    </row>
    <row r="73" spans="1:23">
      <c r="A73" s="40" t="s">
        <v>422</v>
      </c>
      <c r="B73" s="40" t="s">
        <v>399</v>
      </c>
      <c r="C73" s="39" t="s">
        <v>668</v>
      </c>
      <c r="D73" s="72" t="s">
        <v>339</v>
      </c>
      <c r="E73" s="40" t="s">
        <v>316</v>
      </c>
      <c r="F73" s="39" t="s">
        <v>317</v>
      </c>
      <c r="G73" s="42">
        <v>0.43</v>
      </c>
      <c r="H73" s="42">
        <v>0.84</v>
      </c>
      <c r="I73" s="41">
        <v>-43443632</v>
      </c>
      <c r="J73" s="41">
        <v>-1500</v>
      </c>
      <c r="K73" s="46">
        <v>28962.42</v>
      </c>
      <c r="L73" s="66">
        <v>25500</v>
      </c>
      <c r="M73" s="65" t="s">
        <v>367</v>
      </c>
      <c r="N73" s="64" t="s">
        <v>391</v>
      </c>
      <c r="O73" s="63">
        <v>3.24</v>
      </c>
      <c r="P73" s="41">
        <v>5193632</v>
      </c>
      <c r="Q73" s="42">
        <v>11.95</v>
      </c>
      <c r="R73" s="41">
        <v>-1200000</v>
      </c>
      <c r="S73" s="41">
        <v>174368</v>
      </c>
      <c r="T73" s="40" t="s">
        <v>269</v>
      </c>
      <c r="U73" s="39" t="s">
        <v>343</v>
      </c>
      <c r="V73" s="38" t="s">
        <v>342</v>
      </c>
      <c r="W73" s="38" t="s">
        <v>342</v>
      </c>
    </row>
    <row r="74" spans="1:23">
      <c r="A74" s="50" t="s">
        <v>421</v>
      </c>
      <c r="B74" s="50" t="s">
        <v>399</v>
      </c>
      <c r="C74" s="49" t="s">
        <v>668</v>
      </c>
      <c r="D74" s="77" t="s">
        <v>339</v>
      </c>
      <c r="E74" s="50" t="s">
        <v>240</v>
      </c>
      <c r="F74" s="49" t="s">
        <v>241</v>
      </c>
      <c r="G74" s="52">
        <v>1.4</v>
      </c>
      <c r="H74" s="52">
        <v>2.73</v>
      </c>
      <c r="I74" s="51">
        <v>-126228060</v>
      </c>
      <c r="J74" s="51">
        <v>-1483</v>
      </c>
      <c r="K74" s="78">
        <v>85116.7</v>
      </c>
      <c r="L74" s="76">
        <v>83800</v>
      </c>
      <c r="M74" s="75" t="s">
        <v>367</v>
      </c>
      <c r="N74" s="74" t="s">
        <v>371</v>
      </c>
      <c r="O74" s="73">
        <v>0.36</v>
      </c>
      <c r="P74" s="51">
        <v>1952660</v>
      </c>
      <c r="Q74" s="52">
        <v>1.55</v>
      </c>
      <c r="R74" s="51">
        <v>-444900</v>
      </c>
      <c r="S74" s="51">
        <v>2208400</v>
      </c>
      <c r="T74" s="50" t="s">
        <v>269</v>
      </c>
      <c r="U74" s="49" t="s">
        <v>343</v>
      </c>
      <c r="V74" s="48" t="s">
        <v>342</v>
      </c>
      <c r="W74" s="48" t="s">
        <v>342</v>
      </c>
    </row>
    <row r="75" spans="1:23">
      <c r="A75" s="40" t="s">
        <v>420</v>
      </c>
      <c r="B75" s="40" t="s">
        <v>399</v>
      </c>
      <c r="C75" s="39" t="s">
        <v>668</v>
      </c>
      <c r="D75" s="72" t="s">
        <v>339</v>
      </c>
      <c r="E75" s="40" t="s">
        <v>218</v>
      </c>
      <c r="F75" s="39" t="s">
        <v>219</v>
      </c>
      <c r="G75" s="42">
        <v>1.57</v>
      </c>
      <c r="H75" s="42">
        <v>3.06</v>
      </c>
      <c r="I75" s="41">
        <v>-148984560</v>
      </c>
      <c r="J75" s="41">
        <v>-5748</v>
      </c>
      <c r="K75" s="46">
        <v>25919.37</v>
      </c>
      <c r="L75" s="66">
        <v>24200</v>
      </c>
      <c r="M75" s="65" t="s">
        <v>367</v>
      </c>
      <c r="N75" s="64" t="s">
        <v>419</v>
      </c>
      <c r="O75" s="63">
        <v>3.2</v>
      </c>
      <c r="P75" s="41">
        <v>9882960</v>
      </c>
      <c r="Q75" s="42">
        <v>6.63</v>
      </c>
      <c r="R75" s="41">
        <v>-4311000</v>
      </c>
      <c r="S75" s="41">
        <v>1459054</v>
      </c>
      <c r="T75" s="40" t="s">
        <v>269</v>
      </c>
      <c r="U75" s="39" t="s">
        <v>343</v>
      </c>
      <c r="V75" s="38" t="s">
        <v>342</v>
      </c>
      <c r="W75" s="38" t="s">
        <v>342</v>
      </c>
    </row>
    <row r="76" spans="1:23">
      <c r="A76" s="50" t="s">
        <v>418</v>
      </c>
      <c r="B76" s="50" t="s">
        <v>399</v>
      </c>
      <c r="C76" s="49" t="s">
        <v>668</v>
      </c>
      <c r="D76" s="77" t="s">
        <v>339</v>
      </c>
      <c r="E76" s="50" t="s">
        <v>263</v>
      </c>
      <c r="F76" s="49" t="s">
        <v>264</v>
      </c>
      <c r="G76" s="52">
        <v>1.54</v>
      </c>
      <c r="H76" s="52">
        <v>2.99</v>
      </c>
      <c r="I76" s="51">
        <v>-141083495</v>
      </c>
      <c r="J76" s="51">
        <v>-1089</v>
      </c>
      <c r="K76" s="56">
        <v>129553.26</v>
      </c>
      <c r="L76" s="62">
        <v>125000</v>
      </c>
      <c r="M76" s="61" t="s">
        <v>362</v>
      </c>
      <c r="N76" s="60" t="s">
        <v>398</v>
      </c>
      <c r="O76" s="59">
        <v>-1.57</v>
      </c>
      <c r="P76" s="51">
        <v>4958495</v>
      </c>
      <c r="Q76" s="52">
        <v>3.51</v>
      </c>
      <c r="R76" s="51">
        <v>2178000</v>
      </c>
      <c r="S76" s="51">
        <v>868205</v>
      </c>
      <c r="T76" s="50" t="s">
        <v>269</v>
      </c>
      <c r="U76" s="49" t="s">
        <v>343</v>
      </c>
      <c r="V76" s="48" t="s">
        <v>342</v>
      </c>
      <c r="W76" s="48" t="s">
        <v>342</v>
      </c>
    </row>
    <row r="77" spans="1:23">
      <c r="A77" s="40" t="s">
        <v>417</v>
      </c>
      <c r="B77" s="40" t="s">
        <v>399</v>
      </c>
      <c r="C77" s="39" t="s">
        <v>668</v>
      </c>
      <c r="D77" s="72" t="s">
        <v>339</v>
      </c>
      <c r="E77" s="40" t="s">
        <v>416</v>
      </c>
      <c r="F77" s="39" t="s">
        <v>415</v>
      </c>
      <c r="G77" s="42">
        <v>0.51</v>
      </c>
      <c r="H77" s="42">
        <v>1</v>
      </c>
      <c r="I77" s="41">
        <v>-42786779</v>
      </c>
      <c r="J77" s="41">
        <v>-2430</v>
      </c>
      <c r="K77" s="46">
        <v>17607.73</v>
      </c>
      <c r="L77" s="70">
        <v>18700</v>
      </c>
      <c r="M77" s="69" t="s">
        <v>362</v>
      </c>
      <c r="N77" s="68" t="s">
        <v>414</v>
      </c>
      <c r="O77" s="67">
        <v>-1.06</v>
      </c>
      <c r="P77" s="41">
        <v>-2654221</v>
      </c>
      <c r="Q77" s="42">
        <v>-6.2</v>
      </c>
      <c r="R77" s="41">
        <v>486000</v>
      </c>
      <c r="S77" s="41">
        <v>171771</v>
      </c>
      <c r="T77" s="40" t="s">
        <v>269</v>
      </c>
      <c r="U77" s="39" t="s">
        <v>343</v>
      </c>
      <c r="V77" s="38" t="s">
        <v>342</v>
      </c>
      <c r="W77" s="38" t="s">
        <v>342</v>
      </c>
    </row>
    <row r="78" spans="1:23">
      <c r="A78" s="50" t="s">
        <v>413</v>
      </c>
      <c r="B78" s="50" t="s">
        <v>399</v>
      </c>
      <c r="C78" s="49" t="s">
        <v>668</v>
      </c>
      <c r="D78" s="77" t="s">
        <v>339</v>
      </c>
      <c r="E78" s="50" t="s">
        <v>280</v>
      </c>
      <c r="F78" s="49" t="s">
        <v>281</v>
      </c>
      <c r="G78" s="52">
        <v>1.95</v>
      </c>
      <c r="H78" s="52">
        <v>3.79</v>
      </c>
      <c r="I78" s="51">
        <v>-181008552</v>
      </c>
      <c r="J78" s="51">
        <v>-1092</v>
      </c>
      <c r="K78" s="56">
        <v>165758.75</v>
      </c>
      <c r="L78" s="76">
        <v>158000</v>
      </c>
      <c r="M78" s="75" t="s">
        <v>367</v>
      </c>
      <c r="N78" s="74" t="s">
        <v>398</v>
      </c>
      <c r="O78" s="73">
        <v>1.28</v>
      </c>
      <c r="P78" s="51">
        <v>8472552</v>
      </c>
      <c r="Q78" s="52">
        <v>4.68</v>
      </c>
      <c r="R78" s="51">
        <v>-2184000</v>
      </c>
      <c r="S78" s="51">
        <v>2169664</v>
      </c>
      <c r="T78" s="50" t="s">
        <v>269</v>
      </c>
      <c r="U78" s="49" t="s">
        <v>343</v>
      </c>
      <c r="V78" s="48" t="s">
        <v>342</v>
      </c>
      <c r="W78" s="48" t="s">
        <v>342</v>
      </c>
    </row>
    <row r="79" spans="1:23">
      <c r="A79" s="40" t="s">
        <v>412</v>
      </c>
      <c r="B79" s="40" t="s">
        <v>399</v>
      </c>
      <c r="C79" s="39" t="s">
        <v>668</v>
      </c>
      <c r="D79" s="72" t="s">
        <v>339</v>
      </c>
      <c r="E79" s="40" t="s">
        <v>411</v>
      </c>
      <c r="F79" s="39" t="s">
        <v>410</v>
      </c>
      <c r="G79" s="42">
        <v>0.96</v>
      </c>
      <c r="H79" s="42">
        <v>1.87</v>
      </c>
      <c r="I79" s="41">
        <v>-88753708</v>
      </c>
      <c r="J79" s="41">
        <v>-1386</v>
      </c>
      <c r="K79" s="46">
        <v>64035.86</v>
      </c>
      <c r="L79" s="70">
        <v>61600</v>
      </c>
      <c r="M79" s="69" t="s">
        <v>362</v>
      </c>
      <c r="N79" s="68" t="s">
        <v>355</v>
      </c>
      <c r="O79" s="67">
        <v>-0.16</v>
      </c>
      <c r="P79" s="41">
        <v>3376108</v>
      </c>
      <c r="Q79" s="42">
        <v>3.8</v>
      </c>
      <c r="R79" s="41">
        <v>138600</v>
      </c>
      <c r="S79" s="41">
        <v>1519806</v>
      </c>
      <c r="T79" s="40" t="s">
        <v>269</v>
      </c>
      <c r="U79" s="39" t="s">
        <v>343</v>
      </c>
      <c r="V79" s="38" t="s">
        <v>342</v>
      </c>
      <c r="W79" s="38" t="s">
        <v>342</v>
      </c>
    </row>
    <row r="80" spans="1:23">
      <c r="A80" s="50" t="s">
        <v>409</v>
      </c>
      <c r="B80" s="50" t="s">
        <v>399</v>
      </c>
      <c r="C80" s="49" t="s">
        <v>668</v>
      </c>
      <c r="D80" s="77" t="s">
        <v>339</v>
      </c>
      <c r="E80" s="50" t="s">
        <v>296</v>
      </c>
      <c r="F80" s="49" t="s">
        <v>297</v>
      </c>
      <c r="G80" s="52">
        <v>1.65</v>
      </c>
      <c r="H80" s="52">
        <v>3.22</v>
      </c>
      <c r="I80" s="51">
        <v>-165788889</v>
      </c>
      <c r="J80" s="51">
        <v>-4775</v>
      </c>
      <c r="K80" s="56">
        <v>34720.19</v>
      </c>
      <c r="L80" s="62">
        <v>30650</v>
      </c>
      <c r="M80" s="61" t="s">
        <v>362</v>
      </c>
      <c r="N80" s="60" t="s">
        <v>355</v>
      </c>
      <c r="O80" s="59">
        <v>-0.33</v>
      </c>
      <c r="P80" s="51">
        <v>19435139</v>
      </c>
      <c r="Q80" s="52">
        <v>11.72</v>
      </c>
      <c r="R80" s="51">
        <v>477500</v>
      </c>
      <c r="S80" s="51">
        <v>680169</v>
      </c>
      <c r="T80" s="50" t="s">
        <v>269</v>
      </c>
      <c r="U80" s="49" t="s">
        <v>343</v>
      </c>
      <c r="V80" s="48" t="s">
        <v>342</v>
      </c>
      <c r="W80" s="48" t="s">
        <v>342</v>
      </c>
    </row>
    <row r="81" spans="1:23">
      <c r="A81" s="40" t="s">
        <v>408</v>
      </c>
      <c r="B81" s="40" t="s">
        <v>399</v>
      </c>
      <c r="C81" s="39" t="s">
        <v>668</v>
      </c>
      <c r="D81" s="72" t="s">
        <v>339</v>
      </c>
      <c r="E81" s="40" t="s">
        <v>312</v>
      </c>
      <c r="F81" s="39" t="s">
        <v>313</v>
      </c>
      <c r="G81" s="42">
        <v>0.45</v>
      </c>
      <c r="H81" s="42">
        <v>0.89</v>
      </c>
      <c r="I81" s="41">
        <v>-41929440</v>
      </c>
      <c r="J81" s="41">
        <v>-330</v>
      </c>
      <c r="K81" s="46">
        <v>127058.91</v>
      </c>
      <c r="L81" s="66">
        <v>122800</v>
      </c>
      <c r="M81" s="65" t="s">
        <v>367</v>
      </c>
      <c r="N81" s="64" t="s">
        <v>371</v>
      </c>
      <c r="O81" s="63">
        <v>0.24</v>
      </c>
      <c r="P81" s="41">
        <v>1405440</v>
      </c>
      <c r="Q81" s="42">
        <v>3.35</v>
      </c>
      <c r="R81" s="41">
        <v>-99000</v>
      </c>
      <c r="S81" s="41">
        <v>168360</v>
      </c>
      <c r="T81" s="40" t="s">
        <v>269</v>
      </c>
      <c r="U81" s="39" t="s">
        <v>343</v>
      </c>
      <c r="V81" s="38" t="s">
        <v>342</v>
      </c>
      <c r="W81" s="38" t="s">
        <v>342</v>
      </c>
    </row>
    <row r="82" spans="1:23">
      <c r="A82" s="50" t="s">
        <v>407</v>
      </c>
      <c r="B82" s="50" t="s">
        <v>399</v>
      </c>
      <c r="C82" s="49" t="s">
        <v>669</v>
      </c>
      <c r="D82" s="57" t="s">
        <v>338</v>
      </c>
      <c r="E82" s="50" t="s">
        <v>322</v>
      </c>
      <c r="F82" s="49" t="s">
        <v>323</v>
      </c>
      <c r="G82" s="52">
        <v>1.47</v>
      </c>
      <c r="H82" s="52">
        <v>2.14</v>
      </c>
      <c r="I82" s="51">
        <v>134040400</v>
      </c>
      <c r="J82" s="51">
        <v>313</v>
      </c>
      <c r="K82" s="56">
        <v>428244.09</v>
      </c>
      <c r="L82" s="62">
        <v>415000</v>
      </c>
      <c r="M82" s="61" t="s">
        <v>362</v>
      </c>
      <c r="N82" s="60" t="s">
        <v>406</v>
      </c>
      <c r="O82" s="59">
        <v>-2.12</v>
      </c>
      <c r="P82" s="51">
        <v>-4145400</v>
      </c>
      <c r="Q82" s="52">
        <v>-3.09</v>
      </c>
      <c r="R82" s="51">
        <v>-2817000</v>
      </c>
      <c r="S82" s="51">
        <v>133900</v>
      </c>
      <c r="T82" s="50" t="s">
        <v>269</v>
      </c>
      <c r="U82" s="49" t="s">
        <v>343</v>
      </c>
      <c r="V82" s="48" t="s">
        <v>342</v>
      </c>
      <c r="W82" s="48" t="s">
        <v>342</v>
      </c>
    </row>
    <row r="83" spans="1:23">
      <c r="A83" s="40" t="s">
        <v>405</v>
      </c>
      <c r="B83" s="40" t="s">
        <v>399</v>
      </c>
      <c r="C83" s="39" t="s">
        <v>669</v>
      </c>
      <c r="D83" s="47" t="s">
        <v>338</v>
      </c>
      <c r="E83" s="40" t="s">
        <v>404</v>
      </c>
      <c r="F83" s="39" t="s">
        <v>403</v>
      </c>
      <c r="G83" s="42">
        <v>3.59</v>
      </c>
      <c r="H83" s="42">
        <v>5.23</v>
      </c>
      <c r="I83" s="41">
        <v>338646410</v>
      </c>
      <c r="J83" s="41">
        <v>39280</v>
      </c>
      <c r="K83" s="46">
        <v>8621.34</v>
      </c>
      <c r="L83" s="70">
        <v>8070</v>
      </c>
      <c r="M83" s="69" t="s">
        <v>362</v>
      </c>
      <c r="N83" s="68" t="s">
        <v>383</v>
      </c>
      <c r="O83" s="67">
        <v>-1.1000000000000001</v>
      </c>
      <c r="P83" s="41">
        <v>-21656810</v>
      </c>
      <c r="Q83" s="42">
        <v>-6.4</v>
      </c>
      <c r="R83" s="41">
        <v>-3535200</v>
      </c>
      <c r="S83" s="41">
        <v>588470</v>
      </c>
      <c r="T83" s="40" t="s">
        <v>269</v>
      </c>
      <c r="U83" s="39" t="s">
        <v>343</v>
      </c>
      <c r="V83" s="38" t="s">
        <v>342</v>
      </c>
      <c r="W83" s="38" t="s">
        <v>342</v>
      </c>
    </row>
    <row r="84" spans="1:23">
      <c r="A84" s="50" t="s">
        <v>402</v>
      </c>
      <c r="B84" s="50" t="s">
        <v>399</v>
      </c>
      <c r="C84" s="49" t="s">
        <v>669</v>
      </c>
      <c r="D84" s="77" t="s">
        <v>339</v>
      </c>
      <c r="E84" s="50" t="s">
        <v>308</v>
      </c>
      <c r="F84" s="49" t="s">
        <v>309</v>
      </c>
      <c r="G84" s="52">
        <v>3.35</v>
      </c>
      <c r="H84" s="52">
        <v>6.5</v>
      </c>
      <c r="I84" s="51">
        <v>-311404664</v>
      </c>
      <c r="J84" s="51">
        <v>-7090</v>
      </c>
      <c r="K84" s="56">
        <v>43921.67</v>
      </c>
      <c r="L84" s="62">
        <v>41700</v>
      </c>
      <c r="M84" s="61" t="s">
        <v>362</v>
      </c>
      <c r="N84" s="60" t="s">
        <v>401</v>
      </c>
      <c r="O84" s="59">
        <v>-0.36</v>
      </c>
      <c r="P84" s="51">
        <v>15751664</v>
      </c>
      <c r="Q84" s="52">
        <v>5.0599999999999996</v>
      </c>
      <c r="R84" s="51">
        <v>1063500</v>
      </c>
      <c r="S84" s="51">
        <v>1037114</v>
      </c>
      <c r="T84" s="50" t="s">
        <v>269</v>
      </c>
      <c r="U84" s="49" t="s">
        <v>343</v>
      </c>
      <c r="V84" s="48" t="s">
        <v>342</v>
      </c>
      <c r="W84" s="48" t="s">
        <v>342</v>
      </c>
    </row>
    <row r="85" spans="1:23">
      <c r="A85" s="40" t="s">
        <v>400</v>
      </c>
      <c r="B85" s="40" t="s">
        <v>399</v>
      </c>
      <c r="C85" s="39" t="s">
        <v>669</v>
      </c>
      <c r="D85" s="72" t="s">
        <v>339</v>
      </c>
      <c r="E85" s="40" t="s">
        <v>90</v>
      </c>
      <c r="F85" s="39" t="s">
        <v>91</v>
      </c>
      <c r="G85" s="42">
        <v>1.32</v>
      </c>
      <c r="H85" s="42">
        <v>2.57</v>
      </c>
      <c r="I85" s="41">
        <v>-127829304</v>
      </c>
      <c r="J85" s="41">
        <v>-1050</v>
      </c>
      <c r="K85" s="46">
        <v>121742.19</v>
      </c>
      <c r="L85" s="70">
        <v>111500</v>
      </c>
      <c r="M85" s="69" t="s">
        <v>362</v>
      </c>
      <c r="N85" s="68" t="s">
        <v>398</v>
      </c>
      <c r="O85" s="67">
        <v>-1.76</v>
      </c>
      <c r="P85" s="41">
        <v>10754304</v>
      </c>
      <c r="Q85" s="42">
        <v>8.41</v>
      </c>
      <c r="R85" s="41">
        <v>2100000</v>
      </c>
      <c r="S85" s="41">
        <v>336534</v>
      </c>
      <c r="T85" s="40" t="s">
        <v>269</v>
      </c>
      <c r="U85" s="39" t="s">
        <v>343</v>
      </c>
      <c r="V85" s="38" t="s">
        <v>342</v>
      </c>
      <c r="W85" s="38" t="s">
        <v>342</v>
      </c>
    </row>
    <row r="86" spans="1:23">
      <c r="A86" s="50" t="s">
        <v>397</v>
      </c>
      <c r="B86" s="50" t="s">
        <v>378</v>
      </c>
      <c r="C86" s="49" t="s">
        <v>255</v>
      </c>
      <c r="D86" s="57" t="s">
        <v>338</v>
      </c>
      <c r="E86" s="50" t="s">
        <v>298</v>
      </c>
      <c r="F86" s="49" t="s">
        <v>299</v>
      </c>
      <c r="G86" s="52">
        <v>1.01</v>
      </c>
      <c r="H86" s="52">
        <v>13.14</v>
      </c>
      <c r="I86" s="51">
        <v>89429048</v>
      </c>
      <c r="J86" s="51">
        <v>2559</v>
      </c>
      <c r="K86" s="56">
        <v>34946.870000000003</v>
      </c>
      <c r="L86" s="76">
        <v>34950</v>
      </c>
      <c r="M86" s="75" t="s">
        <v>367</v>
      </c>
      <c r="N86" s="74" t="s">
        <v>395</v>
      </c>
      <c r="O86" s="73">
        <v>1.1599999999999999</v>
      </c>
      <c r="P86" s="51">
        <v>8002</v>
      </c>
      <c r="Q86" s="52">
        <v>0.01</v>
      </c>
      <c r="R86" s="51">
        <v>1023600</v>
      </c>
      <c r="S86" s="51">
        <v>115656</v>
      </c>
      <c r="T86" s="50" t="s">
        <v>269</v>
      </c>
      <c r="U86" s="49" t="s">
        <v>343</v>
      </c>
      <c r="V86" s="48" t="s">
        <v>342</v>
      </c>
      <c r="W86" s="48" t="s">
        <v>342</v>
      </c>
    </row>
    <row r="87" spans="1:23">
      <c r="A87" s="40" t="s">
        <v>396</v>
      </c>
      <c r="B87" s="40" t="s">
        <v>378</v>
      </c>
      <c r="C87" s="39" t="s">
        <v>255</v>
      </c>
      <c r="D87" s="47" t="s">
        <v>338</v>
      </c>
      <c r="E87" s="40" t="s">
        <v>50</v>
      </c>
      <c r="F87" s="39" t="s">
        <v>51</v>
      </c>
      <c r="G87" s="42">
        <v>1</v>
      </c>
      <c r="H87" s="42">
        <v>13</v>
      </c>
      <c r="I87" s="41">
        <v>89146700</v>
      </c>
      <c r="J87" s="41">
        <v>4548</v>
      </c>
      <c r="K87" s="58">
        <v>19601.3</v>
      </c>
      <c r="L87" s="66">
        <v>19450</v>
      </c>
      <c r="M87" s="65" t="s">
        <v>367</v>
      </c>
      <c r="N87" s="64" t="s">
        <v>395</v>
      </c>
      <c r="O87" s="63">
        <v>2.1</v>
      </c>
      <c r="P87" s="41">
        <v>-688100</v>
      </c>
      <c r="Q87" s="42">
        <v>-0.77</v>
      </c>
      <c r="R87" s="41">
        <v>1819200</v>
      </c>
      <c r="S87" s="41">
        <v>896130</v>
      </c>
      <c r="T87" s="40" t="s">
        <v>269</v>
      </c>
      <c r="U87" s="39" t="s">
        <v>343</v>
      </c>
      <c r="V87" s="38" t="s">
        <v>342</v>
      </c>
      <c r="W87" s="38" t="s">
        <v>342</v>
      </c>
    </row>
    <row r="88" spans="1:23">
      <c r="A88" s="50" t="s">
        <v>394</v>
      </c>
      <c r="B88" s="50" t="s">
        <v>378</v>
      </c>
      <c r="C88" s="49" t="s">
        <v>255</v>
      </c>
      <c r="D88" s="57" t="s">
        <v>338</v>
      </c>
      <c r="E88" s="50" t="s">
        <v>393</v>
      </c>
      <c r="F88" s="49" t="s">
        <v>392</v>
      </c>
      <c r="G88" s="52">
        <v>0.95</v>
      </c>
      <c r="H88" s="52">
        <v>12.4</v>
      </c>
      <c r="I88" s="51">
        <v>88035470</v>
      </c>
      <c r="J88" s="51">
        <v>1366</v>
      </c>
      <c r="K88" s="56">
        <v>64447.64</v>
      </c>
      <c r="L88" s="76">
        <v>61800</v>
      </c>
      <c r="M88" s="75" t="s">
        <v>367</v>
      </c>
      <c r="N88" s="74" t="s">
        <v>391</v>
      </c>
      <c r="O88" s="73">
        <v>1.31</v>
      </c>
      <c r="P88" s="51">
        <v>-3616670</v>
      </c>
      <c r="Q88" s="52">
        <v>-4.1100000000000003</v>
      </c>
      <c r="R88" s="51">
        <v>1092800</v>
      </c>
      <c r="S88" s="51">
        <v>85270</v>
      </c>
      <c r="T88" s="50" t="s">
        <v>269</v>
      </c>
      <c r="U88" s="49" t="s">
        <v>343</v>
      </c>
      <c r="V88" s="48" t="s">
        <v>342</v>
      </c>
      <c r="W88" s="48" t="s">
        <v>342</v>
      </c>
    </row>
    <row r="89" spans="1:23">
      <c r="A89" s="40" t="s">
        <v>390</v>
      </c>
      <c r="B89" s="40" t="s">
        <v>378</v>
      </c>
      <c r="C89" s="39" t="s">
        <v>255</v>
      </c>
      <c r="D89" s="47" t="s">
        <v>338</v>
      </c>
      <c r="E89" s="40" t="s">
        <v>305</v>
      </c>
      <c r="F89" s="39" t="s">
        <v>306</v>
      </c>
      <c r="G89" s="42">
        <v>0.69</v>
      </c>
      <c r="H89" s="42">
        <v>8.98</v>
      </c>
      <c r="I89" s="41">
        <v>53619290</v>
      </c>
      <c r="J89" s="41">
        <v>236</v>
      </c>
      <c r="K89" s="46">
        <v>227200.38</v>
      </c>
      <c r="L89" s="70">
        <v>259000</v>
      </c>
      <c r="M89" s="69" t="s">
        <v>362</v>
      </c>
      <c r="N89" s="68" t="s">
        <v>389</v>
      </c>
      <c r="O89" s="67">
        <v>-1.33</v>
      </c>
      <c r="P89" s="41">
        <v>7504710</v>
      </c>
      <c r="Q89" s="42">
        <v>14</v>
      </c>
      <c r="R89" s="41">
        <v>-826000</v>
      </c>
      <c r="S89" s="41">
        <v>26790</v>
      </c>
      <c r="T89" s="40" t="s">
        <v>269</v>
      </c>
      <c r="U89" s="39" t="s">
        <v>343</v>
      </c>
      <c r="V89" s="38" t="s">
        <v>342</v>
      </c>
      <c r="W89" s="38" t="s">
        <v>342</v>
      </c>
    </row>
    <row r="90" spans="1:23">
      <c r="A90" s="50" t="s">
        <v>388</v>
      </c>
      <c r="B90" s="50" t="s">
        <v>378</v>
      </c>
      <c r="C90" s="49" t="s">
        <v>254</v>
      </c>
      <c r="D90" s="57" t="s">
        <v>338</v>
      </c>
      <c r="E90" s="50" t="s">
        <v>282</v>
      </c>
      <c r="F90" s="49" t="s">
        <v>283</v>
      </c>
      <c r="G90" s="52">
        <v>0.96</v>
      </c>
      <c r="H90" s="52">
        <v>12.55</v>
      </c>
      <c r="I90" s="51">
        <v>95548148</v>
      </c>
      <c r="J90" s="51">
        <v>4881</v>
      </c>
      <c r="K90" s="56">
        <v>19575.53</v>
      </c>
      <c r="L90" s="76">
        <v>17500</v>
      </c>
      <c r="M90" s="75" t="s">
        <v>367</v>
      </c>
      <c r="N90" s="74" t="s">
        <v>371</v>
      </c>
      <c r="O90" s="73">
        <v>1.74</v>
      </c>
      <c r="P90" s="51">
        <v>-10130648</v>
      </c>
      <c r="Q90" s="52">
        <v>-10.6</v>
      </c>
      <c r="R90" s="51">
        <v>1464300</v>
      </c>
      <c r="S90" s="51">
        <v>567526</v>
      </c>
      <c r="T90" s="50" t="s">
        <v>269</v>
      </c>
      <c r="U90" s="49" t="s">
        <v>343</v>
      </c>
      <c r="V90" s="48" t="s">
        <v>342</v>
      </c>
      <c r="W90" s="48" t="s">
        <v>342</v>
      </c>
    </row>
    <row r="91" spans="1:23">
      <c r="A91" s="40" t="s">
        <v>387</v>
      </c>
      <c r="B91" s="40" t="s">
        <v>378</v>
      </c>
      <c r="C91" s="39" t="s">
        <v>254</v>
      </c>
      <c r="D91" s="47" t="s">
        <v>338</v>
      </c>
      <c r="E91" s="40" t="s">
        <v>386</v>
      </c>
      <c r="F91" s="39" t="s">
        <v>385</v>
      </c>
      <c r="G91" s="42">
        <v>0.49</v>
      </c>
      <c r="H91" s="42">
        <v>6.41</v>
      </c>
      <c r="I91" s="41">
        <v>44173000</v>
      </c>
      <c r="J91" s="41">
        <v>271</v>
      </c>
      <c r="K91" s="41">
        <v>163000</v>
      </c>
      <c r="L91" s="70">
        <v>161000</v>
      </c>
      <c r="M91" s="69" t="s">
        <v>362</v>
      </c>
      <c r="N91" s="68" t="s">
        <v>384</v>
      </c>
      <c r="O91" s="67">
        <v>-0.62</v>
      </c>
      <c r="P91" s="41">
        <v>-542000</v>
      </c>
      <c r="Q91" s="42">
        <v>-1.23</v>
      </c>
      <c r="R91" s="41">
        <v>-542000</v>
      </c>
      <c r="S91" s="41">
        <v>0</v>
      </c>
      <c r="T91" s="40" t="s">
        <v>269</v>
      </c>
      <c r="U91" s="39" t="s">
        <v>343</v>
      </c>
      <c r="V91" s="38" t="s">
        <v>342</v>
      </c>
      <c r="W91" s="38" t="s">
        <v>342</v>
      </c>
    </row>
    <row r="92" spans="1:23">
      <c r="A92" s="50" t="s">
        <v>383</v>
      </c>
      <c r="B92" s="50" t="s">
        <v>378</v>
      </c>
      <c r="C92" s="49" t="s">
        <v>254</v>
      </c>
      <c r="D92" s="57" t="s">
        <v>338</v>
      </c>
      <c r="E92" s="50" t="s">
        <v>202</v>
      </c>
      <c r="F92" s="49" t="s">
        <v>203</v>
      </c>
      <c r="G92" s="52">
        <v>1.6</v>
      </c>
      <c r="H92" s="52">
        <v>20.85</v>
      </c>
      <c r="I92" s="51">
        <v>124948705</v>
      </c>
      <c r="J92" s="51">
        <v>949</v>
      </c>
      <c r="K92" s="56">
        <v>131663.54999999999</v>
      </c>
      <c r="L92" s="62">
        <v>149500</v>
      </c>
      <c r="M92" s="61" t="s">
        <v>362</v>
      </c>
      <c r="N92" s="60" t="s">
        <v>382</v>
      </c>
      <c r="O92" s="59">
        <v>-0.99</v>
      </c>
      <c r="P92" s="51">
        <v>16926795</v>
      </c>
      <c r="Q92" s="52">
        <v>13.55</v>
      </c>
      <c r="R92" s="51">
        <v>-1423500</v>
      </c>
      <c r="S92" s="51">
        <v>681558</v>
      </c>
      <c r="T92" s="50" t="s">
        <v>269</v>
      </c>
      <c r="U92" s="49" t="s">
        <v>343</v>
      </c>
      <c r="V92" s="48" t="s">
        <v>342</v>
      </c>
      <c r="W92" s="48" t="s">
        <v>342</v>
      </c>
    </row>
    <row r="93" spans="1:23">
      <c r="A93" s="40" t="s">
        <v>381</v>
      </c>
      <c r="B93" s="40" t="s">
        <v>378</v>
      </c>
      <c r="C93" s="39" t="s">
        <v>197</v>
      </c>
      <c r="D93" s="72" t="s">
        <v>339</v>
      </c>
      <c r="E93" s="40" t="s">
        <v>270</v>
      </c>
      <c r="F93" s="39" t="s">
        <v>271</v>
      </c>
      <c r="G93" s="42">
        <v>16</v>
      </c>
      <c r="H93" s="42">
        <v>100</v>
      </c>
      <c r="I93" s="41">
        <v>-1364576191</v>
      </c>
      <c r="J93" s="41">
        <v>-11</v>
      </c>
      <c r="K93" s="58">
        <v>248.1</v>
      </c>
      <c r="L93" s="71">
        <v>256.7</v>
      </c>
      <c r="M93" s="69" t="s">
        <v>362</v>
      </c>
      <c r="N93" s="68" t="s">
        <v>380</v>
      </c>
      <c r="O93" s="67">
        <v>0.27</v>
      </c>
      <c r="P93" s="41">
        <v>-47273809</v>
      </c>
      <c r="Q93" s="42">
        <v>-3.46</v>
      </c>
      <c r="R93" s="41">
        <v>3850000</v>
      </c>
      <c r="S93" s="41">
        <v>552100</v>
      </c>
      <c r="T93" s="40" t="s">
        <v>269</v>
      </c>
      <c r="U93" s="39" t="s">
        <v>343</v>
      </c>
      <c r="V93" s="38" t="s">
        <v>342</v>
      </c>
      <c r="W93" s="38" t="s">
        <v>342</v>
      </c>
    </row>
    <row r="94" spans="1:23">
      <c r="A94" s="50" t="s">
        <v>379</v>
      </c>
      <c r="B94" s="50" t="s">
        <v>378</v>
      </c>
      <c r="C94" s="49" t="s">
        <v>260</v>
      </c>
      <c r="D94" s="57" t="s">
        <v>338</v>
      </c>
      <c r="E94" s="50" t="s">
        <v>377</v>
      </c>
      <c r="F94" s="49" t="s">
        <v>376</v>
      </c>
      <c r="G94" s="52">
        <v>0.97</v>
      </c>
      <c r="H94" s="52">
        <v>12.62</v>
      </c>
      <c r="I94" s="51">
        <v>89868723</v>
      </c>
      <c r="J94" s="51">
        <v>13809</v>
      </c>
      <c r="K94" s="56">
        <v>6507.98</v>
      </c>
      <c r="L94" s="62">
        <v>6220</v>
      </c>
      <c r="M94" s="61" t="s">
        <v>362</v>
      </c>
      <c r="N94" s="60" t="s">
        <v>375</v>
      </c>
      <c r="O94" s="59">
        <v>-1.1100000000000001</v>
      </c>
      <c r="P94" s="51">
        <v>-3976743</v>
      </c>
      <c r="Q94" s="52">
        <v>-4.43</v>
      </c>
      <c r="R94" s="51">
        <v>-966630</v>
      </c>
      <c r="S94" s="51">
        <v>138600</v>
      </c>
      <c r="T94" s="50" t="s">
        <v>269</v>
      </c>
      <c r="U94" s="49" t="s">
        <v>343</v>
      </c>
      <c r="V94" s="48" t="s">
        <v>342</v>
      </c>
      <c r="W94" s="48" t="s">
        <v>342</v>
      </c>
    </row>
    <row r="95" spans="1:23">
      <c r="A95" s="40" t="s">
        <v>374</v>
      </c>
      <c r="B95" s="40" t="s">
        <v>349</v>
      </c>
      <c r="C95" s="39" t="s">
        <v>251</v>
      </c>
      <c r="D95" s="47" t="s">
        <v>338</v>
      </c>
      <c r="E95" s="40" t="s">
        <v>295</v>
      </c>
      <c r="F95" s="39" t="s">
        <v>307</v>
      </c>
      <c r="G95" s="42">
        <v>0.03</v>
      </c>
      <c r="H95" s="42">
        <v>0.12</v>
      </c>
      <c r="I95" s="41">
        <v>3107260</v>
      </c>
      <c r="J95" s="41">
        <v>1406</v>
      </c>
      <c r="K95" s="41">
        <v>2210</v>
      </c>
      <c r="L95" s="70">
        <v>2335</v>
      </c>
      <c r="M95" s="69" t="s">
        <v>362</v>
      </c>
      <c r="N95" s="68" t="s">
        <v>373</v>
      </c>
      <c r="O95" s="67">
        <v>-2.2999999999999998</v>
      </c>
      <c r="P95" s="41">
        <v>175750</v>
      </c>
      <c r="Q95" s="42">
        <v>5.66</v>
      </c>
      <c r="R95" s="41">
        <v>-77330</v>
      </c>
      <c r="S95" s="41">
        <v>0</v>
      </c>
      <c r="T95" s="40" t="s">
        <v>269</v>
      </c>
      <c r="U95" s="39" t="s">
        <v>343</v>
      </c>
      <c r="V95" s="38" t="s">
        <v>342</v>
      </c>
      <c r="W95" s="38" t="s">
        <v>342</v>
      </c>
    </row>
    <row r="96" spans="1:23">
      <c r="A96" s="50" t="s">
        <v>372</v>
      </c>
      <c r="B96" s="50" t="s">
        <v>349</v>
      </c>
      <c r="C96" s="49" t="s">
        <v>251</v>
      </c>
      <c r="D96" s="57" t="s">
        <v>338</v>
      </c>
      <c r="E96" s="50" t="s">
        <v>278</v>
      </c>
      <c r="F96" s="49" t="s">
        <v>279</v>
      </c>
      <c r="G96" s="52">
        <v>0.25</v>
      </c>
      <c r="H96" s="52">
        <v>0.89</v>
      </c>
      <c r="I96" s="51">
        <v>12354000</v>
      </c>
      <c r="J96" s="51">
        <v>426</v>
      </c>
      <c r="K96" s="51">
        <v>29000</v>
      </c>
      <c r="L96" s="62">
        <v>53500</v>
      </c>
      <c r="M96" s="61" t="s">
        <v>362</v>
      </c>
      <c r="N96" s="60" t="s">
        <v>371</v>
      </c>
      <c r="O96" s="59">
        <v>-0.56000000000000005</v>
      </c>
      <c r="P96" s="51">
        <v>10437000</v>
      </c>
      <c r="Q96" s="52">
        <v>84.48</v>
      </c>
      <c r="R96" s="51">
        <v>-127800</v>
      </c>
      <c r="S96" s="51">
        <v>0</v>
      </c>
      <c r="T96" s="50" t="s">
        <v>269</v>
      </c>
      <c r="U96" s="49" t="s">
        <v>343</v>
      </c>
      <c r="V96" s="48" t="s">
        <v>342</v>
      </c>
      <c r="W96" s="48" t="s">
        <v>342</v>
      </c>
    </row>
    <row r="97" spans="1:23">
      <c r="A97" s="40" t="s">
        <v>370</v>
      </c>
      <c r="B97" s="40" t="s">
        <v>349</v>
      </c>
      <c r="C97" s="39" t="s">
        <v>672</v>
      </c>
      <c r="D97" s="47" t="s">
        <v>338</v>
      </c>
      <c r="E97" s="40" t="s">
        <v>369</v>
      </c>
      <c r="F97" s="39" t="s">
        <v>368</v>
      </c>
      <c r="G97" s="42">
        <v>1.8</v>
      </c>
      <c r="H97" s="42">
        <v>6.28</v>
      </c>
      <c r="I97" s="41">
        <v>57330952</v>
      </c>
      <c r="J97" s="41">
        <v>115672</v>
      </c>
      <c r="K97" s="46">
        <v>495.63</v>
      </c>
      <c r="L97" s="66">
        <v>1380</v>
      </c>
      <c r="M97" s="65" t="s">
        <v>367</v>
      </c>
      <c r="N97" s="64" t="s">
        <v>366</v>
      </c>
      <c r="O97" s="63">
        <v>0.73</v>
      </c>
      <c r="P97" s="41">
        <v>102296408</v>
      </c>
      <c r="Q97" s="42">
        <v>178.43</v>
      </c>
      <c r="R97" s="41">
        <v>1156720</v>
      </c>
      <c r="S97" s="41">
        <v>0</v>
      </c>
      <c r="T97" s="40" t="s">
        <v>269</v>
      </c>
      <c r="U97" s="39" t="s">
        <v>343</v>
      </c>
      <c r="V97" s="38" t="s">
        <v>342</v>
      </c>
      <c r="W97" s="38" t="s">
        <v>342</v>
      </c>
    </row>
    <row r="98" spans="1:23">
      <c r="A98" s="50" t="s">
        <v>365</v>
      </c>
      <c r="B98" s="50" t="s">
        <v>349</v>
      </c>
      <c r="C98" s="49" t="s">
        <v>672</v>
      </c>
      <c r="D98" s="57" t="s">
        <v>338</v>
      </c>
      <c r="E98" s="50" t="s">
        <v>364</v>
      </c>
      <c r="F98" s="49" t="s">
        <v>363</v>
      </c>
      <c r="G98" s="52">
        <v>0.08</v>
      </c>
      <c r="H98" s="52">
        <v>0.27</v>
      </c>
      <c r="I98" s="51">
        <v>10518662</v>
      </c>
      <c r="J98" s="51">
        <v>9813</v>
      </c>
      <c r="K98" s="56">
        <v>1071.9100000000001</v>
      </c>
      <c r="L98" s="62">
        <v>722</v>
      </c>
      <c r="M98" s="61" t="s">
        <v>362</v>
      </c>
      <c r="N98" s="60" t="s">
        <v>361</v>
      </c>
      <c r="O98" s="59">
        <v>5.62</v>
      </c>
      <c r="P98" s="51">
        <v>-3433676</v>
      </c>
      <c r="Q98" s="52">
        <v>-32.64</v>
      </c>
      <c r="R98" s="51">
        <v>-421959</v>
      </c>
      <c r="S98" s="51">
        <v>0</v>
      </c>
      <c r="T98" s="50" t="s">
        <v>269</v>
      </c>
      <c r="U98" s="49" t="s">
        <v>343</v>
      </c>
      <c r="V98" s="48" t="s">
        <v>342</v>
      </c>
      <c r="W98" s="48" t="s">
        <v>342</v>
      </c>
    </row>
    <row r="99" spans="1:23">
      <c r="A99" s="40" t="s">
        <v>360</v>
      </c>
      <c r="B99" s="40" t="s">
        <v>349</v>
      </c>
      <c r="C99" s="39" t="s">
        <v>672</v>
      </c>
      <c r="D99" s="47" t="s">
        <v>338</v>
      </c>
      <c r="E99" s="40" t="s">
        <v>256</v>
      </c>
      <c r="F99" s="39" t="s">
        <v>257</v>
      </c>
      <c r="G99" s="42">
        <v>6.11</v>
      </c>
      <c r="H99" s="42">
        <v>21.23</v>
      </c>
      <c r="I99" s="41">
        <v>508714410</v>
      </c>
      <c r="J99" s="41">
        <v>500000000</v>
      </c>
      <c r="K99" s="46">
        <v>10174.290000000001</v>
      </c>
      <c r="L99" s="58">
        <v>10782.5</v>
      </c>
      <c r="M99" s="45" t="s">
        <v>269</v>
      </c>
      <c r="N99" s="44" t="s">
        <v>342</v>
      </c>
      <c r="O99" s="43">
        <v>0</v>
      </c>
      <c r="P99" s="41">
        <v>30410590</v>
      </c>
      <c r="Q99" s="42">
        <v>5.98</v>
      </c>
      <c r="R99" s="41">
        <v>0</v>
      </c>
      <c r="S99" s="41">
        <v>0</v>
      </c>
      <c r="T99" s="40" t="s">
        <v>269</v>
      </c>
      <c r="U99" s="39" t="s">
        <v>343</v>
      </c>
      <c r="V99" s="38" t="s">
        <v>342</v>
      </c>
      <c r="W99" s="38" t="s">
        <v>342</v>
      </c>
    </row>
    <row r="100" spans="1:23">
      <c r="A100" s="50" t="s">
        <v>359</v>
      </c>
      <c r="B100" s="50" t="s">
        <v>349</v>
      </c>
      <c r="C100" s="49" t="s">
        <v>672</v>
      </c>
      <c r="D100" s="57" t="s">
        <v>338</v>
      </c>
      <c r="E100" s="50" t="s">
        <v>267</v>
      </c>
      <c r="F100" s="49" t="s">
        <v>268</v>
      </c>
      <c r="G100" s="52">
        <v>6.2</v>
      </c>
      <c r="H100" s="52">
        <v>21.55</v>
      </c>
      <c r="I100" s="51">
        <v>602324327</v>
      </c>
      <c r="J100" s="51">
        <v>600000000</v>
      </c>
      <c r="K100" s="56">
        <v>10038.74</v>
      </c>
      <c r="L100" s="56">
        <v>9119.15</v>
      </c>
      <c r="M100" s="55" t="s">
        <v>269</v>
      </c>
      <c r="N100" s="54" t="s">
        <v>342</v>
      </c>
      <c r="O100" s="53">
        <v>0</v>
      </c>
      <c r="P100" s="51">
        <v>-55175327</v>
      </c>
      <c r="Q100" s="52">
        <v>-9.16</v>
      </c>
      <c r="R100" s="51">
        <v>0</v>
      </c>
      <c r="S100" s="51">
        <v>0</v>
      </c>
      <c r="T100" s="50" t="s">
        <v>269</v>
      </c>
      <c r="U100" s="49" t="s">
        <v>343</v>
      </c>
      <c r="V100" s="48" t="s">
        <v>342</v>
      </c>
      <c r="W100" s="48" t="s">
        <v>342</v>
      </c>
    </row>
    <row r="101" spans="1:23">
      <c r="A101" s="40" t="s">
        <v>358</v>
      </c>
      <c r="B101" s="40" t="s">
        <v>349</v>
      </c>
      <c r="C101" s="39" t="s">
        <v>672</v>
      </c>
      <c r="D101" s="47" t="s">
        <v>338</v>
      </c>
      <c r="E101" s="40" t="s">
        <v>357</v>
      </c>
      <c r="F101" s="39" t="s">
        <v>356</v>
      </c>
      <c r="G101" s="42">
        <v>5.52</v>
      </c>
      <c r="H101" s="42">
        <v>19.18</v>
      </c>
      <c r="I101" s="41">
        <v>506173247</v>
      </c>
      <c r="J101" s="41">
        <v>500000000</v>
      </c>
      <c r="K101" s="46">
        <v>10123.459999999999</v>
      </c>
      <c r="L101" s="46">
        <v>9742.5300000000007</v>
      </c>
      <c r="M101" s="45" t="s">
        <v>269</v>
      </c>
      <c r="N101" s="44" t="s">
        <v>342</v>
      </c>
      <c r="O101" s="43">
        <v>0</v>
      </c>
      <c r="P101" s="41">
        <v>-19046747</v>
      </c>
      <c r="Q101" s="42">
        <v>-3.76</v>
      </c>
      <c r="R101" s="41">
        <v>0</v>
      </c>
      <c r="S101" s="41">
        <v>0</v>
      </c>
      <c r="T101" s="40" t="s">
        <v>269</v>
      </c>
      <c r="U101" s="39" t="s">
        <v>343</v>
      </c>
      <c r="V101" s="38" t="s">
        <v>342</v>
      </c>
      <c r="W101" s="38" t="s">
        <v>342</v>
      </c>
    </row>
    <row r="102" spans="1:23">
      <c r="A102" s="50" t="s">
        <v>355</v>
      </c>
      <c r="B102" s="50" t="s">
        <v>349</v>
      </c>
      <c r="C102" s="49" t="s">
        <v>672</v>
      </c>
      <c r="D102" s="57" t="s">
        <v>338</v>
      </c>
      <c r="E102" s="50" t="s">
        <v>354</v>
      </c>
      <c r="F102" s="49" t="s">
        <v>353</v>
      </c>
      <c r="G102" s="52">
        <v>0.47</v>
      </c>
      <c r="H102" s="52">
        <v>1.63</v>
      </c>
      <c r="I102" s="51">
        <v>42655750</v>
      </c>
      <c r="J102" s="51">
        <v>44650000</v>
      </c>
      <c r="K102" s="56">
        <v>9553.36</v>
      </c>
      <c r="L102" s="56">
        <v>9292.81</v>
      </c>
      <c r="M102" s="55" t="s">
        <v>269</v>
      </c>
      <c r="N102" s="54" t="s">
        <v>342</v>
      </c>
      <c r="O102" s="53">
        <v>0</v>
      </c>
      <c r="P102" s="51">
        <v>-1163354</v>
      </c>
      <c r="Q102" s="52">
        <v>-2.73</v>
      </c>
      <c r="R102" s="51">
        <v>1</v>
      </c>
      <c r="S102" s="51">
        <v>0</v>
      </c>
      <c r="T102" s="50" t="s">
        <v>269</v>
      </c>
      <c r="U102" s="49" t="s">
        <v>343</v>
      </c>
      <c r="V102" s="48" t="s">
        <v>342</v>
      </c>
      <c r="W102" s="48" t="s">
        <v>342</v>
      </c>
    </row>
    <row r="103" spans="1:23">
      <c r="A103" s="40" t="s">
        <v>352</v>
      </c>
      <c r="B103" s="40" t="s">
        <v>349</v>
      </c>
      <c r="C103" s="39" t="s">
        <v>672</v>
      </c>
      <c r="D103" s="47" t="s">
        <v>338</v>
      </c>
      <c r="E103" s="40" t="s">
        <v>250</v>
      </c>
      <c r="F103" s="39" t="s">
        <v>351</v>
      </c>
      <c r="G103" s="42">
        <v>6.12</v>
      </c>
      <c r="H103" s="42">
        <v>21.27</v>
      </c>
      <c r="I103" s="41">
        <v>505850489</v>
      </c>
      <c r="J103" s="41">
        <v>500000000</v>
      </c>
      <c r="K103" s="46">
        <v>10117.01</v>
      </c>
      <c r="L103" s="46">
        <v>10800.68</v>
      </c>
      <c r="M103" s="45" t="s">
        <v>269</v>
      </c>
      <c r="N103" s="44" t="s">
        <v>342</v>
      </c>
      <c r="O103" s="43">
        <v>0</v>
      </c>
      <c r="P103" s="41">
        <v>34183511</v>
      </c>
      <c r="Q103" s="42">
        <v>6.76</v>
      </c>
      <c r="R103" s="41">
        <v>0</v>
      </c>
      <c r="S103" s="41">
        <v>0</v>
      </c>
      <c r="T103" s="40" t="s">
        <v>269</v>
      </c>
      <c r="U103" s="39" t="s">
        <v>343</v>
      </c>
      <c r="V103" s="38" t="s">
        <v>342</v>
      </c>
      <c r="W103" s="38" t="s">
        <v>342</v>
      </c>
    </row>
    <row r="104" spans="1:23">
      <c r="A104" s="50" t="s">
        <v>350</v>
      </c>
      <c r="B104" s="50" t="s">
        <v>349</v>
      </c>
      <c r="C104" s="49" t="s">
        <v>672</v>
      </c>
      <c r="D104" s="57" t="s">
        <v>338</v>
      </c>
      <c r="E104" s="50" t="s">
        <v>348</v>
      </c>
      <c r="F104" s="49" t="s">
        <v>347</v>
      </c>
      <c r="G104" s="52">
        <v>2.16</v>
      </c>
      <c r="H104" s="52">
        <v>7.51</v>
      </c>
      <c r="I104" s="51">
        <v>200388635</v>
      </c>
      <c r="J104" s="51">
        <v>200000000</v>
      </c>
      <c r="K104" s="56">
        <v>10019.43</v>
      </c>
      <c r="L104" s="56">
        <v>9538.92</v>
      </c>
      <c r="M104" s="55" t="s">
        <v>269</v>
      </c>
      <c r="N104" s="54" t="s">
        <v>342</v>
      </c>
      <c r="O104" s="53">
        <v>0</v>
      </c>
      <c r="P104" s="51">
        <v>-9610235</v>
      </c>
      <c r="Q104" s="52">
        <v>-4.8</v>
      </c>
      <c r="R104" s="51">
        <v>0</v>
      </c>
      <c r="S104" s="51">
        <v>0</v>
      </c>
      <c r="T104" s="50" t="s">
        <v>269</v>
      </c>
      <c r="U104" s="49" t="s">
        <v>343</v>
      </c>
      <c r="V104" s="48" t="s">
        <v>342</v>
      </c>
      <c r="W104" s="48" t="s">
        <v>342</v>
      </c>
    </row>
    <row r="105" spans="1:23">
      <c r="A105" s="40" t="s">
        <v>346</v>
      </c>
      <c r="B105" s="40" t="s">
        <v>345</v>
      </c>
      <c r="C105" s="39" t="s">
        <v>318</v>
      </c>
      <c r="D105" s="47" t="s">
        <v>338</v>
      </c>
      <c r="E105" s="40" t="s">
        <v>319</v>
      </c>
      <c r="F105" s="39" t="s">
        <v>344</v>
      </c>
      <c r="G105" s="42">
        <v>16.100000000000001</v>
      </c>
      <c r="H105" s="42">
        <v>100</v>
      </c>
      <c r="I105" s="41">
        <v>1500000000</v>
      </c>
      <c r="J105" s="41">
        <v>1500000000</v>
      </c>
      <c r="K105" s="41">
        <v>10000</v>
      </c>
      <c r="L105" s="46">
        <v>9471.67</v>
      </c>
      <c r="M105" s="45" t="s">
        <v>269</v>
      </c>
      <c r="N105" s="44" t="s">
        <v>342</v>
      </c>
      <c r="O105" s="43">
        <v>0</v>
      </c>
      <c r="P105" s="41">
        <v>-79249500</v>
      </c>
      <c r="Q105" s="42">
        <v>-5.28</v>
      </c>
      <c r="R105" s="41">
        <v>0</v>
      </c>
      <c r="S105" s="41">
        <v>0</v>
      </c>
      <c r="T105" s="40" t="s">
        <v>269</v>
      </c>
      <c r="U105" s="39" t="s">
        <v>343</v>
      </c>
      <c r="V105" s="38" t="s">
        <v>342</v>
      </c>
      <c r="W105" s="38" t="s">
        <v>342</v>
      </c>
    </row>
    <row r="106" spans="1:23">
      <c r="A106" s="113" t="s">
        <v>341</v>
      </c>
      <c r="B106" s="114"/>
      <c r="C106" s="115"/>
      <c r="D106" s="35" t="s">
        <v>269</v>
      </c>
      <c r="E106" s="35" t="s">
        <v>269</v>
      </c>
      <c r="F106" s="35" t="s">
        <v>269</v>
      </c>
      <c r="G106" s="37">
        <v>188.67</v>
      </c>
      <c r="H106" s="37">
        <v>599.99</v>
      </c>
      <c r="I106" s="36">
        <v>4420136763</v>
      </c>
      <c r="J106" s="36">
        <v>3844944373</v>
      </c>
      <c r="K106" s="35" t="s">
        <v>269</v>
      </c>
      <c r="L106" s="35" t="s">
        <v>269</v>
      </c>
      <c r="M106" s="116" t="s">
        <v>269</v>
      </c>
      <c r="N106" s="117"/>
      <c r="O106" s="35" t="s">
        <v>269</v>
      </c>
      <c r="P106" s="36">
        <v>318699404</v>
      </c>
      <c r="Q106" s="37">
        <v>494.67</v>
      </c>
      <c r="R106" s="35" t="s">
        <v>269</v>
      </c>
      <c r="S106" s="36">
        <v>153026702</v>
      </c>
      <c r="T106" s="35" t="s">
        <v>269</v>
      </c>
      <c r="U106" s="35" t="s">
        <v>269</v>
      </c>
      <c r="V106" s="35" t="s">
        <v>269</v>
      </c>
      <c r="W106" s="35" t="s">
        <v>269</v>
      </c>
    </row>
  </sheetData>
  <mergeCells count="24">
    <mergeCell ref="E1:E2"/>
    <mergeCell ref="F1:F2"/>
    <mergeCell ref="T1:T2"/>
    <mergeCell ref="U1:U2"/>
    <mergeCell ref="V1:V2"/>
    <mergeCell ref="H1:H2"/>
    <mergeCell ref="I1:I2"/>
    <mergeCell ref="J1:J2"/>
    <mergeCell ref="W1:W2"/>
    <mergeCell ref="A106:C106"/>
    <mergeCell ref="M106:N106"/>
    <mergeCell ref="M1:N2"/>
    <mergeCell ref="O1:O2"/>
    <mergeCell ref="P1:P2"/>
    <mergeCell ref="Q1:Q2"/>
    <mergeCell ref="K1:K2"/>
    <mergeCell ref="L1:L2"/>
    <mergeCell ref="A1:A2"/>
    <mergeCell ref="B1:B2"/>
    <mergeCell ref="C1:C2"/>
    <mergeCell ref="D1:D2"/>
    <mergeCell ref="R1:R2"/>
    <mergeCell ref="S1:S2"/>
    <mergeCell ref="G1:G2"/>
  </mergeCells>
  <phoneticPr fontId="1" type="noConversion"/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W104"/>
  <sheetViews>
    <sheetView workbookViewId="0">
      <selection activeCell="F99" sqref="F99"/>
    </sheetView>
  </sheetViews>
  <sheetFormatPr defaultRowHeight="16.5"/>
  <cols>
    <col min="1" max="1" width="3.75" bestFit="1" customWidth="1"/>
    <col min="2" max="2" width="7.5" bestFit="1" customWidth="1"/>
    <col min="3" max="3" width="10" bestFit="1" customWidth="1"/>
    <col min="4" max="4" width="4.125" bestFit="1" customWidth="1"/>
    <col min="5" max="5" width="11.625" bestFit="1" customWidth="1"/>
    <col min="6" max="6" width="16.75" bestFit="1" customWidth="1"/>
    <col min="7" max="7" width="10.5" bestFit="1" customWidth="1"/>
    <col min="8" max="8" width="13.875" bestFit="1" customWidth="1"/>
    <col min="9" max="10" width="13" bestFit="1" customWidth="1"/>
    <col min="11" max="11" width="10.25" bestFit="1" customWidth="1"/>
    <col min="12" max="12" width="8.25" bestFit="1" customWidth="1"/>
    <col min="13" max="13" width="2.75" bestFit="1" customWidth="1"/>
    <col min="14" max="14" width="5.75" bestFit="1" customWidth="1"/>
    <col min="15" max="15" width="6" bestFit="1" customWidth="1"/>
    <col min="16" max="16" width="11.375" bestFit="1" customWidth="1"/>
    <col min="17" max="17" width="9.75" bestFit="1" customWidth="1"/>
    <col min="18" max="19" width="11.375" bestFit="1" customWidth="1"/>
    <col min="20" max="20" width="4.75" bestFit="1" customWidth="1"/>
    <col min="21" max="22" width="7.5" bestFit="1" customWidth="1"/>
    <col min="23" max="23" width="4.5" bestFit="1" customWidth="1"/>
  </cols>
  <sheetData>
    <row r="1" spans="1:23">
      <c r="A1" s="111" t="s">
        <v>576</v>
      </c>
      <c r="B1" s="111" t="s">
        <v>575</v>
      </c>
      <c r="C1" s="111" t="s">
        <v>574</v>
      </c>
      <c r="D1" s="111" t="s">
        <v>573</v>
      </c>
      <c r="E1" s="111" t="s">
        <v>572</v>
      </c>
      <c r="F1" s="111" t="s">
        <v>571</v>
      </c>
      <c r="G1" s="111" t="s">
        <v>570</v>
      </c>
      <c r="H1" s="111" t="s">
        <v>569</v>
      </c>
      <c r="I1" s="111" t="s">
        <v>568</v>
      </c>
      <c r="J1" s="111" t="s">
        <v>567</v>
      </c>
      <c r="K1" s="111" t="s">
        <v>566</v>
      </c>
      <c r="L1" s="111" t="s">
        <v>565</v>
      </c>
      <c r="M1" s="118" t="s">
        <v>564</v>
      </c>
      <c r="N1" s="119"/>
      <c r="O1" s="111" t="s">
        <v>563</v>
      </c>
      <c r="P1" s="111" t="s">
        <v>562</v>
      </c>
      <c r="Q1" s="111" t="s">
        <v>561</v>
      </c>
      <c r="R1" s="111" t="s">
        <v>560</v>
      </c>
      <c r="S1" s="111" t="s">
        <v>559</v>
      </c>
      <c r="T1" s="111" t="s">
        <v>558</v>
      </c>
      <c r="U1" s="111" t="s">
        <v>557</v>
      </c>
      <c r="V1" s="111" t="s">
        <v>556</v>
      </c>
      <c r="W1" s="111" t="s">
        <v>555</v>
      </c>
    </row>
    <row r="2" spans="1:23">
      <c r="A2" s="112"/>
      <c r="B2" s="112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20"/>
      <c r="N2" s="121"/>
      <c r="O2" s="112"/>
      <c r="P2" s="112"/>
      <c r="Q2" s="112"/>
      <c r="R2" s="112"/>
      <c r="S2" s="112"/>
      <c r="T2" s="112"/>
      <c r="U2" s="112"/>
      <c r="V2" s="112"/>
      <c r="W2" s="112"/>
    </row>
    <row r="3" spans="1:23">
      <c r="A3" s="81" t="s">
        <v>554</v>
      </c>
      <c r="B3" s="81" t="s">
        <v>399</v>
      </c>
      <c r="C3" s="80" t="s">
        <v>625</v>
      </c>
      <c r="D3" s="89" t="s">
        <v>338</v>
      </c>
      <c r="E3" s="81" t="s">
        <v>0</v>
      </c>
      <c r="F3" s="80" t="s">
        <v>1</v>
      </c>
      <c r="G3" s="83">
        <v>2.57</v>
      </c>
      <c r="H3" s="83">
        <v>3.6</v>
      </c>
      <c r="I3" s="82">
        <v>265875140</v>
      </c>
      <c r="J3" s="82">
        <v>3309</v>
      </c>
      <c r="K3" s="88">
        <v>80349.09</v>
      </c>
      <c r="L3" s="87">
        <v>83400</v>
      </c>
      <c r="M3" s="86" t="s">
        <v>362</v>
      </c>
      <c r="N3" s="85" t="s">
        <v>414</v>
      </c>
      <c r="O3" s="84">
        <v>-0.24</v>
      </c>
      <c r="P3" s="82">
        <v>10095460</v>
      </c>
      <c r="Q3" s="83">
        <v>3.8</v>
      </c>
      <c r="R3" s="82">
        <v>-661800</v>
      </c>
      <c r="S3" s="82">
        <v>2329960</v>
      </c>
      <c r="T3" s="81" t="s">
        <v>269</v>
      </c>
      <c r="U3" s="80" t="s">
        <v>343</v>
      </c>
      <c r="V3" s="79" t="s">
        <v>342</v>
      </c>
      <c r="W3" s="79" t="s">
        <v>342</v>
      </c>
    </row>
    <row r="4" spans="1:23">
      <c r="A4" s="50" t="s">
        <v>553</v>
      </c>
      <c r="B4" s="50" t="s">
        <v>399</v>
      </c>
      <c r="C4" s="49" t="s">
        <v>625</v>
      </c>
      <c r="D4" s="57" t="s">
        <v>338</v>
      </c>
      <c r="E4" s="50" t="s">
        <v>4</v>
      </c>
      <c r="F4" s="49" t="s">
        <v>5</v>
      </c>
      <c r="G4" s="52">
        <v>1.98</v>
      </c>
      <c r="H4" s="52">
        <v>2.78</v>
      </c>
      <c r="I4" s="51">
        <v>202339540</v>
      </c>
      <c r="J4" s="51">
        <v>5484</v>
      </c>
      <c r="K4" s="56">
        <v>36896.339999999997</v>
      </c>
      <c r="L4" s="62">
        <v>38850</v>
      </c>
      <c r="M4" s="61" t="s">
        <v>362</v>
      </c>
      <c r="N4" s="60" t="s">
        <v>453</v>
      </c>
      <c r="O4" s="59">
        <v>-0.13</v>
      </c>
      <c r="P4" s="51">
        <v>10713860</v>
      </c>
      <c r="Q4" s="52">
        <v>5.29</v>
      </c>
      <c r="R4" s="51">
        <v>-274200</v>
      </c>
      <c r="S4" s="51">
        <v>1327972</v>
      </c>
      <c r="T4" s="50" t="s">
        <v>269</v>
      </c>
      <c r="U4" s="49" t="s">
        <v>343</v>
      </c>
      <c r="V4" s="48" t="s">
        <v>342</v>
      </c>
      <c r="W4" s="48" t="s">
        <v>342</v>
      </c>
    </row>
    <row r="5" spans="1:23">
      <c r="A5" s="40" t="s">
        <v>552</v>
      </c>
      <c r="B5" s="40" t="s">
        <v>399</v>
      </c>
      <c r="C5" s="39" t="s">
        <v>625</v>
      </c>
      <c r="D5" s="47" t="s">
        <v>338</v>
      </c>
      <c r="E5" s="40" t="s">
        <v>324</v>
      </c>
      <c r="F5" s="39" t="s">
        <v>325</v>
      </c>
      <c r="G5" s="42">
        <v>0.96</v>
      </c>
      <c r="H5" s="42">
        <v>1.35</v>
      </c>
      <c r="I5" s="41">
        <v>108541430</v>
      </c>
      <c r="J5" s="41">
        <v>392</v>
      </c>
      <c r="K5" s="58">
        <v>276891.40000000002</v>
      </c>
      <c r="L5" s="70">
        <v>264000</v>
      </c>
      <c r="M5" s="69" t="s">
        <v>362</v>
      </c>
      <c r="N5" s="68" t="s">
        <v>398</v>
      </c>
      <c r="O5" s="67">
        <v>-0.75</v>
      </c>
      <c r="P5" s="41">
        <v>-5053430</v>
      </c>
      <c r="Q5" s="42">
        <v>-4.66</v>
      </c>
      <c r="R5" s="41">
        <v>-784000</v>
      </c>
      <c r="S5" s="41">
        <v>108430</v>
      </c>
      <c r="T5" s="40" t="s">
        <v>269</v>
      </c>
      <c r="U5" s="39" t="s">
        <v>343</v>
      </c>
      <c r="V5" s="38" t="s">
        <v>342</v>
      </c>
      <c r="W5" s="38" t="s">
        <v>342</v>
      </c>
    </row>
    <row r="6" spans="1:23">
      <c r="A6" s="50" t="s">
        <v>551</v>
      </c>
      <c r="B6" s="50" t="s">
        <v>399</v>
      </c>
      <c r="C6" s="49" t="s">
        <v>625</v>
      </c>
      <c r="D6" s="57" t="s">
        <v>338</v>
      </c>
      <c r="E6" s="50" t="s">
        <v>6</v>
      </c>
      <c r="F6" s="49" t="s">
        <v>7</v>
      </c>
      <c r="G6" s="52">
        <v>3.12</v>
      </c>
      <c r="H6" s="52">
        <v>4.37</v>
      </c>
      <c r="I6" s="51">
        <v>352016247</v>
      </c>
      <c r="J6" s="51">
        <v>9737</v>
      </c>
      <c r="K6" s="56">
        <v>36152.43</v>
      </c>
      <c r="L6" s="62">
        <v>34400</v>
      </c>
      <c r="M6" s="61" t="s">
        <v>362</v>
      </c>
      <c r="N6" s="60" t="s">
        <v>401</v>
      </c>
      <c r="O6" s="59">
        <v>-0.43</v>
      </c>
      <c r="P6" s="51">
        <v>-17063447</v>
      </c>
      <c r="Q6" s="52">
        <v>-4.8499999999999996</v>
      </c>
      <c r="R6" s="51">
        <v>-1460550</v>
      </c>
      <c r="S6" s="51">
        <v>1295628</v>
      </c>
      <c r="T6" s="50" t="s">
        <v>269</v>
      </c>
      <c r="U6" s="49" t="s">
        <v>343</v>
      </c>
      <c r="V6" s="48" t="s">
        <v>342</v>
      </c>
      <c r="W6" s="48" t="s">
        <v>342</v>
      </c>
    </row>
    <row r="7" spans="1:23">
      <c r="A7" s="40" t="s">
        <v>550</v>
      </c>
      <c r="B7" s="40" t="s">
        <v>399</v>
      </c>
      <c r="C7" s="39" t="s">
        <v>625</v>
      </c>
      <c r="D7" s="47" t="s">
        <v>338</v>
      </c>
      <c r="E7" s="40" t="s">
        <v>314</v>
      </c>
      <c r="F7" s="39" t="s">
        <v>315</v>
      </c>
      <c r="G7" s="42">
        <v>2.21</v>
      </c>
      <c r="H7" s="42">
        <v>3.09</v>
      </c>
      <c r="I7" s="41">
        <v>226758980</v>
      </c>
      <c r="J7" s="41">
        <v>19947</v>
      </c>
      <c r="K7" s="46">
        <v>11368.07</v>
      </c>
      <c r="L7" s="70">
        <v>11900</v>
      </c>
      <c r="M7" s="69" t="s">
        <v>362</v>
      </c>
      <c r="N7" s="68" t="s">
        <v>443</v>
      </c>
      <c r="O7" s="67">
        <v>-2.06</v>
      </c>
      <c r="P7" s="41">
        <v>10610320</v>
      </c>
      <c r="Q7" s="42">
        <v>4.68</v>
      </c>
      <c r="R7" s="41">
        <v>-4335150</v>
      </c>
      <c r="S7" s="41">
        <v>200780</v>
      </c>
      <c r="T7" s="40" t="s">
        <v>269</v>
      </c>
      <c r="U7" s="39" t="s">
        <v>343</v>
      </c>
      <c r="V7" s="38" t="s">
        <v>342</v>
      </c>
      <c r="W7" s="38" t="s">
        <v>342</v>
      </c>
    </row>
    <row r="8" spans="1:23">
      <c r="A8" s="50" t="s">
        <v>549</v>
      </c>
      <c r="B8" s="50" t="s">
        <v>399</v>
      </c>
      <c r="C8" s="49" t="s">
        <v>625</v>
      </c>
      <c r="D8" s="57" t="s">
        <v>338</v>
      </c>
      <c r="E8" s="50" t="s">
        <v>284</v>
      </c>
      <c r="F8" s="49" t="s">
        <v>285</v>
      </c>
      <c r="G8" s="52">
        <v>1.9</v>
      </c>
      <c r="H8" s="52">
        <v>2.67</v>
      </c>
      <c r="I8" s="51">
        <v>222885190</v>
      </c>
      <c r="J8" s="51">
        <v>3177</v>
      </c>
      <c r="K8" s="56">
        <v>70155.87</v>
      </c>
      <c r="L8" s="51">
        <v>64400</v>
      </c>
      <c r="M8" s="55" t="s">
        <v>269</v>
      </c>
      <c r="N8" s="54" t="s">
        <v>342</v>
      </c>
      <c r="O8" s="53">
        <v>0</v>
      </c>
      <c r="P8" s="51">
        <v>-18286390</v>
      </c>
      <c r="Q8" s="52">
        <v>-8.1999999999999993</v>
      </c>
      <c r="R8" s="51">
        <v>0</v>
      </c>
      <c r="S8" s="51">
        <v>726330</v>
      </c>
      <c r="T8" s="50" t="s">
        <v>269</v>
      </c>
      <c r="U8" s="49" t="s">
        <v>343</v>
      </c>
      <c r="V8" s="48" t="s">
        <v>342</v>
      </c>
      <c r="W8" s="48" t="s">
        <v>342</v>
      </c>
    </row>
    <row r="9" spans="1:23">
      <c r="A9" s="40" t="s">
        <v>548</v>
      </c>
      <c r="B9" s="40" t="s">
        <v>399</v>
      </c>
      <c r="C9" s="39" t="s">
        <v>625</v>
      </c>
      <c r="D9" s="47" t="s">
        <v>338</v>
      </c>
      <c r="E9" s="40" t="s">
        <v>14</v>
      </c>
      <c r="F9" s="39" t="s">
        <v>15</v>
      </c>
      <c r="G9" s="42">
        <v>1.02</v>
      </c>
      <c r="H9" s="42">
        <v>1.43</v>
      </c>
      <c r="I9" s="41">
        <v>104575218</v>
      </c>
      <c r="J9" s="41">
        <v>824</v>
      </c>
      <c r="K9" s="46">
        <v>126911.67</v>
      </c>
      <c r="L9" s="66">
        <v>133500</v>
      </c>
      <c r="M9" s="65" t="s">
        <v>367</v>
      </c>
      <c r="N9" s="64" t="s">
        <v>382</v>
      </c>
      <c r="O9" s="63">
        <v>1.1399999999999999</v>
      </c>
      <c r="P9" s="41">
        <v>5428782</v>
      </c>
      <c r="Q9" s="42">
        <v>5.19</v>
      </c>
      <c r="R9" s="41">
        <v>1236000</v>
      </c>
      <c r="S9" s="41">
        <v>2931518</v>
      </c>
      <c r="T9" s="40" t="s">
        <v>269</v>
      </c>
      <c r="U9" s="39" t="s">
        <v>343</v>
      </c>
      <c r="V9" s="38" t="s">
        <v>342</v>
      </c>
      <c r="W9" s="38" t="s">
        <v>342</v>
      </c>
    </row>
    <row r="10" spans="1:23">
      <c r="A10" s="50" t="s">
        <v>547</v>
      </c>
      <c r="B10" s="50" t="s">
        <v>399</v>
      </c>
      <c r="C10" s="49" t="s">
        <v>625</v>
      </c>
      <c r="D10" s="57" t="s">
        <v>338</v>
      </c>
      <c r="E10" s="50" t="s">
        <v>16</v>
      </c>
      <c r="F10" s="49" t="s">
        <v>17</v>
      </c>
      <c r="G10" s="52">
        <v>2.02</v>
      </c>
      <c r="H10" s="52">
        <v>2.82</v>
      </c>
      <c r="I10" s="51">
        <v>200208605</v>
      </c>
      <c r="J10" s="51">
        <v>974</v>
      </c>
      <c r="K10" s="56">
        <v>205552.98</v>
      </c>
      <c r="L10" s="62">
        <v>222500</v>
      </c>
      <c r="M10" s="61" t="s">
        <v>362</v>
      </c>
      <c r="N10" s="60" t="s">
        <v>398</v>
      </c>
      <c r="O10" s="59">
        <v>-0.89</v>
      </c>
      <c r="P10" s="51">
        <v>16506395</v>
      </c>
      <c r="Q10" s="52">
        <v>8.24</v>
      </c>
      <c r="R10" s="51">
        <v>-1948000</v>
      </c>
      <c r="S10" s="51">
        <v>2679038</v>
      </c>
      <c r="T10" s="50" t="s">
        <v>269</v>
      </c>
      <c r="U10" s="49" t="s">
        <v>343</v>
      </c>
      <c r="V10" s="48" t="s">
        <v>342</v>
      </c>
      <c r="W10" s="48" t="s">
        <v>342</v>
      </c>
    </row>
    <row r="11" spans="1:23">
      <c r="A11" s="40" t="s">
        <v>546</v>
      </c>
      <c r="B11" s="40" t="s">
        <v>399</v>
      </c>
      <c r="C11" s="39" t="s">
        <v>625</v>
      </c>
      <c r="D11" s="47" t="s">
        <v>338</v>
      </c>
      <c r="E11" s="40" t="s">
        <v>20</v>
      </c>
      <c r="F11" s="39" t="s">
        <v>21</v>
      </c>
      <c r="G11" s="42">
        <v>4.8499999999999996</v>
      </c>
      <c r="H11" s="42">
        <v>6.79</v>
      </c>
      <c r="I11" s="41">
        <v>443684514</v>
      </c>
      <c r="J11" s="41">
        <v>323</v>
      </c>
      <c r="K11" s="46">
        <v>1373636.27</v>
      </c>
      <c r="L11" s="70">
        <v>1612000</v>
      </c>
      <c r="M11" s="69" t="s">
        <v>362</v>
      </c>
      <c r="N11" s="68" t="s">
        <v>545</v>
      </c>
      <c r="O11" s="67">
        <v>-1.65</v>
      </c>
      <c r="P11" s="41">
        <v>76991486</v>
      </c>
      <c r="Q11" s="42">
        <v>17.350000000000001</v>
      </c>
      <c r="R11" s="41">
        <v>-8721000</v>
      </c>
      <c r="S11" s="41">
        <v>4133606</v>
      </c>
      <c r="T11" s="40" t="s">
        <v>269</v>
      </c>
      <c r="U11" s="39" t="s">
        <v>343</v>
      </c>
      <c r="V11" s="38" t="s">
        <v>342</v>
      </c>
      <c r="W11" s="38" t="s">
        <v>342</v>
      </c>
    </row>
    <row r="12" spans="1:23">
      <c r="A12" s="50" t="s">
        <v>366</v>
      </c>
      <c r="B12" s="50" t="s">
        <v>399</v>
      </c>
      <c r="C12" s="49" t="s">
        <v>625</v>
      </c>
      <c r="D12" s="57" t="s">
        <v>338</v>
      </c>
      <c r="E12" s="50" t="s">
        <v>286</v>
      </c>
      <c r="F12" s="49" t="s">
        <v>287</v>
      </c>
      <c r="G12" s="52">
        <v>0.5</v>
      </c>
      <c r="H12" s="52">
        <v>0.7</v>
      </c>
      <c r="I12" s="51">
        <v>47423231</v>
      </c>
      <c r="J12" s="51">
        <v>2874</v>
      </c>
      <c r="K12" s="56">
        <v>16500.78</v>
      </c>
      <c r="L12" s="62">
        <v>18900</v>
      </c>
      <c r="M12" s="61" t="s">
        <v>362</v>
      </c>
      <c r="N12" s="60" t="s">
        <v>453</v>
      </c>
      <c r="O12" s="59">
        <v>-0.26</v>
      </c>
      <c r="P12" s="51">
        <v>6895369</v>
      </c>
      <c r="Q12" s="52">
        <v>14.54</v>
      </c>
      <c r="R12" s="51">
        <v>-143700</v>
      </c>
      <c r="S12" s="51">
        <v>973422</v>
      </c>
      <c r="T12" s="50" t="s">
        <v>269</v>
      </c>
      <c r="U12" s="49" t="s">
        <v>343</v>
      </c>
      <c r="V12" s="48" t="s">
        <v>342</v>
      </c>
      <c r="W12" s="48" t="s">
        <v>342</v>
      </c>
    </row>
    <row r="13" spans="1:23">
      <c r="A13" s="40" t="s">
        <v>544</v>
      </c>
      <c r="B13" s="40" t="s">
        <v>399</v>
      </c>
      <c r="C13" s="39" t="s">
        <v>625</v>
      </c>
      <c r="D13" s="47" t="s">
        <v>338</v>
      </c>
      <c r="E13" s="40" t="s">
        <v>543</v>
      </c>
      <c r="F13" s="39" t="s">
        <v>542</v>
      </c>
      <c r="G13" s="42">
        <v>2.0299999999999998</v>
      </c>
      <c r="H13" s="42">
        <v>2.84</v>
      </c>
      <c r="I13" s="41">
        <v>202525584</v>
      </c>
      <c r="J13" s="41">
        <v>7373</v>
      </c>
      <c r="K13" s="46">
        <v>27468.55</v>
      </c>
      <c r="L13" s="70">
        <v>29600</v>
      </c>
      <c r="M13" s="69" t="s">
        <v>362</v>
      </c>
      <c r="N13" s="68" t="s">
        <v>453</v>
      </c>
      <c r="O13" s="67">
        <v>-0.17</v>
      </c>
      <c r="P13" s="41">
        <v>15715216</v>
      </c>
      <c r="Q13" s="42">
        <v>7.76</v>
      </c>
      <c r="R13" s="41">
        <v>-368650</v>
      </c>
      <c r="S13" s="41">
        <v>1594894</v>
      </c>
      <c r="T13" s="40" t="s">
        <v>269</v>
      </c>
      <c r="U13" s="39" t="s">
        <v>343</v>
      </c>
      <c r="V13" s="38" t="s">
        <v>342</v>
      </c>
      <c r="W13" s="38" t="s">
        <v>342</v>
      </c>
    </row>
    <row r="14" spans="1:23">
      <c r="A14" s="50" t="s">
        <v>541</v>
      </c>
      <c r="B14" s="50" t="s">
        <v>399</v>
      </c>
      <c r="C14" s="49" t="s">
        <v>625</v>
      </c>
      <c r="D14" s="57" t="s">
        <v>338</v>
      </c>
      <c r="E14" s="50" t="s">
        <v>303</v>
      </c>
      <c r="F14" s="49" t="s">
        <v>304</v>
      </c>
      <c r="G14" s="52">
        <v>0.47</v>
      </c>
      <c r="H14" s="52">
        <v>0.66</v>
      </c>
      <c r="I14" s="51">
        <v>55037895</v>
      </c>
      <c r="J14" s="51">
        <v>37508</v>
      </c>
      <c r="K14" s="56">
        <v>1467.36</v>
      </c>
      <c r="L14" s="62">
        <v>1365</v>
      </c>
      <c r="M14" s="61" t="s">
        <v>362</v>
      </c>
      <c r="N14" s="60" t="s">
        <v>527</v>
      </c>
      <c r="O14" s="59">
        <v>-1.44</v>
      </c>
      <c r="P14" s="51">
        <v>-3839475</v>
      </c>
      <c r="Q14" s="52">
        <v>-6.98</v>
      </c>
      <c r="R14" s="51">
        <v>-750160</v>
      </c>
      <c r="S14" s="51">
        <v>51630</v>
      </c>
      <c r="T14" s="50" t="s">
        <v>269</v>
      </c>
      <c r="U14" s="49" t="s">
        <v>343</v>
      </c>
      <c r="V14" s="48" t="s">
        <v>342</v>
      </c>
      <c r="W14" s="48" t="s">
        <v>342</v>
      </c>
    </row>
    <row r="15" spans="1:23">
      <c r="A15" s="40" t="s">
        <v>539</v>
      </c>
      <c r="B15" s="40" t="s">
        <v>399</v>
      </c>
      <c r="C15" s="39" t="s">
        <v>625</v>
      </c>
      <c r="D15" s="47" t="s">
        <v>338</v>
      </c>
      <c r="E15" s="40" t="s">
        <v>24</v>
      </c>
      <c r="F15" s="39" t="s">
        <v>25</v>
      </c>
      <c r="G15" s="42">
        <v>2.0099999999999998</v>
      </c>
      <c r="H15" s="42">
        <v>2.81</v>
      </c>
      <c r="I15" s="41">
        <v>206337780</v>
      </c>
      <c r="J15" s="41">
        <v>3217</v>
      </c>
      <c r="K15" s="46">
        <v>64139.81</v>
      </c>
      <c r="L15" s="66">
        <v>67000</v>
      </c>
      <c r="M15" s="65" t="s">
        <v>367</v>
      </c>
      <c r="N15" s="64" t="s">
        <v>540</v>
      </c>
      <c r="O15" s="63">
        <v>1.36</v>
      </c>
      <c r="P15" s="41">
        <v>9201220</v>
      </c>
      <c r="Q15" s="42">
        <v>4.46</v>
      </c>
      <c r="R15" s="41">
        <v>2480700</v>
      </c>
      <c r="S15" s="41">
        <v>851024</v>
      </c>
      <c r="T15" s="40" t="s">
        <v>269</v>
      </c>
      <c r="U15" s="39" t="s">
        <v>343</v>
      </c>
      <c r="V15" s="38" t="s">
        <v>342</v>
      </c>
      <c r="W15" s="38" t="s">
        <v>342</v>
      </c>
    </row>
    <row r="16" spans="1:23">
      <c r="A16" s="50" t="s">
        <v>538</v>
      </c>
      <c r="B16" s="50" t="s">
        <v>399</v>
      </c>
      <c r="C16" s="49" t="s">
        <v>625</v>
      </c>
      <c r="D16" s="57" t="s">
        <v>338</v>
      </c>
      <c r="E16" s="50" t="s">
        <v>28</v>
      </c>
      <c r="F16" s="49" t="s">
        <v>29</v>
      </c>
      <c r="G16" s="52">
        <v>1.31</v>
      </c>
      <c r="H16" s="52">
        <v>1.84</v>
      </c>
      <c r="I16" s="51">
        <v>82093529</v>
      </c>
      <c r="J16" s="51">
        <v>2458</v>
      </c>
      <c r="K16" s="56">
        <v>33398.51</v>
      </c>
      <c r="L16" s="62">
        <v>57400</v>
      </c>
      <c r="M16" s="61" t="s">
        <v>362</v>
      </c>
      <c r="N16" s="60" t="s">
        <v>355</v>
      </c>
      <c r="O16" s="59">
        <v>-0.17</v>
      </c>
      <c r="P16" s="51">
        <v>58995671</v>
      </c>
      <c r="Q16" s="52">
        <v>71.86</v>
      </c>
      <c r="R16" s="51">
        <v>-245800</v>
      </c>
      <c r="S16" s="51">
        <v>572248</v>
      </c>
      <c r="T16" s="50" t="s">
        <v>269</v>
      </c>
      <c r="U16" s="49" t="s">
        <v>343</v>
      </c>
      <c r="V16" s="48" t="s">
        <v>342</v>
      </c>
      <c r="W16" s="48" t="s">
        <v>342</v>
      </c>
    </row>
    <row r="17" spans="1:23">
      <c r="A17" s="40" t="s">
        <v>537</v>
      </c>
      <c r="B17" s="40" t="s">
        <v>399</v>
      </c>
      <c r="C17" s="39" t="s">
        <v>625</v>
      </c>
      <c r="D17" s="47" t="s">
        <v>338</v>
      </c>
      <c r="E17" s="40" t="s">
        <v>30</v>
      </c>
      <c r="F17" s="39" t="s">
        <v>31</v>
      </c>
      <c r="G17" s="42">
        <v>0.95</v>
      </c>
      <c r="H17" s="42">
        <v>1.33</v>
      </c>
      <c r="I17" s="41">
        <v>108682777</v>
      </c>
      <c r="J17" s="41">
        <v>209</v>
      </c>
      <c r="K17" s="46">
        <v>520013.29</v>
      </c>
      <c r="L17" s="66">
        <v>490000</v>
      </c>
      <c r="M17" s="65" t="s">
        <v>367</v>
      </c>
      <c r="N17" s="64" t="s">
        <v>451</v>
      </c>
      <c r="O17" s="63">
        <v>0.82</v>
      </c>
      <c r="P17" s="41">
        <v>-6272777</v>
      </c>
      <c r="Q17" s="42">
        <v>-5.77</v>
      </c>
      <c r="R17" s="41">
        <v>836000</v>
      </c>
      <c r="S17" s="41">
        <v>2630614</v>
      </c>
      <c r="T17" s="40" t="s">
        <v>269</v>
      </c>
      <c r="U17" s="39" t="s">
        <v>343</v>
      </c>
      <c r="V17" s="38" t="s">
        <v>342</v>
      </c>
      <c r="W17" s="38" t="s">
        <v>342</v>
      </c>
    </row>
    <row r="18" spans="1:23">
      <c r="A18" s="50" t="s">
        <v>534</v>
      </c>
      <c r="B18" s="50" t="s">
        <v>399</v>
      </c>
      <c r="C18" s="49" t="s">
        <v>625</v>
      </c>
      <c r="D18" s="57" t="s">
        <v>338</v>
      </c>
      <c r="E18" s="50" t="s">
        <v>536</v>
      </c>
      <c r="F18" s="49" t="s">
        <v>535</v>
      </c>
      <c r="G18" s="52">
        <v>1.1100000000000001</v>
      </c>
      <c r="H18" s="52">
        <v>1.55</v>
      </c>
      <c r="I18" s="51">
        <v>131356310</v>
      </c>
      <c r="J18" s="51">
        <v>2217</v>
      </c>
      <c r="K18" s="56">
        <v>59249.58</v>
      </c>
      <c r="L18" s="76">
        <v>53900</v>
      </c>
      <c r="M18" s="75" t="s">
        <v>367</v>
      </c>
      <c r="N18" s="74" t="s">
        <v>371</v>
      </c>
      <c r="O18" s="73">
        <v>0.56000000000000005</v>
      </c>
      <c r="P18" s="51">
        <v>-11860010</v>
      </c>
      <c r="Q18" s="52">
        <v>-9.0299999999999994</v>
      </c>
      <c r="R18" s="51">
        <v>665100</v>
      </c>
      <c r="S18" s="51">
        <v>1401124</v>
      </c>
      <c r="T18" s="50" t="s">
        <v>269</v>
      </c>
      <c r="U18" s="49" t="s">
        <v>343</v>
      </c>
      <c r="V18" s="48" t="s">
        <v>342</v>
      </c>
      <c r="W18" s="48" t="s">
        <v>342</v>
      </c>
    </row>
    <row r="19" spans="1:23">
      <c r="A19" s="40" t="s">
        <v>531</v>
      </c>
      <c r="B19" s="40" t="s">
        <v>399</v>
      </c>
      <c r="C19" s="39" t="s">
        <v>625</v>
      </c>
      <c r="D19" s="47" t="s">
        <v>338</v>
      </c>
      <c r="E19" s="40" t="s">
        <v>533</v>
      </c>
      <c r="F19" s="39" t="s">
        <v>532</v>
      </c>
      <c r="G19" s="42">
        <v>1.53</v>
      </c>
      <c r="H19" s="42">
        <v>2.14</v>
      </c>
      <c r="I19" s="41">
        <v>158659559</v>
      </c>
      <c r="J19" s="41">
        <v>635</v>
      </c>
      <c r="K19" s="46">
        <v>249857.57</v>
      </c>
      <c r="L19" s="66">
        <v>258500</v>
      </c>
      <c r="M19" s="65" t="s">
        <v>367</v>
      </c>
      <c r="N19" s="64" t="s">
        <v>437</v>
      </c>
      <c r="O19" s="63">
        <v>1.97</v>
      </c>
      <c r="P19" s="41">
        <v>5487941</v>
      </c>
      <c r="Q19" s="42">
        <v>3.46</v>
      </c>
      <c r="R19" s="41">
        <v>3175000</v>
      </c>
      <c r="S19" s="41">
        <v>1348998</v>
      </c>
      <c r="T19" s="40" t="s">
        <v>269</v>
      </c>
      <c r="U19" s="39" t="s">
        <v>343</v>
      </c>
      <c r="V19" s="38" t="s">
        <v>342</v>
      </c>
      <c r="W19" s="38" t="s">
        <v>342</v>
      </c>
    </row>
    <row r="20" spans="1:23">
      <c r="A20" s="50" t="s">
        <v>530</v>
      </c>
      <c r="B20" s="50" t="s">
        <v>399</v>
      </c>
      <c r="C20" s="49" t="s">
        <v>625</v>
      </c>
      <c r="D20" s="57" t="s">
        <v>338</v>
      </c>
      <c r="E20" s="50" t="s">
        <v>272</v>
      </c>
      <c r="F20" s="49" t="s">
        <v>273</v>
      </c>
      <c r="G20" s="52">
        <v>0.98</v>
      </c>
      <c r="H20" s="52">
        <v>1.37</v>
      </c>
      <c r="I20" s="51">
        <v>91483774</v>
      </c>
      <c r="J20" s="51">
        <v>1861</v>
      </c>
      <c r="K20" s="78">
        <v>49158.400000000001</v>
      </c>
      <c r="L20" s="62">
        <v>56700</v>
      </c>
      <c r="M20" s="61" t="s">
        <v>362</v>
      </c>
      <c r="N20" s="60" t="s">
        <v>528</v>
      </c>
      <c r="O20" s="59">
        <v>-2.74</v>
      </c>
      <c r="P20" s="51">
        <v>14034926</v>
      </c>
      <c r="Q20" s="52">
        <v>15.34</v>
      </c>
      <c r="R20" s="51">
        <v>-2977600</v>
      </c>
      <c r="S20" s="51">
        <v>222784</v>
      </c>
      <c r="T20" s="50" t="s">
        <v>269</v>
      </c>
      <c r="U20" s="49" t="s">
        <v>343</v>
      </c>
      <c r="V20" s="48" t="s">
        <v>342</v>
      </c>
      <c r="W20" s="48" t="s">
        <v>342</v>
      </c>
    </row>
    <row r="21" spans="1:23">
      <c r="A21" s="40" t="s">
        <v>529</v>
      </c>
      <c r="B21" s="40" t="s">
        <v>399</v>
      </c>
      <c r="C21" s="39" t="s">
        <v>625</v>
      </c>
      <c r="D21" s="47" t="s">
        <v>338</v>
      </c>
      <c r="E21" s="40" t="s">
        <v>36</v>
      </c>
      <c r="F21" s="39" t="s">
        <v>37</v>
      </c>
      <c r="G21" s="42">
        <v>0.94</v>
      </c>
      <c r="H21" s="42">
        <v>1.31</v>
      </c>
      <c r="I21" s="41">
        <v>141397154</v>
      </c>
      <c r="J21" s="41">
        <v>1112</v>
      </c>
      <c r="K21" s="46">
        <v>127155.71</v>
      </c>
      <c r="L21" s="70">
        <v>90900</v>
      </c>
      <c r="M21" s="69" t="s">
        <v>362</v>
      </c>
      <c r="N21" s="68" t="s">
        <v>391</v>
      </c>
      <c r="O21" s="67">
        <v>-0.87</v>
      </c>
      <c r="P21" s="41">
        <v>-40316354</v>
      </c>
      <c r="Q21" s="42">
        <v>-28.51</v>
      </c>
      <c r="R21" s="41">
        <v>-889600</v>
      </c>
      <c r="S21" s="41">
        <v>223250</v>
      </c>
      <c r="T21" s="40" t="s">
        <v>269</v>
      </c>
      <c r="U21" s="39" t="s">
        <v>343</v>
      </c>
      <c r="V21" s="38" t="s">
        <v>342</v>
      </c>
      <c r="W21" s="38" t="s">
        <v>342</v>
      </c>
    </row>
    <row r="22" spans="1:23">
      <c r="A22" s="50" t="s">
        <v>527</v>
      </c>
      <c r="B22" s="50" t="s">
        <v>399</v>
      </c>
      <c r="C22" s="49" t="s">
        <v>625</v>
      </c>
      <c r="D22" s="57" t="s">
        <v>338</v>
      </c>
      <c r="E22" s="50" t="s">
        <v>258</v>
      </c>
      <c r="F22" s="49" t="s">
        <v>259</v>
      </c>
      <c r="G22" s="52">
        <v>3.22</v>
      </c>
      <c r="H22" s="52">
        <v>4.51</v>
      </c>
      <c r="I22" s="51">
        <v>304380599</v>
      </c>
      <c r="J22" s="51">
        <v>4910</v>
      </c>
      <c r="K22" s="56">
        <v>61991.98</v>
      </c>
      <c r="L22" s="76">
        <v>70500</v>
      </c>
      <c r="M22" s="75" t="s">
        <v>367</v>
      </c>
      <c r="N22" s="74" t="s">
        <v>528</v>
      </c>
      <c r="O22" s="73">
        <v>2.3199999999999998</v>
      </c>
      <c r="P22" s="51">
        <v>41774401</v>
      </c>
      <c r="Q22" s="52">
        <v>13.72</v>
      </c>
      <c r="R22" s="51">
        <v>7856000</v>
      </c>
      <c r="S22" s="51">
        <v>921840</v>
      </c>
      <c r="T22" s="50" t="s">
        <v>269</v>
      </c>
      <c r="U22" s="49" t="s">
        <v>343</v>
      </c>
      <c r="V22" s="48" t="s">
        <v>342</v>
      </c>
      <c r="W22" s="48" t="s">
        <v>342</v>
      </c>
    </row>
    <row r="23" spans="1:23">
      <c r="A23" s="40" t="s">
        <v>526</v>
      </c>
      <c r="B23" s="40" t="s">
        <v>399</v>
      </c>
      <c r="C23" s="39" t="s">
        <v>625</v>
      </c>
      <c r="D23" s="47" t="s">
        <v>338</v>
      </c>
      <c r="E23" s="40" t="s">
        <v>328</v>
      </c>
      <c r="F23" s="39" t="s">
        <v>329</v>
      </c>
      <c r="G23" s="42">
        <v>1.41</v>
      </c>
      <c r="H23" s="42">
        <v>1.97</v>
      </c>
      <c r="I23" s="41">
        <v>153883220</v>
      </c>
      <c r="J23" s="41">
        <v>27093</v>
      </c>
      <c r="K23" s="46">
        <v>5679.81</v>
      </c>
      <c r="L23" s="70">
        <v>5590</v>
      </c>
      <c r="M23" s="69" t="s">
        <v>362</v>
      </c>
      <c r="N23" s="68" t="s">
        <v>355</v>
      </c>
      <c r="O23" s="67">
        <v>-1.76</v>
      </c>
      <c r="P23" s="41">
        <v>-2433350</v>
      </c>
      <c r="Q23" s="42">
        <v>-1.58</v>
      </c>
      <c r="R23" s="41">
        <v>-2709300</v>
      </c>
      <c r="S23" s="41">
        <v>147140</v>
      </c>
      <c r="T23" s="40" t="s">
        <v>269</v>
      </c>
      <c r="U23" s="39" t="s">
        <v>343</v>
      </c>
      <c r="V23" s="38" t="s">
        <v>342</v>
      </c>
      <c r="W23" s="38" t="s">
        <v>342</v>
      </c>
    </row>
    <row r="24" spans="1:23">
      <c r="A24" s="50" t="s">
        <v>523</v>
      </c>
      <c r="B24" s="50" t="s">
        <v>399</v>
      </c>
      <c r="C24" s="49" t="s">
        <v>625</v>
      </c>
      <c r="D24" s="57" t="s">
        <v>338</v>
      </c>
      <c r="E24" s="50" t="s">
        <v>525</v>
      </c>
      <c r="F24" s="49" t="s">
        <v>524</v>
      </c>
      <c r="G24" s="52">
        <v>0.99</v>
      </c>
      <c r="H24" s="52">
        <v>1.39</v>
      </c>
      <c r="I24" s="51">
        <v>110211750</v>
      </c>
      <c r="J24" s="51">
        <v>2814</v>
      </c>
      <c r="K24" s="56">
        <v>39165.51</v>
      </c>
      <c r="L24" s="62">
        <v>38050</v>
      </c>
      <c r="M24" s="61" t="s">
        <v>362</v>
      </c>
      <c r="N24" s="60" t="s">
        <v>414</v>
      </c>
      <c r="O24" s="59">
        <v>-0.52</v>
      </c>
      <c r="P24" s="51">
        <v>-3139050</v>
      </c>
      <c r="Q24" s="52">
        <v>-2.85</v>
      </c>
      <c r="R24" s="51">
        <v>-562800</v>
      </c>
      <c r="S24" s="51">
        <v>716252</v>
      </c>
      <c r="T24" s="50" t="s">
        <v>269</v>
      </c>
      <c r="U24" s="49" t="s">
        <v>343</v>
      </c>
      <c r="V24" s="48" t="s">
        <v>342</v>
      </c>
      <c r="W24" s="48" t="s">
        <v>342</v>
      </c>
    </row>
    <row r="25" spans="1:23">
      <c r="A25" s="40" t="s">
        <v>520</v>
      </c>
      <c r="B25" s="40" t="s">
        <v>399</v>
      </c>
      <c r="C25" s="39" t="s">
        <v>625</v>
      </c>
      <c r="D25" s="47" t="s">
        <v>338</v>
      </c>
      <c r="E25" s="40" t="s">
        <v>522</v>
      </c>
      <c r="F25" s="39" t="s">
        <v>521</v>
      </c>
      <c r="G25" s="42">
        <v>2.2000000000000002</v>
      </c>
      <c r="H25" s="42">
        <v>3.07</v>
      </c>
      <c r="I25" s="41">
        <v>223973780</v>
      </c>
      <c r="J25" s="41">
        <v>20250</v>
      </c>
      <c r="K25" s="46">
        <v>11060.43</v>
      </c>
      <c r="L25" s="70">
        <v>11650</v>
      </c>
      <c r="M25" s="69" t="s">
        <v>362</v>
      </c>
      <c r="N25" s="68" t="s">
        <v>355</v>
      </c>
      <c r="O25" s="67">
        <v>-0.85</v>
      </c>
      <c r="P25" s="41">
        <v>11938720</v>
      </c>
      <c r="Q25" s="42">
        <v>5.33</v>
      </c>
      <c r="R25" s="41">
        <v>-2025000</v>
      </c>
      <c r="S25" s="41">
        <v>223730</v>
      </c>
      <c r="T25" s="40" t="s">
        <v>269</v>
      </c>
      <c r="U25" s="39" t="s">
        <v>343</v>
      </c>
      <c r="V25" s="38" t="s">
        <v>342</v>
      </c>
      <c r="W25" s="38" t="s">
        <v>342</v>
      </c>
    </row>
    <row r="26" spans="1:23">
      <c r="A26" s="50" t="s">
        <v>516</v>
      </c>
      <c r="B26" s="50" t="s">
        <v>399</v>
      </c>
      <c r="C26" s="49" t="s">
        <v>625</v>
      </c>
      <c r="D26" s="57" t="s">
        <v>338</v>
      </c>
      <c r="E26" s="50" t="s">
        <v>519</v>
      </c>
      <c r="F26" s="49" t="s">
        <v>518</v>
      </c>
      <c r="G26" s="52">
        <v>1.21</v>
      </c>
      <c r="H26" s="52">
        <v>1.7</v>
      </c>
      <c r="I26" s="51">
        <v>131135170</v>
      </c>
      <c r="J26" s="51">
        <v>1710</v>
      </c>
      <c r="K26" s="56">
        <v>76687.23</v>
      </c>
      <c r="L26" s="76">
        <v>76200</v>
      </c>
      <c r="M26" s="75" t="s">
        <v>367</v>
      </c>
      <c r="N26" s="74" t="s">
        <v>517</v>
      </c>
      <c r="O26" s="73">
        <v>5.39</v>
      </c>
      <c r="P26" s="51">
        <v>-833170</v>
      </c>
      <c r="Q26" s="52">
        <v>-0.64</v>
      </c>
      <c r="R26" s="51">
        <v>6669000</v>
      </c>
      <c r="S26" s="51">
        <v>114070</v>
      </c>
      <c r="T26" s="50" t="s">
        <v>269</v>
      </c>
      <c r="U26" s="49" t="s">
        <v>343</v>
      </c>
      <c r="V26" s="48" t="s">
        <v>342</v>
      </c>
      <c r="W26" s="48" t="s">
        <v>342</v>
      </c>
    </row>
    <row r="27" spans="1:23">
      <c r="A27" s="40" t="s">
        <v>512</v>
      </c>
      <c r="B27" s="40" t="s">
        <v>399</v>
      </c>
      <c r="C27" s="39" t="s">
        <v>625</v>
      </c>
      <c r="D27" s="47" t="s">
        <v>338</v>
      </c>
      <c r="E27" s="40" t="s">
        <v>515</v>
      </c>
      <c r="F27" s="39" t="s">
        <v>514</v>
      </c>
      <c r="G27" s="42">
        <v>1.43</v>
      </c>
      <c r="H27" s="42">
        <v>2.0099999999999998</v>
      </c>
      <c r="I27" s="41">
        <v>157586400</v>
      </c>
      <c r="J27" s="41">
        <v>981</v>
      </c>
      <c r="K27" s="46">
        <v>160638.53</v>
      </c>
      <c r="L27" s="66">
        <v>157000</v>
      </c>
      <c r="M27" s="65" t="s">
        <v>367</v>
      </c>
      <c r="N27" s="64" t="s">
        <v>513</v>
      </c>
      <c r="O27" s="63">
        <v>4.67</v>
      </c>
      <c r="P27" s="41">
        <v>-3569400</v>
      </c>
      <c r="Q27" s="42">
        <v>-2.27</v>
      </c>
      <c r="R27" s="41">
        <v>6867000</v>
      </c>
      <c r="S27" s="41">
        <v>157400</v>
      </c>
      <c r="T27" s="40" t="s">
        <v>269</v>
      </c>
      <c r="U27" s="39" t="s">
        <v>343</v>
      </c>
      <c r="V27" s="38" t="s">
        <v>342</v>
      </c>
      <c r="W27" s="38" t="s">
        <v>342</v>
      </c>
    </row>
    <row r="28" spans="1:23">
      <c r="A28" s="50" t="s">
        <v>511</v>
      </c>
      <c r="B28" s="50" t="s">
        <v>399</v>
      </c>
      <c r="C28" s="49" t="s">
        <v>625</v>
      </c>
      <c r="D28" s="57" t="s">
        <v>338</v>
      </c>
      <c r="E28" s="50" t="s">
        <v>48</v>
      </c>
      <c r="F28" s="49" t="s">
        <v>49</v>
      </c>
      <c r="G28" s="52">
        <v>2.5</v>
      </c>
      <c r="H28" s="52">
        <v>3.5</v>
      </c>
      <c r="I28" s="51">
        <v>259628060</v>
      </c>
      <c r="J28" s="51">
        <v>8798</v>
      </c>
      <c r="K28" s="78">
        <v>29509.9</v>
      </c>
      <c r="L28" s="62">
        <v>30500</v>
      </c>
      <c r="M28" s="61" t="s">
        <v>362</v>
      </c>
      <c r="N28" s="60" t="s">
        <v>371</v>
      </c>
      <c r="O28" s="59">
        <v>-0.97</v>
      </c>
      <c r="P28" s="51">
        <v>8710940</v>
      </c>
      <c r="Q28" s="52">
        <v>3.36</v>
      </c>
      <c r="R28" s="51">
        <v>-2639400</v>
      </c>
      <c r="S28" s="51">
        <v>2821004</v>
      </c>
      <c r="T28" s="50" t="s">
        <v>269</v>
      </c>
      <c r="U28" s="49" t="s">
        <v>343</v>
      </c>
      <c r="V28" s="48" t="s">
        <v>342</v>
      </c>
      <c r="W28" s="48" t="s">
        <v>342</v>
      </c>
    </row>
    <row r="29" spans="1:23">
      <c r="A29" s="40" t="s">
        <v>510</v>
      </c>
      <c r="B29" s="40" t="s">
        <v>399</v>
      </c>
      <c r="C29" s="39" t="s">
        <v>625</v>
      </c>
      <c r="D29" s="47" t="s">
        <v>338</v>
      </c>
      <c r="E29" s="40" t="s">
        <v>52</v>
      </c>
      <c r="F29" s="39" t="s">
        <v>53</v>
      </c>
      <c r="G29" s="42">
        <v>1.96</v>
      </c>
      <c r="H29" s="42">
        <v>2.75</v>
      </c>
      <c r="I29" s="41">
        <v>217302467</v>
      </c>
      <c r="J29" s="41">
        <v>991</v>
      </c>
      <c r="K29" s="46">
        <v>219275.95</v>
      </c>
      <c r="L29" s="70">
        <v>213000</v>
      </c>
      <c r="M29" s="69" t="s">
        <v>362</v>
      </c>
      <c r="N29" s="68" t="s">
        <v>384</v>
      </c>
      <c r="O29" s="67">
        <v>-0.47</v>
      </c>
      <c r="P29" s="41">
        <v>-6219467</v>
      </c>
      <c r="Q29" s="42">
        <v>-2.86</v>
      </c>
      <c r="R29" s="41">
        <v>-991000</v>
      </c>
      <c r="S29" s="41">
        <v>3494564</v>
      </c>
      <c r="T29" s="40" t="s">
        <v>269</v>
      </c>
      <c r="U29" s="39" t="s">
        <v>343</v>
      </c>
      <c r="V29" s="38" t="s">
        <v>342</v>
      </c>
      <c r="W29" s="38" t="s">
        <v>342</v>
      </c>
    </row>
    <row r="30" spans="1:23">
      <c r="A30" s="50" t="s">
        <v>507</v>
      </c>
      <c r="B30" s="50" t="s">
        <v>399</v>
      </c>
      <c r="C30" s="49" t="s">
        <v>625</v>
      </c>
      <c r="D30" s="57" t="s">
        <v>338</v>
      </c>
      <c r="E30" s="50" t="s">
        <v>248</v>
      </c>
      <c r="F30" s="49" t="s">
        <v>249</v>
      </c>
      <c r="G30" s="52">
        <v>0.37</v>
      </c>
      <c r="H30" s="52">
        <v>0.52</v>
      </c>
      <c r="I30" s="51">
        <v>45002512</v>
      </c>
      <c r="J30" s="51">
        <v>1312</v>
      </c>
      <c r="K30" s="78">
        <v>34300.699999999997</v>
      </c>
      <c r="L30" s="76">
        <v>30500</v>
      </c>
      <c r="M30" s="75" t="s">
        <v>367</v>
      </c>
      <c r="N30" s="74" t="s">
        <v>453</v>
      </c>
      <c r="O30" s="73">
        <v>0.16</v>
      </c>
      <c r="P30" s="51">
        <v>-4986512</v>
      </c>
      <c r="Q30" s="52">
        <v>-11.08</v>
      </c>
      <c r="R30" s="51">
        <v>65600</v>
      </c>
      <c r="S30" s="51">
        <v>183870</v>
      </c>
      <c r="T30" s="50" t="s">
        <v>269</v>
      </c>
      <c r="U30" s="49" t="s">
        <v>343</v>
      </c>
      <c r="V30" s="48" t="s">
        <v>342</v>
      </c>
      <c r="W30" s="48" t="s">
        <v>342</v>
      </c>
    </row>
    <row r="31" spans="1:23">
      <c r="A31" s="40" t="s">
        <v>504</v>
      </c>
      <c r="B31" s="40" t="s">
        <v>399</v>
      </c>
      <c r="C31" s="39" t="s">
        <v>625</v>
      </c>
      <c r="D31" s="47" t="s">
        <v>338</v>
      </c>
      <c r="E31" s="40" t="s">
        <v>509</v>
      </c>
      <c r="F31" s="39" t="s">
        <v>508</v>
      </c>
      <c r="G31" s="42">
        <v>0.51</v>
      </c>
      <c r="H31" s="42">
        <v>0.72</v>
      </c>
      <c r="I31" s="41">
        <v>53996890</v>
      </c>
      <c r="J31" s="41">
        <v>732</v>
      </c>
      <c r="K31" s="46">
        <v>73766.240000000005</v>
      </c>
      <c r="L31" s="70">
        <v>76100</v>
      </c>
      <c r="M31" s="69" t="s">
        <v>362</v>
      </c>
      <c r="N31" s="68" t="s">
        <v>355</v>
      </c>
      <c r="O31" s="67">
        <v>-0.13</v>
      </c>
      <c r="P31" s="41">
        <v>1708310</v>
      </c>
      <c r="Q31" s="42">
        <v>3.16</v>
      </c>
      <c r="R31" s="41">
        <v>-73200</v>
      </c>
      <c r="S31" s="41">
        <v>16190</v>
      </c>
      <c r="T31" s="40" t="s">
        <v>269</v>
      </c>
      <c r="U31" s="39" t="s">
        <v>343</v>
      </c>
      <c r="V31" s="38" t="s">
        <v>342</v>
      </c>
      <c r="W31" s="38" t="s">
        <v>342</v>
      </c>
    </row>
    <row r="32" spans="1:23">
      <c r="A32" s="50" t="s">
        <v>501</v>
      </c>
      <c r="B32" s="50" t="s">
        <v>399</v>
      </c>
      <c r="C32" s="49" t="s">
        <v>625</v>
      </c>
      <c r="D32" s="57" t="s">
        <v>338</v>
      </c>
      <c r="E32" s="50" t="s">
        <v>506</v>
      </c>
      <c r="F32" s="49" t="s">
        <v>505</v>
      </c>
      <c r="G32" s="52">
        <v>0.94</v>
      </c>
      <c r="H32" s="52">
        <v>1.32</v>
      </c>
      <c r="I32" s="51">
        <v>115300640</v>
      </c>
      <c r="J32" s="51">
        <v>3060</v>
      </c>
      <c r="K32" s="56">
        <v>37679.949999999997</v>
      </c>
      <c r="L32" s="62">
        <v>33150</v>
      </c>
      <c r="M32" s="61" t="s">
        <v>362</v>
      </c>
      <c r="N32" s="60" t="s">
        <v>423</v>
      </c>
      <c r="O32" s="59">
        <v>-1.78</v>
      </c>
      <c r="P32" s="51">
        <v>-13861640</v>
      </c>
      <c r="Q32" s="52">
        <v>-12.02</v>
      </c>
      <c r="R32" s="51">
        <v>-1836000</v>
      </c>
      <c r="S32" s="51">
        <v>349095</v>
      </c>
      <c r="T32" s="50" t="s">
        <v>269</v>
      </c>
      <c r="U32" s="49" t="s">
        <v>343</v>
      </c>
      <c r="V32" s="48" t="s">
        <v>342</v>
      </c>
      <c r="W32" s="48" t="s">
        <v>342</v>
      </c>
    </row>
    <row r="33" spans="1:23">
      <c r="A33" s="40" t="s">
        <v>500</v>
      </c>
      <c r="B33" s="40" t="s">
        <v>399</v>
      </c>
      <c r="C33" s="39" t="s">
        <v>625</v>
      </c>
      <c r="D33" s="47" t="s">
        <v>338</v>
      </c>
      <c r="E33" s="40" t="s">
        <v>503</v>
      </c>
      <c r="F33" s="39" t="s">
        <v>502</v>
      </c>
      <c r="G33" s="42">
        <v>0.51</v>
      </c>
      <c r="H33" s="42">
        <v>0.71</v>
      </c>
      <c r="I33" s="41">
        <v>54770710</v>
      </c>
      <c r="J33" s="41">
        <v>306</v>
      </c>
      <c r="K33" s="46">
        <v>178989.25</v>
      </c>
      <c r="L33" s="70">
        <v>180000</v>
      </c>
      <c r="M33" s="69" t="s">
        <v>362</v>
      </c>
      <c r="N33" s="68" t="s">
        <v>451</v>
      </c>
      <c r="O33" s="67">
        <v>-2.17</v>
      </c>
      <c r="P33" s="41">
        <v>309290</v>
      </c>
      <c r="Q33" s="42">
        <v>0.56000000000000005</v>
      </c>
      <c r="R33" s="41">
        <v>-1224000</v>
      </c>
      <c r="S33" s="41">
        <v>869220</v>
      </c>
      <c r="T33" s="40" t="s">
        <v>269</v>
      </c>
      <c r="U33" s="39" t="s">
        <v>343</v>
      </c>
      <c r="V33" s="38" t="s">
        <v>342</v>
      </c>
      <c r="W33" s="38" t="s">
        <v>342</v>
      </c>
    </row>
    <row r="34" spans="1:23">
      <c r="A34" s="50" t="s">
        <v>499</v>
      </c>
      <c r="B34" s="50" t="s">
        <v>399</v>
      </c>
      <c r="C34" s="49" t="s">
        <v>625</v>
      </c>
      <c r="D34" s="57" t="s">
        <v>338</v>
      </c>
      <c r="E34" s="50" t="s">
        <v>76</v>
      </c>
      <c r="F34" s="49" t="s">
        <v>77</v>
      </c>
      <c r="G34" s="52">
        <v>1.6</v>
      </c>
      <c r="H34" s="52">
        <v>2.2400000000000002</v>
      </c>
      <c r="I34" s="51">
        <v>162968000</v>
      </c>
      <c r="J34" s="51">
        <v>6022</v>
      </c>
      <c r="K34" s="56">
        <v>27062.11</v>
      </c>
      <c r="L34" s="62">
        <v>28500</v>
      </c>
      <c r="M34" s="61" t="s">
        <v>362</v>
      </c>
      <c r="N34" s="60" t="s">
        <v>428</v>
      </c>
      <c r="O34" s="59">
        <v>-1.72</v>
      </c>
      <c r="P34" s="51">
        <v>8659000</v>
      </c>
      <c r="Q34" s="52">
        <v>5.31</v>
      </c>
      <c r="R34" s="51">
        <v>-3011000</v>
      </c>
      <c r="S34" s="51">
        <v>2532280</v>
      </c>
      <c r="T34" s="50" t="s">
        <v>269</v>
      </c>
      <c r="U34" s="49" t="s">
        <v>343</v>
      </c>
      <c r="V34" s="48" t="s">
        <v>342</v>
      </c>
      <c r="W34" s="48" t="s">
        <v>342</v>
      </c>
    </row>
    <row r="35" spans="1:23">
      <c r="A35" s="40" t="s">
        <v>495</v>
      </c>
      <c r="B35" s="40" t="s">
        <v>399</v>
      </c>
      <c r="C35" s="39" t="s">
        <v>625</v>
      </c>
      <c r="D35" s="47" t="s">
        <v>338</v>
      </c>
      <c r="E35" s="40" t="s">
        <v>78</v>
      </c>
      <c r="F35" s="39" t="s">
        <v>79</v>
      </c>
      <c r="G35" s="42">
        <v>0.49</v>
      </c>
      <c r="H35" s="42">
        <v>0.69</v>
      </c>
      <c r="I35" s="41">
        <v>54625410</v>
      </c>
      <c r="J35" s="41">
        <v>5780</v>
      </c>
      <c r="K35" s="46">
        <v>9450.76</v>
      </c>
      <c r="L35" s="41">
        <v>9260</v>
      </c>
      <c r="M35" s="45" t="s">
        <v>269</v>
      </c>
      <c r="N35" s="44" t="s">
        <v>342</v>
      </c>
      <c r="O35" s="43">
        <v>0</v>
      </c>
      <c r="P35" s="41">
        <v>-1102610</v>
      </c>
      <c r="Q35" s="42">
        <v>-2.02</v>
      </c>
      <c r="R35" s="41">
        <v>0</v>
      </c>
      <c r="S35" s="41">
        <v>584584</v>
      </c>
      <c r="T35" s="40" t="s">
        <v>269</v>
      </c>
      <c r="U35" s="39" t="s">
        <v>343</v>
      </c>
      <c r="V35" s="38" t="s">
        <v>342</v>
      </c>
      <c r="W35" s="38" t="s">
        <v>342</v>
      </c>
    </row>
    <row r="36" spans="1:23">
      <c r="A36" s="50" t="s">
        <v>492</v>
      </c>
      <c r="B36" s="50" t="s">
        <v>399</v>
      </c>
      <c r="C36" s="49" t="s">
        <v>625</v>
      </c>
      <c r="D36" s="57" t="s">
        <v>338</v>
      </c>
      <c r="E36" s="50" t="s">
        <v>498</v>
      </c>
      <c r="F36" s="49" t="s">
        <v>497</v>
      </c>
      <c r="G36" s="52">
        <v>0</v>
      </c>
      <c r="H36" s="52">
        <v>0</v>
      </c>
      <c r="I36" s="51">
        <v>6936020</v>
      </c>
      <c r="J36" s="51">
        <v>0</v>
      </c>
      <c r="K36" s="51">
        <v>0</v>
      </c>
      <c r="L36" s="62">
        <v>19850</v>
      </c>
      <c r="M36" s="61" t="s">
        <v>362</v>
      </c>
      <c r="N36" s="60" t="s">
        <v>496</v>
      </c>
      <c r="O36" s="59">
        <v>-4.57</v>
      </c>
      <c r="P36" s="51">
        <v>-6936020</v>
      </c>
      <c r="Q36" s="52">
        <v>-6.39</v>
      </c>
      <c r="R36" s="51">
        <v>-4329050</v>
      </c>
      <c r="S36" s="51">
        <v>75920</v>
      </c>
      <c r="T36" s="50" t="s">
        <v>269</v>
      </c>
      <c r="U36" s="49" t="s">
        <v>343</v>
      </c>
      <c r="V36" s="48" t="s">
        <v>342</v>
      </c>
      <c r="W36" s="48" t="s">
        <v>342</v>
      </c>
    </row>
    <row r="37" spans="1:23">
      <c r="A37" s="40" t="s">
        <v>491</v>
      </c>
      <c r="B37" s="40" t="s">
        <v>399</v>
      </c>
      <c r="C37" s="39" t="s">
        <v>625</v>
      </c>
      <c r="D37" s="47" t="s">
        <v>338</v>
      </c>
      <c r="E37" s="40" t="s">
        <v>494</v>
      </c>
      <c r="F37" s="39" t="s">
        <v>493</v>
      </c>
      <c r="G37" s="42">
        <v>2.4</v>
      </c>
      <c r="H37" s="42">
        <v>3.37</v>
      </c>
      <c r="I37" s="41">
        <v>266518002</v>
      </c>
      <c r="J37" s="41">
        <v>1800</v>
      </c>
      <c r="K37" s="46">
        <v>148065.56</v>
      </c>
      <c r="L37" s="66">
        <v>143500</v>
      </c>
      <c r="M37" s="65" t="s">
        <v>367</v>
      </c>
      <c r="N37" s="64" t="s">
        <v>384</v>
      </c>
      <c r="O37" s="63">
        <v>0.7</v>
      </c>
      <c r="P37" s="41">
        <v>-8218002</v>
      </c>
      <c r="Q37" s="42">
        <v>-3.08</v>
      </c>
      <c r="R37" s="41">
        <v>1800000</v>
      </c>
      <c r="S37" s="41">
        <v>1373232</v>
      </c>
      <c r="T37" s="40" t="s">
        <v>269</v>
      </c>
      <c r="U37" s="39" t="s">
        <v>343</v>
      </c>
      <c r="V37" s="38" t="s">
        <v>342</v>
      </c>
      <c r="W37" s="38" t="s">
        <v>342</v>
      </c>
    </row>
    <row r="38" spans="1:23">
      <c r="A38" s="50" t="s">
        <v>490</v>
      </c>
      <c r="B38" s="50" t="s">
        <v>399</v>
      </c>
      <c r="C38" s="49" t="s">
        <v>625</v>
      </c>
      <c r="D38" s="57" t="s">
        <v>338</v>
      </c>
      <c r="E38" s="50" t="s">
        <v>265</v>
      </c>
      <c r="F38" s="49" t="s">
        <v>266</v>
      </c>
      <c r="G38" s="52">
        <v>2.54</v>
      </c>
      <c r="H38" s="52">
        <v>3.55</v>
      </c>
      <c r="I38" s="51">
        <v>258182390</v>
      </c>
      <c r="J38" s="51">
        <v>65376</v>
      </c>
      <c r="K38" s="56">
        <v>3949.19</v>
      </c>
      <c r="L38" s="62">
        <v>4165</v>
      </c>
      <c r="M38" s="61" t="s">
        <v>362</v>
      </c>
      <c r="N38" s="60" t="s">
        <v>414</v>
      </c>
      <c r="O38" s="59">
        <v>-4.58</v>
      </c>
      <c r="P38" s="51">
        <v>14108650</v>
      </c>
      <c r="Q38" s="52">
        <v>5.46</v>
      </c>
      <c r="R38" s="51">
        <v>-13075200</v>
      </c>
      <c r="S38" s="51">
        <v>257880</v>
      </c>
      <c r="T38" s="50" t="s">
        <v>269</v>
      </c>
      <c r="U38" s="49" t="s">
        <v>343</v>
      </c>
      <c r="V38" s="48" t="s">
        <v>342</v>
      </c>
      <c r="W38" s="48" t="s">
        <v>342</v>
      </c>
    </row>
    <row r="39" spans="1:23">
      <c r="A39" s="40" t="s">
        <v>489</v>
      </c>
      <c r="B39" s="40" t="s">
        <v>399</v>
      </c>
      <c r="C39" s="39" t="s">
        <v>625</v>
      </c>
      <c r="D39" s="47" t="s">
        <v>338</v>
      </c>
      <c r="E39" s="40" t="s">
        <v>88</v>
      </c>
      <c r="F39" s="39" t="s">
        <v>89</v>
      </c>
      <c r="G39" s="42">
        <v>1.29</v>
      </c>
      <c r="H39" s="42">
        <v>1.8</v>
      </c>
      <c r="I39" s="41">
        <v>126317295</v>
      </c>
      <c r="J39" s="41">
        <v>4259</v>
      </c>
      <c r="K39" s="46">
        <v>29658.91</v>
      </c>
      <c r="L39" s="66">
        <v>32500</v>
      </c>
      <c r="M39" s="65" t="s">
        <v>367</v>
      </c>
      <c r="N39" s="64" t="s">
        <v>355</v>
      </c>
      <c r="O39" s="63">
        <v>0.31</v>
      </c>
      <c r="P39" s="41">
        <v>12100205</v>
      </c>
      <c r="Q39" s="42">
        <v>9.58</v>
      </c>
      <c r="R39" s="41">
        <v>425900</v>
      </c>
      <c r="S39" s="41">
        <v>1425420</v>
      </c>
      <c r="T39" s="40" t="s">
        <v>269</v>
      </c>
      <c r="U39" s="39" t="s">
        <v>343</v>
      </c>
      <c r="V39" s="38" t="s">
        <v>342</v>
      </c>
      <c r="W39" s="38" t="s">
        <v>342</v>
      </c>
    </row>
    <row r="40" spans="1:23">
      <c r="A40" s="50" t="s">
        <v>485</v>
      </c>
      <c r="B40" s="50" t="s">
        <v>399</v>
      </c>
      <c r="C40" s="49" t="s">
        <v>625</v>
      </c>
      <c r="D40" s="57" t="s">
        <v>338</v>
      </c>
      <c r="E40" s="50" t="s">
        <v>252</v>
      </c>
      <c r="F40" s="49" t="s">
        <v>253</v>
      </c>
      <c r="G40" s="52">
        <v>3.59</v>
      </c>
      <c r="H40" s="52">
        <v>5.03</v>
      </c>
      <c r="I40" s="51">
        <v>353375824</v>
      </c>
      <c r="J40" s="51">
        <v>10317</v>
      </c>
      <c r="K40" s="78">
        <v>34251.800000000003</v>
      </c>
      <c r="L40" s="62">
        <v>37350</v>
      </c>
      <c r="M40" s="61" t="s">
        <v>362</v>
      </c>
      <c r="N40" s="60" t="s">
        <v>419</v>
      </c>
      <c r="O40" s="59">
        <v>-1.97</v>
      </c>
      <c r="P40" s="51">
        <v>31964126</v>
      </c>
      <c r="Q40" s="52">
        <v>9.0500000000000007</v>
      </c>
      <c r="R40" s="51">
        <v>-7737750</v>
      </c>
      <c r="S40" s="51">
        <v>711252</v>
      </c>
      <c r="T40" s="50" t="s">
        <v>269</v>
      </c>
      <c r="U40" s="49" t="s">
        <v>343</v>
      </c>
      <c r="V40" s="48" t="s">
        <v>342</v>
      </c>
      <c r="W40" s="48" t="s">
        <v>342</v>
      </c>
    </row>
    <row r="41" spans="1:23">
      <c r="A41" s="40" t="s">
        <v>484</v>
      </c>
      <c r="B41" s="40" t="s">
        <v>399</v>
      </c>
      <c r="C41" s="39" t="s">
        <v>625</v>
      </c>
      <c r="D41" s="47" t="s">
        <v>338</v>
      </c>
      <c r="E41" s="40" t="s">
        <v>488</v>
      </c>
      <c r="F41" s="39" t="s">
        <v>487</v>
      </c>
      <c r="G41" s="42">
        <v>1.35</v>
      </c>
      <c r="H41" s="42">
        <v>1.89</v>
      </c>
      <c r="I41" s="41">
        <v>143606496</v>
      </c>
      <c r="J41" s="41">
        <v>5378</v>
      </c>
      <c r="K41" s="46">
        <v>26702.58</v>
      </c>
      <c r="L41" s="66">
        <v>27000</v>
      </c>
      <c r="M41" s="65" t="s">
        <v>367</v>
      </c>
      <c r="N41" s="64" t="s">
        <v>486</v>
      </c>
      <c r="O41" s="63">
        <v>2.08</v>
      </c>
      <c r="P41" s="41">
        <v>1599504</v>
      </c>
      <c r="Q41" s="42">
        <v>1.1100000000000001</v>
      </c>
      <c r="R41" s="41">
        <v>2957900</v>
      </c>
      <c r="S41" s="41">
        <v>1384230</v>
      </c>
      <c r="T41" s="40" t="s">
        <v>269</v>
      </c>
      <c r="U41" s="39" t="s">
        <v>343</v>
      </c>
      <c r="V41" s="38" t="s">
        <v>342</v>
      </c>
      <c r="W41" s="38" t="s">
        <v>342</v>
      </c>
    </row>
    <row r="42" spans="1:23">
      <c r="A42" s="50" t="s">
        <v>482</v>
      </c>
      <c r="B42" s="50" t="s">
        <v>399</v>
      </c>
      <c r="C42" s="49" t="s">
        <v>625</v>
      </c>
      <c r="D42" s="57" t="s">
        <v>338</v>
      </c>
      <c r="E42" s="50" t="s">
        <v>276</v>
      </c>
      <c r="F42" s="49" t="s">
        <v>277</v>
      </c>
      <c r="G42" s="52">
        <v>0</v>
      </c>
      <c r="H42" s="52">
        <v>0</v>
      </c>
      <c r="I42" s="51">
        <v>1140229</v>
      </c>
      <c r="J42" s="51">
        <v>0</v>
      </c>
      <c r="K42" s="51">
        <v>0</v>
      </c>
      <c r="L42" s="62">
        <v>16000</v>
      </c>
      <c r="M42" s="61" t="s">
        <v>362</v>
      </c>
      <c r="N42" s="60" t="s">
        <v>371</v>
      </c>
      <c r="O42" s="59">
        <v>-1.84</v>
      </c>
      <c r="P42" s="51">
        <v>-1140229</v>
      </c>
      <c r="Q42" s="52">
        <v>-6.96</v>
      </c>
      <c r="R42" s="51">
        <v>-334600</v>
      </c>
      <c r="S42" s="51">
        <v>325208</v>
      </c>
      <c r="T42" s="50" t="s">
        <v>269</v>
      </c>
      <c r="U42" s="49" t="s">
        <v>343</v>
      </c>
      <c r="V42" s="48" t="s">
        <v>342</v>
      </c>
      <c r="W42" s="48" t="s">
        <v>342</v>
      </c>
    </row>
    <row r="43" spans="1:23">
      <c r="A43" s="40" t="s">
        <v>480</v>
      </c>
      <c r="B43" s="40" t="s">
        <v>399</v>
      </c>
      <c r="C43" s="39" t="s">
        <v>625</v>
      </c>
      <c r="D43" s="47" t="s">
        <v>338</v>
      </c>
      <c r="E43" s="40" t="s">
        <v>334</v>
      </c>
      <c r="F43" s="39" t="s">
        <v>335</v>
      </c>
      <c r="G43" s="42">
        <v>0.5</v>
      </c>
      <c r="H43" s="42">
        <v>0.71</v>
      </c>
      <c r="I43" s="41">
        <v>55139580</v>
      </c>
      <c r="J43" s="41">
        <v>834</v>
      </c>
      <c r="K43" s="58">
        <v>66114.600000000006</v>
      </c>
      <c r="L43" s="70">
        <v>65400</v>
      </c>
      <c r="M43" s="69" t="s">
        <v>362</v>
      </c>
      <c r="N43" s="68" t="s">
        <v>423</v>
      </c>
      <c r="O43" s="67">
        <v>-0.91</v>
      </c>
      <c r="P43" s="41">
        <v>-595980</v>
      </c>
      <c r="Q43" s="42">
        <v>-1.08</v>
      </c>
      <c r="R43" s="41">
        <v>-500400</v>
      </c>
      <c r="S43" s="41">
        <v>55080</v>
      </c>
      <c r="T43" s="40" t="s">
        <v>269</v>
      </c>
      <c r="U43" s="39" t="s">
        <v>343</v>
      </c>
      <c r="V43" s="38" t="s">
        <v>342</v>
      </c>
      <c r="W43" s="38" t="s">
        <v>342</v>
      </c>
    </row>
    <row r="44" spans="1:23">
      <c r="A44" s="50" t="s">
        <v>478</v>
      </c>
      <c r="B44" s="50" t="s">
        <v>399</v>
      </c>
      <c r="C44" s="49" t="s">
        <v>625</v>
      </c>
      <c r="D44" s="57" t="s">
        <v>338</v>
      </c>
      <c r="E44" s="50" t="s">
        <v>100</v>
      </c>
      <c r="F44" s="49" t="s">
        <v>101</v>
      </c>
      <c r="G44" s="52">
        <v>1.1299999999999999</v>
      </c>
      <c r="H44" s="52">
        <v>1.59</v>
      </c>
      <c r="I44" s="51">
        <v>109206780</v>
      </c>
      <c r="J44" s="51">
        <v>290</v>
      </c>
      <c r="K44" s="78">
        <v>376575.1</v>
      </c>
      <c r="L44" s="62">
        <v>420300</v>
      </c>
      <c r="M44" s="61" t="s">
        <v>362</v>
      </c>
      <c r="N44" s="60" t="s">
        <v>483</v>
      </c>
      <c r="O44" s="59">
        <v>-2.2999999999999998</v>
      </c>
      <c r="P44" s="51">
        <v>12680220</v>
      </c>
      <c r="Q44" s="52">
        <v>11.61</v>
      </c>
      <c r="R44" s="51">
        <v>-2871000</v>
      </c>
      <c r="S44" s="51">
        <v>2278451</v>
      </c>
      <c r="T44" s="50" t="s">
        <v>269</v>
      </c>
      <c r="U44" s="49" t="s">
        <v>343</v>
      </c>
      <c r="V44" s="48" t="s">
        <v>342</v>
      </c>
      <c r="W44" s="48" t="s">
        <v>342</v>
      </c>
    </row>
    <row r="45" spans="1:23">
      <c r="A45" s="40" t="s">
        <v>361</v>
      </c>
      <c r="B45" s="40" t="s">
        <v>399</v>
      </c>
      <c r="C45" s="39" t="s">
        <v>625</v>
      </c>
      <c r="D45" s="47" t="s">
        <v>338</v>
      </c>
      <c r="E45" s="40" t="s">
        <v>290</v>
      </c>
      <c r="F45" s="39" t="s">
        <v>291</v>
      </c>
      <c r="G45" s="42">
        <v>0.53</v>
      </c>
      <c r="H45" s="42">
        <v>0.75</v>
      </c>
      <c r="I45" s="41">
        <v>51992654</v>
      </c>
      <c r="J45" s="41">
        <v>810</v>
      </c>
      <c r="K45" s="46">
        <v>64188.46</v>
      </c>
      <c r="L45" s="70">
        <v>71100</v>
      </c>
      <c r="M45" s="69" t="s">
        <v>362</v>
      </c>
      <c r="N45" s="68" t="s">
        <v>481</v>
      </c>
      <c r="O45" s="67">
        <v>-2.6</v>
      </c>
      <c r="P45" s="41">
        <v>5598346</v>
      </c>
      <c r="Q45" s="42">
        <v>10.77</v>
      </c>
      <c r="R45" s="41">
        <v>-1539000</v>
      </c>
      <c r="S45" s="41">
        <v>341621</v>
      </c>
      <c r="T45" s="40" t="s">
        <v>269</v>
      </c>
      <c r="U45" s="39" t="s">
        <v>343</v>
      </c>
      <c r="V45" s="38" t="s">
        <v>342</v>
      </c>
      <c r="W45" s="38" t="s">
        <v>342</v>
      </c>
    </row>
    <row r="46" spans="1:23">
      <c r="A46" s="50" t="s">
        <v>473</v>
      </c>
      <c r="B46" s="50" t="s">
        <v>399</v>
      </c>
      <c r="C46" s="49" t="s">
        <v>625</v>
      </c>
      <c r="D46" s="57" t="s">
        <v>338</v>
      </c>
      <c r="E46" s="50" t="s">
        <v>336</v>
      </c>
      <c r="F46" s="49" t="s">
        <v>337</v>
      </c>
      <c r="G46" s="52">
        <v>0.97</v>
      </c>
      <c r="H46" s="52">
        <v>1.36</v>
      </c>
      <c r="I46" s="51">
        <v>109522080</v>
      </c>
      <c r="J46" s="51">
        <v>4268</v>
      </c>
      <c r="K46" s="56">
        <v>25661.22</v>
      </c>
      <c r="L46" s="62">
        <v>24550</v>
      </c>
      <c r="M46" s="61" t="s">
        <v>362</v>
      </c>
      <c r="N46" s="60" t="s">
        <v>479</v>
      </c>
      <c r="O46" s="59">
        <v>-1.8</v>
      </c>
      <c r="P46" s="51">
        <v>-4742680</v>
      </c>
      <c r="Q46" s="52">
        <v>-4.33</v>
      </c>
      <c r="R46" s="51">
        <v>-1920600</v>
      </c>
      <c r="S46" s="51">
        <v>86430</v>
      </c>
      <c r="T46" s="50" t="s">
        <v>269</v>
      </c>
      <c r="U46" s="49" t="s">
        <v>343</v>
      </c>
      <c r="V46" s="48" t="s">
        <v>342</v>
      </c>
      <c r="W46" s="48" t="s">
        <v>342</v>
      </c>
    </row>
    <row r="47" spans="1:23">
      <c r="A47" s="40" t="s">
        <v>471</v>
      </c>
      <c r="B47" s="40" t="s">
        <v>399</v>
      </c>
      <c r="C47" s="39" t="s">
        <v>668</v>
      </c>
      <c r="D47" s="72" t="s">
        <v>339</v>
      </c>
      <c r="E47" s="40" t="s">
        <v>477</v>
      </c>
      <c r="F47" s="39" t="s">
        <v>476</v>
      </c>
      <c r="G47" s="42">
        <v>0.53</v>
      </c>
      <c r="H47" s="42">
        <v>1.04</v>
      </c>
      <c r="I47" s="41">
        <v>-54211376</v>
      </c>
      <c r="J47" s="41">
        <v>-490</v>
      </c>
      <c r="K47" s="46">
        <v>110635.46</v>
      </c>
      <c r="L47" s="70">
        <v>118000</v>
      </c>
      <c r="M47" s="69" t="s">
        <v>362</v>
      </c>
      <c r="N47" s="68" t="s">
        <v>382</v>
      </c>
      <c r="O47" s="67">
        <v>-1.26</v>
      </c>
      <c r="P47" s="41">
        <v>-3608624</v>
      </c>
      <c r="Q47" s="42">
        <v>-6.66</v>
      </c>
      <c r="R47" s="41">
        <v>735000</v>
      </c>
      <c r="S47" s="41">
        <v>1476652</v>
      </c>
      <c r="T47" s="40" t="s">
        <v>269</v>
      </c>
      <c r="U47" s="39" t="s">
        <v>343</v>
      </c>
      <c r="V47" s="38" t="s">
        <v>342</v>
      </c>
      <c r="W47" s="38" t="s">
        <v>342</v>
      </c>
    </row>
    <row r="48" spans="1:23">
      <c r="A48" s="50" t="s">
        <v>469</v>
      </c>
      <c r="B48" s="50" t="s">
        <v>399</v>
      </c>
      <c r="C48" s="49" t="s">
        <v>668</v>
      </c>
      <c r="D48" s="77" t="s">
        <v>339</v>
      </c>
      <c r="E48" s="50" t="s">
        <v>475</v>
      </c>
      <c r="F48" s="49" t="s">
        <v>474</v>
      </c>
      <c r="G48" s="52">
        <v>1.02</v>
      </c>
      <c r="H48" s="52">
        <v>1.98</v>
      </c>
      <c r="I48" s="51">
        <v>-114058927</v>
      </c>
      <c r="J48" s="51">
        <v>-575</v>
      </c>
      <c r="K48" s="56">
        <v>198363.35</v>
      </c>
      <c r="L48" s="62">
        <v>191000</v>
      </c>
      <c r="M48" s="61" t="s">
        <v>362</v>
      </c>
      <c r="N48" s="60" t="s">
        <v>382</v>
      </c>
      <c r="O48" s="59">
        <v>-0.78</v>
      </c>
      <c r="P48" s="51">
        <v>4233927</v>
      </c>
      <c r="Q48" s="52">
        <v>3.71</v>
      </c>
      <c r="R48" s="51">
        <v>862500</v>
      </c>
      <c r="S48" s="51">
        <v>914308</v>
      </c>
      <c r="T48" s="50" t="s">
        <v>269</v>
      </c>
      <c r="U48" s="49" t="s">
        <v>343</v>
      </c>
      <c r="V48" s="48" t="s">
        <v>342</v>
      </c>
      <c r="W48" s="48" t="s">
        <v>342</v>
      </c>
    </row>
    <row r="49" spans="1:23">
      <c r="A49" s="40" t="s">
        <v>466</v>
      </c>
      <c r="B49" s="40" t="s">
        <v>399</v>
      </c>
      <c r="C49" s="39" t="s">
        <v>668</v>
      </c>
      <c r="D49" s="72" t="s">
        <v>339</v>
      </c>
      <c r="E49" s="40" t="s">
        <v>293</v>
      </c>
      <c r="F49" s="39" t="s">
        <v>294</v>
      </c>
      <c r="G49" s="42">
        <v>2.04</v>
      </c>
      <c r="H49" s="42">
        <v>3.96</v>
      </c>
      <c r="I49" s="41">
        <v>-195226518</v>
      </c>
      <c r="J49" s="41">
        <v>-3105</v>
      </c>
      <c r="K49" s="46">
        <v>62874.89</v>
      </c>
      <c r="L49" s="66">
        <v>70700</v>
      </c>
      <c r="M49" s="65" t="s">
        <v>367</v>
      </c>
      <c r="N49" s="64" t="s">
        <v>472</v>
      </c>
      <c r="O49" s="63">
        <v>2.61</v>
      </c>
      <c r="P49" s="41">
        <v>-24296982</v>
      </c>
      <c r="Q49" s="42">
        <v>-12.45</v>
      </c>
      <c r="R49" s="41">
        <v>-5589000</v>
      </c>
      <c r="S49" s="41">
        <v>1080400</v>
      </c>
      <c r="T49" s="40" t="s">
        <v>269</v>
      </c>
      <c r="U49" s="39" t="s">
        <v>343</v>
      </c>
      <c r="V49" s="38" t="s">
        <v>342</v>
      </c>
      <c r="W49" s="38" t="s">
        <v>342</v>
      </c>
    </row>
    <row r="50" spans="1:23">
      <c r="A50" s="50" t="s">
        <v>464</v>
      </c>
      <c r="B50" s="50" t="s">
        <v>399</v>
      </c>
      <c r="C50" s="49" t="s">
        <v>668</v>
      </c>
      <c r="D50" s="77" t="s">
        <v>339</v>
      </c>
      <c r="E50" s="50" t="s">
        <v>8</v>
      </c>
      <c r="F50" s="49" t="s">
        <v>9</v>
      </c>
      <c r="G50" s="52">
        <v>1.1399999999999999</v>
      </c>
      <c r="H50" s="52">
        <v>2.21</v>
      </c>
      <c r="I50" s="51">
        <v>-146316282</v>
      </c>
      <c r="J50" s="51">
        <v>-168</v>
      </c>
      <c r="K50" s="56">
        <v>870930.25</v>
      </c>
      <c r="L50" s="76">
        <v>729000</v>
      </c>
      <c r="M50" s="75" t="s">
        <v>367</v>
      </c>
      <c r="N50" s="74" t="s">
        <v>470</v>
      </c>
      <c r="O50" s="73">
        <v>2.39</v>
      </c>
      <c r="P50" s="51">
        <v>23844282</v>
      </c>
      <c r="Q50" s="52">
        <v>16.3</v>
      </c>
      <c r="R50" s="51">
        <v>-2856000</v>
      </c>
      <c r="S50" s="51">
        <v>891118</v>
      </c>
      <c r="T50" s="50" t="s">
        <v>269</v>
      </c>
      <c r="U50" s="49" t="s">
        <v>343</v>
      </c>
      <c r="V50" s="48" t="s">
        <v>342</v>
      </c>
      <c r="W50" s="48" t="s">
        <v>342</v>
      </c>
    </row>
    <row r="51" spans="1:23">
      <c r="A51" s="40" t="s">
        <v>461</v>
      </c>
      <c r="B51" s="40" t="s">
        <v>399</v>
      </c>
      <c r="C51" s="39" t="s">
        <v>668</v>
      </c>
      <c r="D51" s="72" t="s">
        <v>339</v>
      </c>
      <c r="E51" s="40" t="s">
        <v>468</v>
      </c>
      <c r="F51" s="39" t="s">
        <v>467</v>
      </c>
      <c r="G51" s="42">
        <v>1.03</v>
      </c>
      <c r="H51" s="42">
        <v>2</v>
      </c>
      <c r="I51" s="41">
        <v>-129746863</v>
      </c>
      <c r="J51" s="41">
        <v>-3926</v>
      </c>
      <c r="K51" s="46">
        <v>33048.11</v>
      </c>
      <c r="L51" s="66">
        <v>28300</v>
      </c>
      <c r="M51" s="65" t="s">
        <v>367</v>
      </c>
      <c r="N51" s="64" t="s">
        <v>414</v>
      </c>
      <c r="O51" s="63">
        <v>0.71</v>
      </c>
      <c r="P51" s="41">
        <v>18641063</v>
      </c>
      <c r="Q51" s="42">
        <v>14.37</v>
      </c>
      <c r="R51" s="41">
        <v>-785200</v>
      </c>
      <c r="S51" s="41">
        <v>727740</v>
      </c>
      <c r="T51" s="40" t="s">
        <v>269</v>
      </c>
      <c r="U51" s="39" t="s">
        <v>343</v>
      </c>
      <c r="V51" s="38" t="s">
        <v>342</v>
      </c>
      <c r="W51" s="38" t="s">
        <v>342</v>
      </c>
    </row>
    <row r="52" spans="1:23">
      <c r="A52" s="50" t="s">
        <v>453</v>
      </c>
      <c r="B52" s="50" t="s">
        <v>399</v>
      </c>
      <c r="C52" s="49" t="s">
        <v>668</v>
      </c>
      <c r="D52" s="77" t="s">
        <v>339</v>
      </c>
      <c r="E52" s="50" t="s">
        <v>288</v>
      </c>
      <c r="F52" s="49" t="s">
        <v>289</v>
      </c>
      <c r="G52" s="52">
        <v>1.53</v>
      </c>
      <c r="H52" s="52">
        <v>2.98</v>
      </c>
      <c r="I52" s="51">
        <v>-159544824</v>
      </c>
      <c r="J52" s="51">
        <v>-840</v>
      </c>
      <c r="K52" s="56">
        <v>189934.31</v>
      </c>
      <c r="L52" s="76">
        <v>196500</v>
      </c>
      <c r="M52" s="75" t="s">
        <v>367</v>
      </c>
      <c r="N52" s="74" t="s">
        <v>465</v>
      </c>
      <c r="O52" s="73">
        <v>8.86</v>
      </c>
      <c r="P52" s="51">
        <v>-5515176</v>
      </c>
      <c r="Q52" s="52">
        <v>-3.46</v>
      </c>
      <c r="R52" s="51">
        <v>-13440000</v>
      </c>
      <c r="S52" s="51">
        <v>1194982</v>
      </c>
      <c r="T52" s="50" t="s">
        <v>269</v>
      </c>
      <c r="U52" s="49" t="s">
        <v>343</v>
      </c>
      <c r="V52" s="48" t="s">
        <v>342</v>
      </c>
      <c r="W52" s="48" t="s">
        <v>342</v>
      </c>
    </row>
    <row r="53" spans="1:23">
      <c r="A53" s="40" t="s">
        <v>459</v>
      </c>
      <c r="B53" s="40" t="s">
        <v>399</v>
      </c>
      <c r="C53" s="39" t="s">
        <v>668</v>
      </c>
      <c r="D53" s="72" t="s">
        <v>339</v>
      </c>
      <c r="E53" s="40" t="s">
        <v>463</v>
      </c>
      <c r="F53" s="39" t="s">
        <v>462</v>
      </c>
      <c r="G53" s="42">
        <v>1.47</v>
      </c>
      <c r="H53" s="42">
        <v>2.85</v>
      </c>
      <c r="I53" s="41">
        <v>-159206240</v>
      </c>
      <c r="J53" s="41">
        <v>-520</v>
      </c>
      <c r="K53" s="46">
        <v>306165.84999999998</v>
      </c>
      <c r="L53" s="41">
        <v>304000</v>
      </c>
      <c r="M53" s="45" t="s">
        <v>269</v>
      </c>
      <c r="N53" s="44" t="s">
        <v>342</v>
      </c>
      <c r="O53" s="43">
        <v>0</v>
      </c>
      <c r="P53" s="41">
        <v>1126240</v>
      </c>
      <c r="Q53" s="42">
        <v>0.71</v>
      </c>
      <c r="R53" s="41">
        <v>0</v>
      </c>
      <c r="S53" s="41">
        <v>1747782</v>
      </c>
      <c r="T53" s="40" t="s">
        <v>269</v>
      </c>
      <c r="U53" s="39" t="s">
        <v>343</v>
      </c>
      <c r="V53" s="38" t="s">
        <v>342</v>
      </c>
      <c r="W53" s="38" t="s">
        <v>342</v>
      </c>
    </row>
    <row r="54" spans="1:23">
      <c r="A54" s="50" t="s">
        <v>457</v>
      </c>
      <c r="B54" s="50" t="s">
        <v>399</v>
      </c>
      <c r="C54" s="49" t="s">
        <v>668</v>
      </c>
      <c r="D54" s="77" t="s">
        <v>339</v>
      </c>
      <c r="E54" s="50" t="s">
        <v>301</v>
      </c>
      <c r="F54" s="49" t="s">
        <v>302</v>
      </c>
      <c r="G54" s="52">
        <v>1.02</v>
      </c>
      <c r="H54" s="52">
        <v>1.98</v>
      </c>
      <c r="I54" s="51">
        <v>-109182554</v>
      </c>
      <c r="J54" s="51">
        <v>-580</v>
      </c>
      <c r="K54" s="56">
        <v>188245.78</v>
      </c>
      <c r="L54" s="76">
        <v>189500</v>
      </c>
      <c r="M54" s="75" t="s">
        <v>367</v>
      </c>
      <c r="N54" s="74" t="s">
        <v>460</v>
      </c>
      <c r="O54" s="73">
        <v>1.61</v>
      </c>
      <c r="P54" s="51">
        <v>-727446</v>
      </c>
      <c r="Q54" s="52">
        <v>-0.67</v>
      </c>
      <c r="R54" s="51">
        <v>-1740000</v>
      </c>
      <c r="S54" s="51">
        <v>1238606</v>
      </c>
      <c r="T54" s="50" t="s">
        <v>269</v>
      </c>
      <c r="U54" s="49" t="s">
        <v>343</v>
      </c>
      <c r="V54" s="48" t="s">
        <v>342</v>
      </c>
      <c r="W54" s="48" t="s">
        <v>342</v>
      </c>
    </row>
    <row r="55" spans="1:23">
      <c r="A55" s="40" t="s">
        <v>456</v>
      </c>
      <c r="B55" s="40" t="s">
        <v>399</v>
      </c>
      <c r="C55" s="39" t="s">
        <v>668</v>
      </c>
      <c r="D55" s="72" t="s">
        <v>339</v>
      </c>
      <c r="E55" s="40" t="s">
        <v>129</v>
      </c>
      <c r="F55" s="39" t="s">
        <v>130</v>
      </c>
      <c r="G55" s="42">
        <v>1.66</v>
      </c>
      <c r="H55" s="42">
        <v>3.23</v>
      </c>
      <c r="I55" s="41">
        <v>-185345192</v>
      </c>
      <c r="J55" s="41">
        <v>-2741</v>
      </c>
      <c r="K55" s="46">
        <v>67619.55</v>
      </c>
      <c r="L55" s="66">
        <v>65200</v>
      </c>
      <c r="M55" s="65" t="s">
        <v>367</v>
      </c>
      <c r="N55" s="64" t="s">
        <v>428</v>
      </c>
      <c r="O55" s="63">
        <v>0.77</v>
      </c>
      <c r="P55" s="41">
        <v>6631992</v>
      </c>
      <c r="Q55" s="42">
        <v>3.58</v>
      </c>
      <c r="R55" s="41">
        <v>-1370500</v>
      </c>
      <c r="S55" s="41">
        <v>1215370</v>
      </c>
      <c r="T55" s="40" t="s">
        <v>269</v>
      </c>
      <c r="U55" s="39" t="s">
        <v>343</v>
      </c>
      <c r="V55" s="38" t="s">
        <v>342</v>
      </c>
      <c r="W55" s="38" t="s">
        <v>342</v>
      </c>
    </row>
    <row r="56" spans="1:23">
      <c r="A56" s="50" t="s">
        <v>452</v>
      </c>
      <c r="B56" s="50" t="s">
        <v>399</v>
      </c>
      <c r="C56" s="49" t="s">
        <v>668</v>
      </c>
      <c r="D56" s="77" t="s">
        <v>339</v>
      </c>
      <c r="E56" s="50" t="s">
        <v>320</v>
      </c>
      <c r="F56" s="49" t="s">
        <v>321</v>
      </c>
      <c r="G56" s="52">
        <v>0.9</v>
      </c>
      <c r="H56" s="52">
        <v>1.76</v>
      </c>
      <c r="I56" s="51">
        <v>-96062793</v>
      </c>
      <c r="J56" s="51">
        <v>-819</v>
      </c>
      <c r="K56" s="56">
        <v>117292.79</v>
      </c>
      <c r="L56" s="62">
        <v>119000</v>
      </c>
      <c r="M56" s="61" t="s">
        <v>362</v>
      </c>
      <c r="N56" s="60" t="s">
        <v>458</v>
      </c>
      <c r="O56" s="59">
        <v>-2.06</v>
      </c>
      <c r="P56" s="51">
        <v>-1398207</v>
      </c>
      <c r="Q56" s="52">
        <v>-1.46</v>
      </c>
      <c r="R56" s="51">
        <v>2047500</v>
      </c>
      <c r="S56" s="51">
        <v>4038748</v>
      </c>
      <c r="T56" s="50" t="s">
        <v>269</v>
      </c>
      <c r="U56" s="49" t="s">
        <v>343</v>
      </c>
      <c r="V56" s="48" t="s">
        <v>342</v>
      </c>
      <c r="W56" s="48" t="s">
        <v>342</v>
      </c>
    </row>
    <row r="57" spans="1:23">
      <c r="A57" s="40" t="s">
        <v>373</v>
      </c>
      <c r="B57" s="40" t="s">
        <v>399</v>
      </c>
      <c r="C57" s="39" t="s">
        <v>668</v>
      </c>
      <c r="D57" s="72" t="s">
        <v>339</v>
      </c>
      <c r="E57" s="40" t="s">
        <v>330</v>
      </c>
      <c r="F57" s="39" t="s">
        <v>331</v>
      </c>
      <c r="G57" s="42">
        <v>1.4</v>
      </c>
      <c r="H57" s="42">
        <v>2.72</v>
      </c>
      <c r="I57" s="41">
        <v>-155408480</v>
      </c>
      <c r="J57" s="41">
        <v>-720</v>
      </c>
      <c r="K57" s="46">
        <v>215845.11</v>
      </c>
      <c r="L57" s="66">
        <v>209000</v>
      </c>
      <c r="M57" s="65" t="s">
        <v>367</v>
      </c>
      <c r="N57" s="64" t="s">
        <v>389</v>
      </c>
      <c r="O57" s="63">
        <v>1.7</v>
      </c>
      <c r="P57" s="41">
        <v>4928480</v>
      </c>
      <c r="Q57" s="42">
        <v>3.17</v>
      </c>
      <c r="R57" s="41">
        <v>-2520000</v>
      </c>
      <c r="S57" s="41">
        <v>2318612</v>
      </c>
      <c r="T57" s="40" t="s">
        <v>269</v>
      </c>
      <c r="U57" s="39" t="s">
        <v>343</v>
      </c>
      <c r="V57" s="38" t="s">
        <v>342</v>
      </c>
      <c r="W57" s="38" t="s">
        <v>342</v>
      </c>
    </row>
    <row r="58" spans="1:23">
      <c r="A58" s="50" t="s">
        <v>449</v>
      </c>
      <c r="B58" s="50" t="s">
        <v>399</v>
      </c>
      <c r="C58" s="49" t="s">
        <v>668</v>
      </c>
      <c r="D58" s="77" t="s">
        <v>339</v>
      </c>
      <c r="E58" s="50" t="s">
        <v>455</v>
      </c>
      <c r="F58" s="49" t="s">
        <v>454</v>
      </c>
      <c r="G58" s="52">
        <v>0.9</v>
      </c>
      <c r="H58" s="52">
        <v>1.74</v>
      </c>
      <c r="I58" s="51">
        <v>-113599362</v>
      </c>
      <c r="J58" s="51">
        <v>-1980</v>
      </c>
      <c r="K58" s="56">
        <v>57373.42</v>
      </c>
      <c r="L58" s="76">
        <v>48750</v>
      </c>
      <c r="M58" s="75" t="s">
        <v>367</v>
      </c>
      <c r="N58" s="74" t="s">
        <v>453</v>
      </c>
      <c r="O58" s="73">
        <v>0.1</v>
      </c>
      <c r="P58" s="51">
        <v>17074362</v>
      </c>
      <c r="Q58" s="52">
        <v>15.03</v>
      </c>
      <c r="R58" s="51">
        <v>-99000</v>
      </c>
      <c r="S58" s="51">
        <v>456138</v>
      </c>
      <c r="T58" s="50" t="s">
        <v>269</v>
      </c>
      <c r="U58" s="49" t="s">
        <v>343</v>
      </c>
      <c r="V58" s="48" t="s">
        <v>342</v>
      </c>
      <c r="W58" s="48" t="s">
        <v>342</v>
      </c>
    </row>
    <row r="59" spans="1:23">
      <c r="A59" s="40" t="s">
        <v>447</v>
      </c>
      <c r="B59" s="40" t="s">
        <v>399</v>
      </c>
      <c r="C59" s="39" t="s">
        <v>668</v>
      </c>
      <c r="D59" s="72" t="s">
        <v>339</v>
      </c>
      <c r="E59" s="40" t="s">
        <v>238</v>
      </c>
      <c r="F59" s="39" t="s">
        <v>239</v>
      </c>
      <c r="G59" s="42">
        <v>1.99</v>
      </c>
      <c r="H59" s="42">
        <v>3.87</v>
      </c>
      <c r="I59" s="41">
        <v>-222859726</v>
      </c>
      <c r="J59" s="41">
        <v>-1419</v>
      </c>
      <c r="K59" s="46">
        <v>157054.07</v>
      </c>
      <c r="L59" s="70">
        <v>151000</v>
      </c>
      <c r="M59" s="69" t="s">
        <v>362</v>
      </c>
      <c r="N59" s="68" t="s">
        <v>451</v>
      </c>
      <c r="O59" s="67">
        <v>-2.58</v>
      </c>
      <c r="P59" s="41">
        <v>8590726</v>
      </c>
      <c r="Q59" s="42">
        <v>3.85</v>
      </c>
      <c r="R59" s="41">
        <v>4066000</v>
      </c>
      <c r="S59" s="41">
        <v>2071284</v>
      </c>
      <c r="T59" s="40" t="s">
        <v>269</v>
      </c>
      <c r="U59" s="39" t="s">
        <v>343</v>
      </c>
      <c r="V59" s="38" t="s">
        <v>342</v>
      </c>
      <c r="W59" s="38" t="s">
        <v>342</v>
      </c>
    </row>
    <row r="60" spans="1:23">
      <c r="A60" s="50" t="s">
        <v>446</v>
      </c>
      <c r="B60" s="50" t="s">
        <v>399</v>
      </c>
      <c r="C60" s="49" t="s">
        <v>668</v>
      </c>
      <c r="D60" s="77" t="s">
        <v>339</v>
      </c>
      <c r="E60" s="50" t="s">
        <v>300</v>
      </c>
      <c r="F60" s="49" t="s">
        <v>292</v>
      </c>
      <c r="G60" s="52">
        <v>1.96</v>
      </c>
      <c r="H60" s="52">
        <v>3.8</v>
      </c>
      <c r="I60" s="51">
        <v>-215744280</v>
      </c>
      <c r="J60" s="51">
        <v>-21930</v>
      </c>
      <c r="K60" s="56">
        <v>9837.86</v>
      </c>
      <c r="L60" s="62">
        <v>9600</v>
      </c>
      <c r="M60" s="61" t="s">
        <v>362</v>
      </c>
      <c r="N60" s="60" t="s">
        <v>450</v>
      </c>
      <c r="O60" s="59">
        <v>-3.52</v>
      </c>
      <c r="P60" s="51">
        <v>5216280</v>
      </c>
      <c r="Q60" s="52">
        <v>2.42</v>
      </c>
      <c r="R60" s="51">
        <v>7675500</v>
      </c>
      <c r="S60" s="51">
        <v>2609630</v>
      </c>
      <c r="T60" s="50" t="s">
        <v>269</v>
      </c>
      <c r="U60" s="49" t="s">
        <v>343</v>
      </c>
      <c r="V60" s="48" t="s">
        <v>342</v>
      </c>
      <c r="W60" s="48" t="s">
        <v>342</v>
      </c>
    </row>
    <row r="61" spans="1:23">
      <c r="A61" s="40" t="s">
        <v>442</v>
      </c>
      <c r="B61" s="40" t="s">
        <v>399</v>
      </c>
      <c r="C61" s="39" t="s">
        <v>668</v>
      </c>
      <c r="D61" s="72" t="s">
        <v>339</v>
      </c>
      <c r="E61" s="40" t="s">
        <v>326</v>
      </c>
      <c r="F61" s="39" t="s">
        <v>327</v>
      </c>
      <c r="G61" s="42">
        <v>1.5</v>
      </c>
      <c r="H61" s="42">
        <v>2.91</v>
      </c>
      <c r="I61" s="41">
        <v>-162012196</v>
      </c>
      <c r="J61" s="41">
        <v>-1900</v>
      </c>
      <c r="K61" s="46">
        <v>85269.58</v>
      </c>
      <c r="L61" s="70">
        <v>85000</v>
      </c>
      <c r="M61" s="69" t="s">
        <v>362</v>
      </c>
      <c r="N61" s="68" t="s">
        <v>448</v>
      </c>
      <c r="O61" s="67">
        <v>-1.28</v>
      </c>
      <c r="P61" s="41">
        <v>512196</v>
      </c>
      <c r="Q61" s="42">
        <v>0.32</v>
      </c>
      <c r="R61" s="41">
        <v>2090000</v>
      </c>
      <c r="S61" s="41">
        <v>2874634</v>
      </c>
      <c r="T61" s="40" t="s">
        <v>269</v>
      </c>
      <c r="U61" s="39" t="s">
        <v>343</v>
      </c>
      <c r="V61" s="38" t="s">
        <v>342</v>
      </c>
      <c r="W61" s="38" t="s">
        <v>342</v>
      </c>
    </row>
    <row r="62" spans="1:23">
      <c r="A62" s="50" t="s">
        <v>440</v>
      </c>
      <c r="B62" s="50" t="s">
        <v>399</v>
      </c>
      <c r="C62" s="49" t="s">
        <v>668</v>
      </c>
      <c r="D62" s="77" t="s">
        <v>339</v>
      </c>
      <c r="E62" s="50" t="s">
        <v>332</v>
      </c>
      <c r="F62" s="49" t="s">
        <v>333</v>
      </c>
      <c r="G62" s="52">
        <v>1.42</v>
      </c>
      <c r="H62" s="52">
        <v>2.75</v>
      </c>
      <c r="I62" s="51">
        <v>-155000560</v>
      </c>
      <c r="J62" s="51">
        <v>-540</v>
      </c>
      <c r="K62" s="56">
        <v>287038.07</v>
      </c>
      <c r="L62" s="76">
        <v>282500</v>
      </c>
      <c r="M62" s="75" t="s">
        <v>367</v>
      </c>
      <c r="N62" s="74" t="s">
        <v>382</v>
      </c>
      <c r="O62" s="73">
        <v>0.53</v>
      </c>
      <c r="P62" s="51">
        <v>2450560</v>
      </c>
      <c r="Q62" s="52">
        <v>1.58</v>
      </c>
      <c r="R62" s="51">
        <v>-810000</v>
      </c>
      <c r="S62" s="51">
        <v>2264874</v>
      </c>
      <c r="T62" s="50" t="s">
        <v>269</v>
      </c>
      <c r="U62" s="49" t="s">
        <v>343</v>
      </c>
      <c r="V62" s="48" t="s">
        <v>342</v>
      </c>
      <c r="W62" s="48" t="s">
        <v>342</v>
      </c>
    </row>
    <row r="63" spans="1:23">
      <c r="A63" s="40" t="s">
        <v>439</v>
      </c>
      <c r="B63" s="40" t="s">
        <v>399</v>
      </c>
      <c r="C63" s="39" t="s">
        <v>668</v>
      </c>
      <c r="D63" s="72" t="s">
        <v>339</v>
      </c>
      <c r="E63" s="40" t="s">
        <v>445</v>
      </c>
      <c r="F63" s="39" t="s">
        <v>444</v>
      </c>
      <c r="G63" s="42">
        <v>0.89</v>
      </c>
      <c r="H63" s="42">
        <v>1.73</v>
      </c>
      <c r="I63" s="41">
        <v>-106925670</v>
      </c>
      <c r="J63" s="41">
        <v>-3400</v>
      </c>
      <c r="K63" s="46">
        <v>31448.73</v>
      </c>
      <c r="L63" s="70">
        <v>28250</v>
      </c>
      <c r="M63" s="69" t="s">
        <v>362</v>
      </c>
      <c r="N63" s="68" t="s">
        <v>443</v>
      </c>
      <c r="O63" s="67">
        <v>-0.88</v>
      </c>
      <c r="P63" s="41">
        <v>10875670</v>
      </c>
      <c r="Q63" s="42">
        <v>10.17</v>
      </c>
      <c r="R63" s="41">
        <v>850000</v>
      </c>
      <c r="S63" s="41">
        <v>1268556</v>
      </c>
      <c r="T63" s="40" t="s">
        <v>269</v>
      </c>
      <c r="U63" s="39" t="s">
        <v>343</v>
      </c>
      <c r="V63" s="38" t="s">
        <v>342</v>
      </c>
      <c r="W63" s="38" t="s">
        <v>342</v>
      </c>
    </row>
    <row r="64" spans="1:23">
      <c r="A64" s="50" t="s">
        <v>438</v>
      </c>
      <c r="B64" s="50" t="s">
        <v>399</v>
      </c>
      <c r="C64" s="49" t="s">
        <v>668</v>
      </c>
      <c r="D64" s="77" t="s">
        <v>339</v>
      </c>
      <c r="E64" s="50" t="s">
        <v>143</v>
      </c>
      <c r="F64" s="49" t="s">
        <v>144</v>
      </c>
      <c r="G64" s="52">
        <v>0.48</v>
      </c>
      <c r="H64" s="52">
        <v>0.93</v>
      </c>
      <c r="I64" s="51">
        <v>-64450152</v>
      </c>
      <c r="J64" s="51">
        <v>-5683</v>
      </c>
      <c r="K64" s="56">
        <v>11340.87</v>
      </c>
      <c r="L64" s="62">
        <v>9110</v>
      </c>
      <c r="M64" s="61" t="s">
        <v>362</v>
      </c>
      <c r="N64" s="60" t="s">
        <v>441</v>
      </c>
      <c r="O64" s="59">
        <v>-2.88</v>
      </c>
      <c r="P64" s="51">
        <v>12678022</v>
      </c>
      <c r="Q64" s="52">
        <v>19.670000000000002</v>
      </c>
      <c r="R64" s="51">
        <v>1534410</v>
      </c>
      <c r="S64" s="51">
        <v>1575357</v>
      </c>
      <c r="T64" s="50" t="s">
        <v>269</v>
      </c>
      <c r="U64" s="49" t="s">
        <v>343</v>
      </c>
      <c r="V64" s="48" t="s">
        <v>342</v>
      </c>
      <c r="W64" s="48" t="s">
        <v>342</v>
      </c>
    </row>
    <row r="65" spans="1:23">
      <c r="A65" s="40" t="s">
        <v>436</v>
      </c>
      <c r="B65" s="40" t="s">
        <v>399</v>
      </c>
      <c r="C65" s="39" t="s">
        <v>668</v>
      </c>
      <c r="D65" s="72" t="s">
        <v>339</v>
      </c>
      <c r="E65" s="40" t="s">
        <v>204</v>
      </c>
      <c r="F65" s="39" t="s">
        <v>205</v>
      </c>
      <c r="G65" s="42">
        <v>0.99</v>
      </c>
      <c r="H65" s="42">
        <v>1.93</v>
      </c>
      <c r="I65" s="41">
        <v>-105429652</v>
      </c>
      <c r="J65" s="41">
        <v>-480</v>
      </c>
      <c r="K65" s="46">
        <v>219645.11</v>
      </c>
      <c r="L65" s="66">
        <v>222500</v>
      </c>
      <c r="M65" s="65" t="s">
        <v>367</v>
      </c>
      <c r="N65" s="64" t="s">
        <v>398</v>
      </c>
      <c r="O65" s="63">
        <v>0.91</v>
      </c>
      <c r="P65" s="41">
        <v>-1370348</v>
      </c>
      <c r="Q65" s="42">
        <v>-1.3</v>
      </c>
      <c r="R65" s="41">
        <v>-960000</v>
      </c>
      <c r="S65" s="41">
        <v>423348</v>
      </c>
      <c r="T65" s="40" t="s">
        <v>269</v>
      </c>
      <c r="U65" s="39" t="s">
        <v>343</v>
      </c>
      <c r="V65" s="38" t="s">
        <v>342</v>
      </c>
      <c r="W65" s="38" t="s">
        <v>342</v>
      </c>
    </row>
    <row r="66" spans="1:23">
      <c r="A66" s="50" t="s">
        <v>435</v>
      </c>
      <c r="B66" s="50" t="s">
        <v>399</v>
      </c>
      <c r="C66" s="49" t="s">
        <v>668</v>
      </c>
      <c r="D66" s="77" t="s">
        <v>339</v>
      </c>
      <c r="E66" s="50" t="s">
        <v>145</v>
      </c>
      <c r="F66" s="49" t="s">
        <v>146</v>
      </c>
      <c r="G66" s="52">
        <v>1.06</v>
      </c>
      <c r="H66" s="52">
        <v>2.0499999999999998</v>
      </c>
      <c r="I66" s="51">
        <v>-113253518</v>
      </c>
      <c r="J66" s="51">
        <v>-10029</v>
      </c>
      <c r="K66" s="78">
        <v>11292.6</v>
      </c>
      <c r="L66" s="76">
        <v>11350</v>
      </c>
      <c r="M66" s="75" t="s">
        <v>367</v>
      </c>
      <c r="N66" s="74" t="s">
        <v>401</v>
      </c>
      <c r="O66" s="73">
        <v>1.34</v>
      </c>
      <c r="P66" s="51">
        <v>-575632</v>
      </c>
      <c r="Q66" s="52">
        <v>-0.51</v>
      </c>
      <c r="R66" s="51">
        <v>-1504350</v>
      </c>
      <c r="S66" s="51">
        <v>1433002</v>
      </c>
      <c r="T66" s="50" t="s">
        <v>269</v>
      </c>
      <c r="U66" s="49" t="s">
        <v>343</v>
      </c>
      <c r="V66" s="48" t="s">
        <v>342</v>
      </c>
      <c r="W66" s="48" t="s">
        <v>342</v>
      </c>
    </row>
    <row r="67" spans="1:23">
      <c r="A67" s="40" t="s">
        <v>434</v>
      </c>
      <c r="B67" s="40" t="s">
        <v>399</v>
      </c>
      <c r="C67" s="39" t="s">
        <v>668</v>
      </c>
      <c r="D67" s="72" t="s">
        <v>339</v>
      </c>
      <c r="E67" s="40" t="s">
        <v>274</v>
      </c>
      <c r="F67" s="39" t="s">
        <v>275</v>
      </c>
      <c r="G67" s="42">
        <v>2.02</v>
      </c>
      <c r="H67" s="42">
        <v>3.92</v>
      </c>
      <c r="I67" s="41">
        <v>-212289510</v>
      </c>
      <c r="J67" s="41">
        <v>-1040</v>
      </c>
      <c r="K67" s="46">
        <v>204124.53</v>
      </c>
      <c r="L67" s="66">
        <v>208500</v>
      </c>
      <c r="M67" s="65" t="s">
        <v>367</v>
      </c>
      <c r="N67" s="64" t="s">
        <v>437</v>
      </c>
      <c r="O67" s="63">
        <v>2.46</v>
      </c>
      <c r="P67" s="41">
        <v>-4550490</v>
      </c>
      <c r="Q67" s="42">
        <v>-2.14</v>
      </c>
      <c r="R67" s="41">
        <v>-5200000</v>
      </c>
      <c r="S67" s="41">
        <v>1394926</v>
      </c>
      <c r="T67" s="40" t="s">
        <v>269</v>
      </c>
      <c r="U67" s="39" t="s">
        <v>343</v>
      </c>
      <c r="V67" s="38" t="s">
        <v>342</v>
      </c>
      <c r="W67" s="38" t="s">
        <v>342</v>
      </c>
    </row>
    <row r="68" spans="1:23">
      <c r="A68" s="50" t="s">
        <v>433</v>
      </c>
      <c r="B68" s="50" t="s">
        <v>399</v>
      </c>
      <c r="C68" s="49" t="s">
        <v>668</v>
      </c>
      <c r="D68" s="77" t="s">
        <v>339</v>
      </c>
      <c r="E68" s="50" t="s">
        <v>147</v>
      </c>
      <c r="F68" s="49" t="s">
        <v>148</v>
      </c>
      <c r="G68" s="52">
        <v>1.57</v>
      </c>
      <c r="H68" s="52">
        <v>3.06</v>
      </c>
      <c r="I68" s="51">
        <v>-160756650</v>
      </c>
      <c r="J68" s="51">
        <v>-808</v>
      </c>
      <c r="K68" s="56">
        <v>198956.25</v>
      </c>
      <c r="L68" s="51">
        <v>209500</v>
      </c>
      <c r="M68" s="55" t="s">
        <v>269</v>
      </c>
      <c r="N68" s="54" t="s">
        <v>342</v>
      </c>
      <c r="O68" s="53">
        <v>0</v>
      </c>
      <c r="P68" s="51">
        <v>-8519350</v>
      </c>
      <c r="Q68" s="52">
        <v>-5.3</v>
      </c>
      <c r="R68" s="51">
        <v>0</v>
      </c>
      <c r="S68" s="51">
        <v>3613690</v>
      </c>
      <c r="T68" s="50" t="s">
        <v>269</v>
      </c>
      <c r="U68" s="49" t="s">
        <v>343</v>
      </c>
      <c r="V68" s="48" t="s">
        <v>342</v>
      </c>
      <c r="W68" s="48" t="s">
        <v>342</v>
      </c>
    </row>
    <row r="69" spans="1:23">
      <c r="A69" s="40" t="s">
        <v>430</v>
      </c>
      <c r="B69" s="40" t="s">
        <v>399</v>
      </c>
      <c r="C69" s="39" t="s">
        <v>668</v>
      </c>
      <c r="D69" s="72" t="s">
        <v>339</v>
      </c>
      <c r="E69" s="40" t="s">
        <v>153</v>
      </c>
      <c r="F69" s="39" t="s">
        <v>154</v>
      </c>
      <c r="G69" s="42">
        <v>1.8</v>
      </c>
      <c r="H69" s="42">
        <v>3.5</v>
      </c>
      <c r="I69" s="41">
        <v>-219537164</v>
      </c>
      <c r="J69" s="41">
        <v>-2390</v>
      </c>
      <c r="K69" s="46">
        <v>91856.55</v>
      </c>
      <c r="L69" s="41">
        <v>81000</v>
      </c>
      <c r="M69" s="45" t="s">
        <v>269</v>
      </c>
      <c r="N69" s="44" t="s">
        <v>342</v>
      </c>
      <c r="O69" s="43">
        <v>0</v>
      </c>
      <c r="P69" s="41">
        <v>25947164</v>
      </c>
      <c r="Q69" s="42">
        <v>11.82</v>
      </c>
      <c r="R69" s="41">
        <v>0</v>
      </c>
      <c r="S69" s="41">
        <v>2464457</v>
      </c>
      <c r="T69" s="40" t="s">
        <v>269</v>
      </c>
      <c r="U69" s="39" t="s">
        <v>343</v>
      </c>
      <c r="V69" s="38" t="s">
        <v>342</v>
      </c>
      <c r="W69" s="38" t="s">
        <v>342</v>
      </c>
    </row>
    <row r="70" spans="1:23">
      <c r="A70" s="50" t="s">
        <v>429</v>
      </c>
      <c r="B70" s="50" t="s">
        <v>399</v>
      </c>
      <c r="C70" s="49" t="s">
        <v>668</v>
      </c>
      <c r="D70" s="77" t="s">
        <v>339</v>
      </c>
      <c r="E70" s="50" t="s">
        <v>310</v>
      </c>
      <c r="F70" s="49" t="s">
        <v>311</v>
      </c>
      <c r="G70" s="52">
        <v>0.88</v>
      </c>
      <c r="H70" s="52">
        <v>1.71</v>
      </c>
      <c r="I70" s="51">
        <v>-104197221</v>
      </c>
      <c r="J70" s="51">
        <v>-6280</v>
      </c>
      <c r="K70" s="56">
        <v>16591.91</v>
      </c>
      <c r="L70" s="62">
        <v>15100</v>
      </c>
      <c r="M70" s="61" t="s">
        <v>362</v>
      </c>
      <c r="N70" s="60" t="s">
        <v>371</v>
      </c>
      <c r="O70" s="59">
        <v>-1.95</v>
      </c>
      <c r="P70" s="51">
        <v>9369221</v>
      </c>
      <c r="Q70" s="52">
        <v>8.99</v>
      </c>
      <c r="R70" s="51">
        <v>1884000</v>
      </c>
      <c r="S70" s="51">
        <v>885465</v>
      </c>
      <c r="T70" s="50" t="s">
        <v>269</v>
      </c>
      <c r="U70" s="49" t="s">
        <v>343</v>
      </c>
      <c r="V70" s="48" t="s">
        <v>342</v>
      </c>
      <c r="W70" s="48" t="s">
        <v>342</v>
      </c>
    </row>
    <row r="71" spans="1:23">
      <c r="A71" s="40" t="s">
        <v>427</v>
      </c>
      <c r="B71" s="40" t="s">
        <v>399</v>
      </c>
      <c r="C71" s="39" t="s">
        <v>668</v>
      </c>
      <c r="D71" s="72" t="s">
        <v>339</v>
      </c>
      <c r="E71" s="40" t="s">
        <v>432</v>
      </c>
      <c r="F71" s="39" t="s">
        <v>431</v>
      </c>
      <c r="G71" s="42">
        <v>1.63</v>
      </c>
      <c r="H71" s="42">
        <v>3.17</v>
      </c>
      <c r="I71" s="41">
        <v>-172416880</v>
      </c>
      <c r="J71" s="41">
        <v>-7356</v>
      </c>
      <c r="K71" s="46">
        <v>23438.95</v>
      </c>
      <c r="L71" s="70">
        <v>23850</v>
      </c>
      <c r="M71" s="69" t="s">
        <v>362</v>
      </c>
      <c r="N71" s="68" t="s">
        <v>401</v>
      </c>
      <c r="O71" s="67">
        <v>-0.62</v>
      </c>
      <c r="P71" s="41">
        <v>-3023720</v>
      </c>
      <c r="Q71" s="42">
        <v>-1.75</v>
      </c>
      <c r="R71" s="41">
        <v>1103400</v>
      </c>
      <c r="S71" s="41">
        <v>2374144</v>
      </c>
      <c r="T71" s="40" t="s">
        <v>269</v>
      </c>
      <c r="U71" s="39" t="s">
        <v>343</v>
      </c>
      <c r="V71" s="38" t="s">
        <v>342</v>
      </c>
      <c r="W71" s="38" t="s">
        <v>342</v>
      </c>
    </row>
    <row r="72" spans="1:23">
      <c r="A72" s="50" t="s">
        <v>375</v>
      </c>
      <c r="B72" s="50" t="s">
        <v>399</v>
      </c>
      <c r="C72" s="49" t="s">
        <v>668</v>
      </c>
      <c r="D72" s="77" t="s">
        <v>339</v>
      </c>
      <c r="E72" s="50" t="s">
        <v>261</v>
      </c>
      <c r="F72" s="49" t="s">
        <v>262</v>
      </c>
      <c r="G72" s="52">
        <v>0.52</v>
      </c>
      <c r="H72" s="52">
        <v>1.01</v>
      </c>
      <c r="I72" s="51">
        <v>-62585420</v>
      </c>
      <c r="J72" s="51">
        <v>-852</v>
      </c>
      <c r="K72" s="56">
        <v>73457.070000000007</v>
      </c>
      <c r="L72" s="76">
        <v>66200</v>
      </c>
      <c r="M72" s="75" t="s">
        <v>367</v>
      </c>
      <c r="N72" s="74" t="s">
        <v>384</v>
      </c>
      <c r="O72" s="73">
        <v>1.53</v>
      </c>
      <c r="P72" s="51">
        <v>6183020</v>
      </c>
      <c r="Q72" s="52">
        <v>9.8800000000000008</v>
      </c>
      <c r="R72" s="51">
        <v>-852000</v>
      </c>
      <c r="S72" s="51">
        <v>974776</v>
      </c>
      <c r="T72" s="50" t="s">
        <v>269</v>
      </c>
      <c r="U72" s="49" t="s">
        <v>343</v>
      </c>
      <c r="V72" s="48" t="s">
        <v>342</v>
      </c>
      <c r="W72" s="48" t="s">
        <v>342</v>
      </c>
    </row>
    <row r="73" spans="1:23">
      <c r="A73" s="40" t="s">
        <v>422</v>
      </c>
      <c r="B73" s="40" t="s">
        <v>399</v>
      </c>
      <c r="C73" s="39" t="s">
        <v>668</v>
      </c>
      <c r="D73" s="72" t="s">
        <v>339</v>
      </c>
      <c r="E73" s="40" t="s">
        <v>163</v>
      </c>
      <c r="F73" s="39" t="s">
        <v>164</v>
      </c>
      <c r="G73" s="42">
        <v>0.5</v>
      </c>
      <c r="H73" s="42">
        <v>0.97</v>
      </c>
      <c r="I73" s="41">
        <v>-52064918</v>
      </c>
      <c r="J73" s="41">
        <v>-200</v>
      </c>
      <c r="K73" s="46">
        <v>260324.59</v>
      </c>
      <c r="L73" s="66">
        <v>268500</v>
      </c>
      <c r="M73" s="65" t="s">
        <v>367</v>
      </c>
      <c r="N73" s="64" t="s">
        <v>428</v>
      </c>
      <c r="O73" s="63">
        <v>0.19</v>
      </c>
      <c r="P73" s="41">
        <v>-1635082</v>
      </c>
      <c r="Q73" s="42">
        <v>-3.14</v>
      </c>
      <c r="R73" s="41">
        <v>-100000</v>
      </c>
      <c r="S73" s="41">
        <v>2844446</v>
      </c>
      <c r="T73" s="40" t="s">
        <v>269</v>
      </c>
      <c r="U73" s="39" t="s">
        <v>343</v>
      </c>
      <c r="V73" s="38" t="s">
        <v>342</v>
      </c>
      <c r="W73" s="38" t="s">
        <v>342</v>
      </c>
    </row>
    <row r="74" spans="1:23">
      <c r="A74" s="50" t="s">
        <v>421</v>
      </c>
      <c r="B74" s="50" t="s">
        <v>399</v>
      </c>
      <c r="C74" s="49" t="s">
        <v>668</v>
      </c>
      <c r="D74" s="77" t="s">
        <v>339</v>
      </c>
      <c r="E74" s="50" t="s">
        <v>165</v>
      </c>
      <c r="F74" s="49" t="s">
        <v>166</v>
      </c>
      <c r="G74" s="52">
        <v>0.7</v>
      </c>
      <c r="H74" s="52">
        <v>1.35</v>
      </c>
      <c r="I74" s="51">
        <v>-67656175</v>
      </c>
      <c r="J74" s="51">
        <v>-2202</v>
      </c>
      <c r="K74" s="56">
        <v>30724.880000000001</v>
      </c>
      <c r="L74" s="62">
        <v>34100</v>
      </c>
      <c r="M74" s="61" t="s">
        <v>362</v>
      </c>
      <c r="N74" s="60" t="s">
        <v>426</v>
      </c>
      <c r="O74" s="59">
        <v>-3.94</v>
      </c>
      <c r="P74" s="51">
        <v>-7432025</v>
      </c>
      <c r="Q74" s="52">
        <v>-10.98</v>
      </c>
      <c r="R74" s="51">
        <v>3082800</v>
      </c>
      <c r="S74" s="51">
        <v>839762</v>
      </c>
      <c r="T74" s="50" t="s">
        <v>269</v>
      </c>
      <c r="U74" s="49" t="s">
        <v>343</v>
      </c>
      <c r="V74" s="48" t="s">
        <v>342</v>
      </c>
      <c r="W74" s="48" t="s">
        <v>342</v>
      </c>
    </row>
    <row r="75" spans="1:23">
      <c r="A75" s="40" t="s">
        <v>420</v>
      </c>
      <c r="B75" s="40" t="s">
        <v>399</v>
      </c>
      <c r="C75" s="39" t="s">
        <v>668</v>
      </c>
      <c r="D75" s="72" t="s">
        <v>339</v>
      </c>
      <c r="E75" s="40" t="s">
        <v>425</v>
      </c>
      <c r="F75" s="39" t="s">
        <v>424</v>
      </c>
      <c r="G75" s="42">
        <v>1.59</v>
      </c>
      <c r="H75" s="42">
        <v>3.08</v>
      </c>
      <c r="I75" s="41">
        <v>-175044275</v>
      </c>
      <c r="J75" s="41">
        <v>-1580</v>
      </c>
      <c r="K75" s="46">
        <v>110787.52</v>
      </c>
      <c r="L75" s="70">
        <v>108000</v>
      </c>
      <c r="M75" s="69" t="s">
        <v>362</v>
      </c>
      <c r="N75" s="68" t="s">
        <v>423</v>
      </c>
      <c r="O75" s="67">
        <v>-0.55000000000000004</v>
      </c>
      <c r="P75" s="41">
        <v>4404275</v>
      </c>
      <c r="Q75" s="42">
        <v>2.52</v>
      </c>
      <c r="R75" s="41">
        <v>948000</v>
      </c>
      <c r="S75" s="41">
        <v>947642</v>
      </c>
      <c r="T75" s="40" t="s">
        <v>269</v>
      </c>
      <c r="U75" s="39" t="s">
        <v>343</v>
      </c>
      <c r="V75" s="38" t="s">
        <v>342</v>
      </c>
      <c r="W75" s="38" t="s">
        <v>342</v>
      </c>
    </row>
    <row r="76" spans="1:23">
      <c r="A76" s="50" t="s">
        <v>418</v>
      </c>
      <c r="B76" s="50" t="s">
        <v>399</v>
      </c>
      <c r="C76" s="49" t="s">
        <v>668</v>
      </c>
      <c r="D76" s="77" t="s">
        <v>339</v>
      </c>
      <c r="E76" s="50" t="s">
        <v>316</v>
      </c>
      <c r="F76" s="49" t="s">
        <v>317</v>
      </c>
      <c r="G76" s="52">
        <v>0.43</v>
      </c>
      <c r="H76" s="52">
        <v>0.84</v>
      </c>
      <c r="I76" s="51">
        <v>-53001834</v>
      </c>
      <c r="J76" s="51">
        <v>-1830</v>
      </c>
      <c r="K76" s="56">
        <v>28962.75</v>
      </c>
      <c r="L76" s="76">
        <v>25500</v>
      </c>
      <c r="M76" s="75" t="s">
        <v>367</v>
      </c>
      <c r="N76" s="74" t="s">
        <v>391</v>
      </c>
      <c r="O76" s="73">
        <v>3.24</v>
      </c>
      <c r="P76" s="51">
        <v>6336834</v>
      </c>
      <c r="Q76" s="52">
        <v>11.96</v>
      </c>
      <c r="R76" s="51">
        <v>-1464000</v>
      </c>
      <c r="S76" s="51">
        <v>212766</v>
      </c>
      <c r="T76" s="50" t="s">
        <v>269</v>
      </c>
      <c r="U76" s="49" t="s">
        <v>343</v>
      </c>
      <c r="V76" s="48" t="s">
        <v>342</v>
      </c>
      <c r="W76" s="48" t="s">
        <v>342</v>
      </c>
    </row>
    <row r="77" spans="1:23">
      <c r="A77" s="40" t="s">
        <v>417</v>
      </c>
      <c r="B77" s="40" t="s">
        <v>399</v>
      </c>
      <c r="C77" s="39" t="s">
        <v>668</v>
      </c>
      <c r="D77" s="72" t="s">
        <v>339</v>
      </c>
      <c r="E77" s="40" t="s">
        <v>240</v>
      </c>
      <c r="F77" s="39" t="s">
        <v>241</v>
      </c>
      <c r="G77" s="42">
        <v>1.41</v>
      </c>
      <c r="H77" s="42">
        <v>2.74</v>
      </c>
      <c r="I77" s="41">
        <v>-158886016</v>
      </c>
      <c r="J77" s="41">
        <v>-1813</v>
      </c>
      <c r="K77" s="46">
        <v>87637.07</v>
      </c>
      <c r="L77" s="66">
        <v>83800</v>
      </c>
      <c r="M77" s="65" t="s">
        <v>367</v>
      </c>
      <c r="N77" s="64" t="s">
        <v>371</v>
      </c>
      <c r="O77" s="63">
        <v>0.36</v>
      </c>
      <c r="P77" s="41">
        <v>6956616</v>
      </c>
      <c r="Q77" s="42">
        <v>4.38</v>
      </c>
      <c r="R77" s="41">
        <v>-543900</v>
      </c>
      <c r="S77" s="41">
        <v>1049888</v>
      </c>
      <c r="T77" s="40" t="s">
        <v>269</v>
      </c>
      <c r="U77" s="39" t="s">
        <v>343</v>
      </c>
      <c r="V77" s="38" t="s">
        <v>342</v>
      </c>
      <c r="W77" s="38" t="s">
        <v>342</v>
      </c>
    </row>
    <row r="78" spans="1:23">
      <c r="A78" s="50" t="s">
        <v>413</v>
      </c>
      <c r="B78" s="50" t="s">
        <v>399</v>
      </c>
      <c r="C78" s="49" t="s">
        <v>668</v>
      </c>
      <c r="D78" s="77" t="s">
        <v>339</v>
      </c>
      <c r="E78" s="50" t="s">
        <v>218</v>
      </c>
      <c r="F78" s="49" t="s">
        <v>219</v>
      </c>
      <c r="G78" s="52">
        <v>1.59</v>
      </c>
      <c r="H78" s="52">
        <v>3.08</v>
      </c>
      <c r="I78" s="51">
        <v>-182537656</v>
      </c>
      <c r="J78" s="51">
        <v>-7044</v>
      </c>
      <c r="K78" s="56">
        <v>25913.919999999998</v>
      </c>
      <c r="L78" s="76">
        <v>24200</v>
      </c>
      <c r="M78" s="75" t="s">
        <v>367</v>
      </c>
      <c r="N78" s="74" t="s">
        <v>419</v>
      </c>
      <c r="O78" s="73">
        <v>3.2</v>
      </c>
      <c r="P78" s="51">
        <v>12072856</v>
      </c>
      <c r="Q78" s="52">
        <v>6.61</v>
      </c>
      <c r="R78" s="51">
        <v>-5283000</v>
      </c>
      <c r="S78" s="51">
        <v>1351202</v>
      </c>
      <c r="T78" s="50" t="s">
        <v>269</v>
      </c>
      <c r="U78" s="49" t="s">
        <v>343</v>
      </c>
      <c r="V78" s="48" t="s">
        <v>342</v>
      </c>
      <c r="W78" s="48" t="s">
        <v>342</v>
      </c>
    </row>
    <row r="79" spans="1:23">
      <c r="A79" s="40" t="s">
        <v>412</v>
      </c>
      <c r="B79" s="40" t="s">
        <v>399</v>
      </c>
      <c r="C79" s="39" t="s">
        <v>668</v>
      </c>
      <c r="D79" s="72" t="s">
        <v>339</v>
      </c>
      <c r="E79" s="40" t="s">
        <v>263</v>
      </c>
      <c r="F79" s="39" t="s">
        <v>264</v>
      </c>
      <c r="G79" s="42">
        <v>1.53</v>
      </c>
      <c r="H79" s="42">
        <v>2.98</v>
      </c>
      <c r="I79" s="41">
        <v>-171505736</v>
      </c>
      <c r="J79" s="41">
        <v>-1320</v>
      </c>
      <c r="K79" s="46">
        <v>129928.59</v>
      </c>
      <c r="L79" s="70">
        <v>125000</v>
      </c>
      <c r="M79" s="69" t="s">
        <v>362</v>
      </c>
      <c r="N79" s="68" t="s">
        <v>398</v>
      </c>
      <c r="O79" s="67">
        <v>-1.57</v>
      </c>
      <c r="P79" s="41">
        <v>6505736</v>
      </c>
      <c r="Q79" s="42">
        <v>3.79</v>
      </c>
      <c r="R79" s="41">
        <v>2640000</v>
      </c>
      <c r="S79" s="41">
        <v>688664</v>
      </c>
      <c r="T79" s="40" t="s">
        <v>269</v>
      </c>
      <c r="U79" s="39" t="s">
        <v>343</v>
      </c>
      <c r="V79" s="38" t="s">
        <v>342</v>
      </c>
      <c r="W79" s="38" t="s">
        <v>342</v>
      </c>
    </row>
    <row r="80" spans="1:23">
      <c r="A80" s="50" t="s">
        <v>409</v>
      </c>
      <c r="B80" s="50" t="s">
        <v>399</v>
      </c>
      <c r="C80" s="49" t="s">
        <v>668</v>
      </c>
      <c r="D80" s="77" t="s">
        <v>339</v>
      </c>
      <c r="E80" s="50" t="s">
        <v>416</v>
      </c>
      <c r="F80" s="49" t="s">
        <v>415</v>
      </c>
      <c r="G80" s="52">
        <v>0.52</v>
      </c>
      <c r="H80" s="52">
        <v>1.01</v>
      </c>
      <c r="I80" s="51">
        <v>-52654297</v>
      </c>
      <c r="J80" s="51">
        <v>-2990</v>
      </c>
      <c r="K80" s="56">
        <v>17610.13</v>
      </c>
      <c r="L80" s="62">
        <v>18700</v>
      </c>
      <c r="M80" s="61" t="s">
        <v>362</v>
      </c>
      <c r="N80" s="60" t="s">
        <v>414</v>
      </c>
      <c r="O80" s="59">
        <v>-1.06</v>
      </c>
      <c r="P80" s="51">
        <v>-3258703</v>
      </c>
      <c r="Q80" s="52">
        <v>-6.19</v>
      </c>
      <c r="R80" s="51">
        <v>598000</v>
      </c>
      <c r="S80" s="51">
        <v>211403</v>
      </c>
      <c r="T80" s="50" t="s">
        <v>269</v>
      </c>
      <c r="U80" s="49" t="s">
        <v>343</v>
      </c>
      <c r="V80" s="48" t="s">
        <v>342</v>
      </c>
      <c r="W80" s="48" t="s">
        <v>342</v>
      </c>
    </row>
    <row r="81" spans="1:23">
      <c r="A81" s="40" t="s">
        <v>408</v>
      </c>
      <c r="B81" s="40" t="s">
        <v>399</v>
      </c>
      <c r="C81" s="39" t="s">
        <v>668</v>
      </c>
      <c r="D81" s="72" t="s">
        <v>339</v>
      </c>
      <c r="E81" s="40" t="s">
        <v>280</v>
      </c>
      <c r="F81" s="39" t="s">
        <v>281</v>
      </c>
      <c r="G81" s="42">
        <v>1.98</v>
      </c>
      <c r="H81" s="42">
        <v>3.85</v>
      </c>
      <c r="I81" s="41">
        <v>-224832706</v>
      </c>
      <c r="J81" s="41">
        <v>-1350</v>
      </c>
      <c r="K81" s="46">
        <v>166542.75</v>
      </c>
      <c r="L81" s="66">
        <v>158000</v>
      </c>
      <c r="M81" s="65" t="s">
        <v>367</v>
      </c>
      <c r="N81" s="64" t="s">
        <v>398</v>
      </c>
      <c r="O81" s="63">
        <v>1.28</v>
      </c>
      <c r="P81" s="41">
        <v>11532706</v>
      </c>
      <c r="Q81" s="42">
        <v>5.13</v>
      </c>
      <c r="R81" s="41">
        <v>-2700000</v>
      </c>
      <c r="S81" s="41">
        <v>1458980</v>
      </c>
      <c r="T81" s="40" t="s">
        <v>269</v>
      </c>
      <c r="U81" s="39" t="s">
        <v>343</v>
      </c>
      <c r="V81" s="38" t="s">
        <v>342</v>
      </c>
      <c r="W81" s="38" t="s">
        <v>342</v>
      </c>
    </row>
    <row r="82" spans="1:23">
      <c r="A82" s="50" t="s">
        <v>407</v>
      </c>
      <c r="B82" s="50" t="s">
        <v>399</v>
      </c>
      <c r="C82" s="49" t="s">
        <v>668</v>
      </c>
      <c r="D82" s="77" t="s">
        <v>339</v>
      </c>
      <c r="E82" s="50" t="s">
        <v>411</v>
      </c>
      <c r="F82" s="49" t="s">
        <v>410</v>
      </c>
      <c r="G82" s="52">
        <v>0.95</v>
      </c>
      <c r="H82" s="52">
        <v>1.85</v>
      </c>
      <c r="I82" s="51">
        <v>-106948982</v>
      </c>
      <c r="J82" s="51">
        <v>-1670</v>
      </c>
      <c r="K82" s="56">
        <v>64041.31</v>
      </c>
      <c r="L82" s="62">
        <v>61600</v>
      </c>
      <c r="M82" s="61" t="s">
        <v>362</v>
      </c>
      <c r="N82" s="60" t="s">
        <v>355</v>
      </c>
      <c r="O82" s="59">
        <v>-0.16</v>
      </c>
      <c r="P82" s="51">
        <v>4076982</v>
      </c>
      <c r="Q82" s="52">
        <v>3.81</v>
      </c>
      <c r="R82" s="51">
        <v>167000</v>
      </c>
      <c r="S82" s="51">
        <v>1020684</v>
      </c>
      <c r="T82" s="50" t="s">
        <v>269</v>
      </c>
      <c r="U82" s="49" t="s">
        <v>343</v>
      </c>
      <c r="V82" s="48" t="s">
        <v>342</v>
      </c>
      <c r="W82" s="48" t="s">
        <v>342</v>
      </c>
    </row>
    <row r="83" spans="1:23">
      <c r="A83" s="40" t="s">
        <v>405</v>
      </c>
      <c r="B83" s="40" t="s">
        <v>399</v>
      </c>
      <c r="C83" s="39" t="s">
        <v>668</v>
      </c>
      <c r="D83" s="72" t="s">
        <v>339</v>
      </c>
      <c r="E83" s="40" t="s">
        <v>296</v>
      </c>
      <c r="F83" s="39" t="s">
        <v>297</v>
      </c>
      <c r="G83" s="42">
        <v>1.68</v>
      </c>
      <c r="H83" s="42">
        <v>3.26</v>
      </c>
      <c r="I83" s="41">
        <v>-204074370</v>
      </c>
      <c r="J83" s="41">
        <v>-5883</v>
      </c>
      <c r="K83" s="46">
        <v>34688.83</v>
      </c>
      <c r="L83" s="70">
        <v>30650</v>
      </c>
      <c r="M83" s="69" t="s">
        <v>362</v>
      </c>
      <c r="N83" s="68" t="s">
        <v>355</v>
      </c>
      <c r="O83" s="67">
        <v>-0.33</v>
      </c>
      <c r="P83" s="41">
        <v>23760420</v>
      </c>
      <c r="Q83" s="42">
        <v>11.64</v>
      </c>
      <c r="R83" s="41">
        <v>588300</v>
      </c>
      <c r="S83" s="41">
        <v>819280</v>
      </c>
      <c r="T83" s="40" t="s">
        <v>269</v>
      </c>
      <c r="U83" s="39" t="s">
        <v>343</v>
      </c>
      <c r="V83" s="38" t="s">
        <v>342</v>
      </c>
      <c r="W83" s="38" t="s">
        <v>342</v>
      </c>
    </row>
    <row r="84" spans="1:23">
      <c r="A84" s="50" t="s">
        <v>402</v>
      </c>
      <c r="B84" s="50" t="s">
        <v>399</v>
      </c>
      <c r="C84" s="49" t="s">
        <v>668</v>
      </c>
      <c r="D84" s="77" t="s">
        <v>339</v>
      </c>
      <c r="E84" s="50" t="s">
        <v>312</v>
      </c>
      <c r="F84" s="49" t="s">
        <v>313</v>
      </c>
      <c r="G84" s="52">
        <v>0.45</v>
      </c>
      <c r="H84" s="52">
        <v>0.88</v>
      </c>
      <c r="I84" s="51">
        <v>-50823423</v>
      </c>
      <c r="J84" s="51">
        <v>-400</v>
      </c>
      <c r="K84" s="56">
        <v>127058.56</v>
      </c>
      <c r="L84" s="76">
        <v>122800</v>
      </c>
      <c r="M84" s="75" t="s">
        <v>367</v>
      </c>
      <c r="N84" s="74" t="s">
        <v>371</v>
      </c>
      <c r="O84" s="73">
        <v>0.24</v>
      </c>
      <c r="P84" s="51">
        <v>1703423</v>
      </c>
      <c r="Q84" s="52">
        <v>3.35</v>
      </c>
      <c r="R84" s="51">
        <v>-120000</v>
      </c>
      <c r="S84" s="51">
        <v>204077</v>
      </c>
      <c r="T84" s="50" t="s">
        <v>269</v>
      </c>
      <c r="U84" s="49" t="s">
        <v>343</v>
      </c>
      <c r="V84" s="48" t="s">
        <v>342</v>
      </c>
      <c r="W84" s="48" t="s">
        <v>342</v>
      </c>
    </row>
    <row r="85" spans="1:23">
      <c r="A85" s="40" t="s">
        <v>400</v>
      </c>
      <c r="B85" s="40" t="s">
        <v>399</v>
      </c>
      <c r="C85" s="39" t="s">
        <v>669</v>
      </c>
      <c r="D85" s="47" t="s">
        <v>338</v>
      </c>
      <c r="E85" s="40" t="s">
        <v>322</v>
      </c>
      <c r="F85" s="39" t="s">
        <v>323</v>
      </c>
      <c r="G85" s="42">
        <v>1.49</v>
      </c>
      <c r="H85" s="42">
        <v>2.09</v>
      </c>
      <c r="I85" s="41">
        <v>165838670</v>
      </c>
      <c r="J85" s="41">
        <v>387</v>
      </c>
      <c r="K85" s="58">
        <v>428523.7</v>
      </c>
      <c r="L85" s="70">
        <v>415000</v>
      </c>
      <c r="M85" s="69" t="s">
        <v>362</v>
      </c>
      <c r="N85" s="68" t="s">
        <v>406</v>
      </c>
      <c r="O85" s="67">
        <v>-2.12</v>
      </c>
      <c r="P85" s="41">
        <v>-5233670</v>
      </c>
      <c r="Q85" s="42">
        <v>-3.16</v>
      </c>
      <c r="R85" s="41">
        <v>-3483000</v>
      </c>
      <c r="S85" s="41">
        <v>165670</v>
      </c>
      <c r="T85" s="40" t="s">
        <v>269</v>
      </c>
      <c r="U85" s="39" t="s">
        <v>343</v>
      </c>
      <c r="V85" s="38" t="s">
        <v>342</v>
      </c>
      <c r="W85" s="38" t="s">
        <v>342</v>
      </c>
    </row>
    <row r="86" spans="1:23">
      <c r="A86" s="50" t="s">
        <v>397</v>
      </c>
      <c r="B86" s="50" t="s">
        <v>399</v>
      </c>
      <c r="C86" s="49" t="s">
        <v>669</v>
      </c>
      <c r="D86" s="57" t="s">
        <v>338</v>
      </c>
      <c r="E86" s="50" t="s">
        <v>404</v>
      </c>
      <c r="F86" s="49" t="s">
        <v>403</v>
      </c>
      <c r="G86" s="52">
        <v>3.63</v>
      </c>
      <c r="H86" s="52">
        <v>5.09</v>
      </c>
      <c r="I86" s="51">
        <v>416851970</v>
      </c>
      <c r="J86" s="51">
        <v>48320</v>
      </c>
      <c r="K86" s="78">
        <v>8626.9</v>
      </c>
      <c r="L86" s="62">
        <v>8070</v>
      </c>
      <c r="M86" s="61" t="s">
        <v>362</v>
      </c>
      <c r="N86" s="60" t="s">
        <v>383</v>
      </c>
      <c r="O86" s="59">
        <v>-1.1000000000000001</v>
      </c>
      <c r="P86" s="51">
        <v>-26909570</v>
      </c>
      <c r="Q86" s="52">
        <v>-6.46</v>
      </c>
      <c r="R86" s="51">
        <v>-4348800</v>
      </c>
      <c r="S86" s="51">
        <v>383880</v>
      </c>
      <c r="T86" s="50" t="s">
        <v>269</v>
      </c>
      <c r="U86" s="49" t="s">
        <v>343</v>
      </c>
      <c r="V86" s="48" t="s">
        <v>342</v>
      </c>
      <c r="W86" s="48" t="s">
        <v>342</v>
      </c>
    </row>
    <row r="87" spans="1:23">
      <c r="A87" s="40" t="s">
        <v>396</v>
      </c>
      <c r="B87" s="40" t="s">
        <v>399</v>
      </c>
      <c r="C87" s="39" t="s">
        <v>669</v>
      </c>
      <c r="D87" s="72" t="s">
        <v>339</v>
      </c>
      <c r="E87" s="40" t="s">
        <v>308</v>
      </c>
      <c r="F87" s="39" t="s">
        <v>309</v>
      </c>
      <c r="G87" s="42">
        <v>3.37</v>
      </c>
      <c r="H87" s="42">
        <v>6.53</v>
      </c>
      <c r="I87" s="41">
        <v>-380886164</v>
      </c>
      <c r="J87" s="41">
        <v>-8670</v>
      </c>
      <c r="K87" s="46">
        <v>43931.51</v>
      </c>
      <c r="L87" s="70">
        <v>41700</v>
      </c>
      <c r="M87" s="69" t="s">
        <v>362</v>
      </c>
      <c r="N87" s="68" t="s">
        <v>401</v>
      </c>
      <c r="O87" s="67">
        <v>-0.36</v>
      </c>
      <c r="P87" s="41">
        <v>19347164</v>
      </c>
      <c r="Q87" s="42">
        <v>5.08</v>
      </c>
      <c r="R87" s="41">
        <v>1300500</v>
      </c>
      <c r="S87" s="41">
        <v>1040994</v>
      </c>
      <c r="T87" s="40" t="s">
        <v>269</v>
      </c>
      <c r="U87" s="39" t="s">
        <v>343</v>
      </c>
      <c r="V87" s="38" t="s">
        <v>342</v>
      </c>
      <c r="W87" s="38" t="s">
        <v>342</v>
      </c>
    </row>
    <row r="88" spans="1:23">
      <c r="A88" s="50" t="s">
        <v>394</v>
      </c>
      <c r="B88" s="50" t="s">
        <v>399</v>
      </c>
      <c r="C88" s="49" t="s">
        <v>669</v>
      </c>
      <c r="D88" s="77" t="s">
        <v>339</v>
      </c>
      <c r="E88" s="50" t="s">
        <v>90</v>
      </c>
      <c r="F88" s="49" t="s">
        <v>91</v>
      </c>
      <c r="G88" s="52">
        <v>1.34</v>
      </c>
      <c r="H88" s="52">
        <v>2.6</v>
      </c>
      <c r="I88" s="51">
        <v>-157023074</v>
      </c>
      <c r="J88" s="51">
        <v>-1290</v>
      </c>
      <c r="K88" s="56">
        <v>121723.31</v>
      </c>
      <c r="L88" s="62">
        <v>111500</v>
      </c>
      <c r="M88" s="61" t="s">
        <v>362</v>
      </c>
      <c r="N88" s="60" t="s">
        <v>398</v>
      </c>
      <c r="O88" s="59">
        <v>-1.76</v>
      </c>
      <c r="P88" s="51">
        <v>13188074</v>
      </c>
      <c r="Q88" s="52">
        <v>8.4</v>
      </c>
      <c r="R88" s="51">
        <v>2580000</v>
      </c>
      <c r="S88" s="51">
        <v>413366</v>
      </c>
      <c r="T88" s="50" t="s">
        <v>269</v>
      </c>
      <c r="U88" s="49" t="s">
        <v>343</v>
      </c>
      <c r="V88" s="48" t="s">
        <v>342</v>
      </c>
      <c r="W88" s="48" t="s">
        <v>342</v>
      </c>
    </row>
    <row r="89" spans="1:23">
      <c r="A89" s="40" t="s">
        <v>390</v>
      </c>
      <c r="B89" s="40" t="s">
        <v>378</v>
      </c>
      <c r="C89" s="39" t="s">
        <v>255</v>
      </c>
      <c r="D89" s="47" t="s">
        <v>338</v>
      </c>
      <c r="E89" s="40" t="s">
        <v>298</v>
      </c>
      <c r="F89" s="39" t="s">
        <v>299</v>
      </c>
      <c r="G89" s="42">
        <v>1.02</v>
      </c>
      <c r="H89" s="42">
        <v>13.33</v>
      </c>
      <c r="I89" s="41">
        <v>110258130</v>
      </c>
      <c r="J89" s="41">
        <v>3154</v>
      </c>
      <c r="K89" s="46">
        <v>34958.19</v>
      </c>
      <c r="L89" s="66">
        <v>34950</v>
      </c>
      <c r="M89" s="65" t="s">
        <v>367</v>
      </c>
      <c r="N89" s="64" t="s">
        <v>395</v>
      </c>
      <c r="O89" s="63">
        <v>1.1599999999999999</v>
      </c>
      <c r="P89" s="41">
        <v>-25830</v>
      </c>
      <c r="Q89" s="42">
        <v>-0.02</v>
      </c>
      <c r="R89" s="41">
        <v>1261600</v>
      </c>
      <c r="S89" s="41">
        <v>110130</v>
      </c>
      <c r="T89" s="40" t="s">
        <v>269</v>
      </c>
      <c r="U89" s="39" t="s">
        <v>343</v>
      </c>
      <c r="V89" s="38" t="s">
        <v>342</v>
      </c>
      <c r="W89" s="38" t="s">
        <v>342</v>
      </c>
    </row>
    <row r="90" spans="1:23">
      <c r="A90" s="50" t="s">
        <v>388</v>
      </c>
      <c r="B90" s="50" t="s">
        <v>378</v>
      </c>
      <c r="C90" s="49" t="s">
        <v>255</v>
      </c>
      <c r="D90" s="57" t="s">
        <v>338</v>
      </c>
      <c r="E90" s="50" t="s">
        <v>50</v>
      </c>
      <c r="F90" s="49" t="s">
        <v>51</v>
      </c>
      <c r="G90" s="52">
        <v>1</v>
      </c>
      <c r="H90" s="52">
        <v>13.01</v>
      </c>
      <c r="I90" s="51">
        <v>120102424</v>
      </c>
      <c r="J90" s="51">
        <v>5532</v>
      </c>
      <c r="K90" s="56">
        <v>21710.49</v>
      </c>
      <c r="L90" s="76">
        <v>19450</v>
      </c>
      <c r="M90" s="75" t="s">
        <v>367</v>
      </c>
      <c r="N90" s="74" t="s">
        <v>395</v>
      </c>
      <c r="O90" s="73">
        <v>2.1</v>
      </c>
      <c r="P90" s="51">
        <v>-12505024</v>
      </c>
      <c r="Q90" s="52">
        <v>-10.41</v>
      </c>
      <c r="R90" s="51">
        <v>2212800</v>
      </c>
      <c r="S90" s="51">
        <v>343354</v>
      </c>
      <c r="T90" s="50" t="s">
        <v>269</v>
      </c>
      <c r="U90" s="49" t="s">
        <v>343</v>
      </c>
      <c r="V90" s="48" t="s">
        <v>342</v>
      </c>
      <c r="W90" s="48" t="s">
        <v>342</v>
      </c>
    </row>
    <row r="91" spans="1:23">
      <c r="A91" s="40" t="s">
        <v>387</v>
      </c>
      <c r="B91" s="40" t="s">
        <v>378</v>
      </c>
      <c r="C91" s="39" t="s">
        <v>255</v>
      </c>
      <c r="D91" s="47" t="s">
        <v>338</v>
      </c>
      <c r="E91" s="40" t="s">
        <v>393</v>
      </c>
      <c r="F91" s="39" t="s">
        <v>392</v>
      </c>
      <c r="G91" s="42">
        <v>0.98</v>
      </c>
      <c r="H91" s="42">
        <v>12.78</v>
      </c>
      <c r="I91" s="41">
        <v>110230430</v>
      </c>
      <c r="J91" s="41">
        <v>1710</v>
      </c>
      <c r="K91" s="46">
        <v>64462.239999999998</v>
      </c>
      <c r="L91" s="66">
        <v>61800</v>
      </c>
      <c r="M91" s="65" t="s">
        <v>367</v>
      </c>
      <c r="N91" s="64" t="s">
        <v>391</v>
      </c>
      <c r="O91" s="63">
        <v>1.31</v>
      </c>
      <c r="P91" s="41">
        <v>-4552430</v>
      </c>
      <c r="Q91" s="42">
        <v>-4.13</v>
      </c>
      <c r="R91" s="41">
        <v>1368000</v>
      </c>
      <c r="S91" s="41">
        <v>106830</v>
      </c>
      <c r="T91" s="40" t="s">
        <v>269</v>
      </c>
      <c r="U91" s="39" t="s">
        <v>343</v>
      </c>
      <c r="V91" s="38" t="s">
        <v>342</v>
      </c>
      <c r="W91" s="38" t="s">
        <v>342</v>
      </c>
    </row>
    <row r="92" spans="1:23">
      <c r="A92" s="50" t="s">
        <v>383</v>
      </c>
      <c r="B92" s="50" t="s">
        <v>378</v>
      </c>
      <c r="C92" s="49" t="s">
        <v>255</v>
      </c>
      <c r="D92" s="57" t="s">
        <v>338</v>
      </c>
      <c r="E92" s="50" t="s">
        <v>305</v>
      </c>
      <c r="F92" s="49" t="s">
        <v>306</v>
      </c>
      <c r="G92" s="52">
        <v>0.61</v>
      </c>
      <c r="H92" s="52">
        <v>8.02</v>
      </c>
      <c r="I92" s="51">
        <v>57721660</v>
      </c>
      <c r="J92" s="51">
        <v>256</v>
      </c>
      <c r="K92" s="56">
        <v>225475.23</v>
      </c>
      <c r="L92" s="62">
        <v>259000</v>
      </c>
      <c r="M92" s="61" t="s">
        <v>362</v>
      </c>
      <c r="N92" s="60" t="s">
        <v>389</v>
      </c>
      <c r="O92" s="59">
        <v>-1.33</v>
      </c>
      <c r="P92" s="51">
        <v>8582340</v>
      </c>
      <c r="Q92" s="52">
        <v>14.87</v>
      </c>
      <c r="R92" s="51">
        <v>-896000</v>
      </c>
      <c r="S92" s="51">
        <v>57660</v>
      </c>
      <c r="T92" s="50" t="s">
        <v>269</v>
      </c>
      <c r="U92" s="49" t="s">
        <v>343</v>
      </c>
      <c r="V92" s="48" t="s">
        <v>342</v>
      </c>
      <c r="W92" s="48" t="s">
        <v>342</v>
      </c>
    </row>
    <row r="93" spans="1:23">
      <c r="A93" s="40" t="s">
        <v>381</v>
      </c>
      <c r="B93" s="40" t="s">
        <v>378</v>
      </c>
      <c r="C93" s="39" t="s">
        <v>254</v>
      </c>
      <c r="D93" s="47" t="s">
        <v>338</v>
      </c>
      <c r="E93" s="40" t="s">
        <v>282</v>
      </c>
      <c r="F93" s="39" t="s">
        <v>283</v>
      </c>
      <c r="G93" s="42">
        <v>0.98</v>
      </c>
      <c r="H93" s="42">
        <v>12.71</v>
      </c>
      <c r="I93" s="41">
        <v>115030110</v>
      </c>
      <c r="J93" s="41">
        <v>6007</v>
      </c>
      <c r="K93" s="46">
        <v>19149.34</v>
      </c>
      <c r="L93" s="66">
        <v>17500</v>
      </c>
      <c r="M93" s="65" t="s">
        <v>367</v>
      </c>
      <c r="N93" s="64" t="s">
        <v>371</v>
      </c>
      <c r="O93" s="63">
        <v>1.74</v>
      </c>
      <c r="P93" s="41">
        <v>-9907610</v>
      </c>
      <c r="Q93" s="42">
        <v>-8.61</v>
      </c>
      <c r="R93" s="41">
        <v>1802100</v>
      </c>
      <c r="S93" s="41">
        <v>332928</v>
      </c>
      <c r="T93" s="40" t="s">
        <v>269</v>
      </c>
      <c r="U93" s="39" t="s">
        <v>343</v>
      </c>
      <c r="V93" s="38" t="s">
        <v>342</v>
      </c>
      <c r="W93" s="38" t="s">
        <v>342</v>
      </c>
    </row>
    <row r="94" spans="1:23">
      <c r="A94" s="50" t="s">
        <v>379</v>
      </c>
      <c r="B94" s="50" t="s">
        <v>378</v>
      </c>
      <c r="C94" s="49" t="s">
        <v>254</v>
      </c>
      <c r="D94" s="57" t="s">
        <v>338</v>
      </c>
      <c r="E94" s="50" t="s">
        <v>386</v>
      </c>
      <c r="F94" s="49" t="s">
        <v>385</v>
      </c>
      <c r="G94" s="52">
        <v>0.49</v>
      </c>
      <c r="H94" s="52">
        <v>6.4</v>
      </c>
      <c r="I94" s="51">
        <v>53627000</v>
      </c>
      <c r="J94" s="51">
        <v>329</v>
      </c>
      <c r="K94" s="51">
        <v>163000</v>
      </c>
      <c r="L94" s="62">
        <v>161000</v>
      </c>
      <c r="M94" s="61" t="s">
        <v>362</v>
      </c>
      <c r="N94" s="60" t="s">
        <v>384</v>
      </c>
      <c r="O94" s="59">
        <v>-0.62</v>
      </c>
      <c r="P94" s="51">
        <v>-658000</v>
      </c>
      <c r="Q94" s="52">
        <v>-1.23</v>
      </c>
      <c r="R94" s="51">
        <v>-658000</v>
      </c>
      <c r="S94" s="51">
        <v>0</v>
      </c>
      <c r="T94" s="50" t="s">
        <v>269</v>
      </c>
      <c r="U94" s="49" t="s">
        <v>343</v>
      </c>
      <c r="V94" s="48" t="s">
        <v>342</v>
      </c>
      <c r="W94" s="48" t="s">
        <v>342</v>
      </c>
    </row>
    <row r="95" spans="1:23">
      <c r="A95" s="40" t="s">
        <v>374</v>
      </c>
      <c r="B95" s="40" t="s">
        <v>378</v>
      </c>
      <c r="C95" s="39" t="s">
        <v>254</v>
      </c>
      <c r="D95" s="47" t="s">
        <v>338</v>
      </c>
      <c r="E95" s="40" t="s">
        <v>202</v>
      </c>
      <c r="F95" s="39" t="s">
        <v>203</v>
      </c>
      <c r="G95" s="42">
        <v>1.63</v>
      </c>
      <c r="H95" s="42">
        <v>21.19</v>
      </c>
      <c r="I95" s="41">
        <v>154584430</v>
      </c>
      <c r="J95" s="41">
        <v>1172</v>
      </c>
      <c r="K95" s="46">
        <v>131897.98000000001</v>
      </c>
      <c r="L95" s="70">
        <v>149500</v>
      </c>
      <c r="M95" s="69" t="s">
        <v>362</v>
      </c>
      <c r="N95" s="68" t="s">
        <v>382</v>
      </c>
      <c r="O95" s="67">
        <v>-0.99</v>
      </c>
      <c r="P95" s="41">
        <v>20629570</v>
      </c>
      <c r="Q95" s="42">
        <v>13.35</v>
      </c>
      <c r="R95" s="41">
        <v>-1758000</v>
      </c>
      <c r="S95" s="41">
        <v>440180</v>
      </c>
      <c r="T95" s="40" t="s">
        <v>269</v>
      </c>
      <c r="U95" s="39" t="s">
        <v>343</v>
      </c>
      <c r="V95" s="38" t="s">
        <v>342</v>
      </c>
      <c r="W95" s="38" t="s">
        <v>342</v>
      </c>
    </row>
    <row r="96" spans="1:23">
      <c r="A96" s="50" t="s">
        <v>372</v>
      </c>
      <c r="B96" s="50" t="s">
        <v>378</v>
      </c>
      <c r="C96" s="49" t="s">
        <v>197</v>
      </c>
      <c r="D96" s="77" t="s">
        <v>339</v>
      </c>
      <c r="E96" s="50" t="s">
        <v>270</v>
      </c>
      <c r="F96" s="49" t="s">
        <v>271</v>
      </c>
      <c r="G96" s="52">
        <v>16.760000000000002</v>
      </c>
      <c r="H96" s="52">
        <v>100</v>
      </c>
      <c r="I96" s="51">
        <v>-1736890911</v>
      </c>
      <c r="J96" s="51">
        <v>-14</v>
      </c>
      <c r="K96" s="56">
        <v>248.13</v>
      </c>
      <c r="L96" s="90">
        <v>256.7</v>
      </c>
      <c r="M96" s="61" t="s">
        <v>362</v>
      </c>
      <c r="N96" s="60" t="s">
        <v>380</v>
      </c>
      <c r="O96" s="59">
        <v>0.27</v>
      </c>
      <c r="P96" s="51">
        <v>-60009089</v>
      </c>
      <c r="Q96" s="52">
        <v>-3.45</v>
      </c>
      <c r="R96" s="51">
        <v>4900000</v>
      </c>
      <c r="S96" s="51">
        <v>550540</v>
      </c>
      <c r="T96" s="50" t="s">
        <v>269</v>
      </c>
      <c r="U96" s="49" t="s">
        <v>343</v>
      </c>
      <c r="V96" s="48" t="s">
        <v>342</v>
      </c>
      <c r="W96" s="48" t="s">
        <v>342</v>
      </c>
    </row>
    <row r="97" spans="1:23">
      <c r="A97" s="40" t="s">
        <v>370</v>
      </c>
      <c r="B97" s="40" t="s">
        <v>378</v>
      </c>
      <c r="C97" s="39" t="s">
        <v>260</v>
      </c>
      <c r="D97" s="47" t="s">
        <v>338</v>
      </c>
      <c r="E97" s="40" t="s">
        <v>377</v>
      </c>
      <c r="F97" s="39" t="s">
        <v>376</v>
      </c>
      <c r="G97" s="42">
        <v>0.96</v>
      </c>
      <c r="H97" s="42">
        <v>12.53</v>
      </c>
      <c r="I97" s="41">
        <v>108567310</v>
      </c>
      <c r="J97" s="41">
        <v>16658</v>
      </c>
      <c r="K97" s="46">
        <v>6517.43</v>
      </c>
      <c r="L97" s="70">
        <v>6220</v>
      </c>
      <c r="M97" s="69" t="s">
        <v>362</v>
      </c>
      <c r="N97" s="68" t="s">
        <v>375</v>
      </c>
      <c r="O97" s="67">
        <v>-1.1100000000000001</v>
      </c>
      <c r="P97" s="41">
        <v>-4954550</v>
      </c>
      <c r="Q97" s="42">
        <v>-4.5599999999999996</v>
      </c>
      <c r="R97" s="41">
        <v>-1166060</v>
      </c>
      <c r="S97" s="41">
        <v>84640</v>
      </c>
      <c r="T97" s="40" t="s">
        <v>269</v>
      </c>
      <c r="U97" s="39" t="s">
        <v>343</v>
      </c>
      <c r="V97" s="38" t="s">
        <v>342</v>
      </c>
      <c r="W97" s="38" t="s">
        <v>342</v>
      </c>
    </row>
    <row r="98" spans="1:23">
      <c r="A98" s="50" t="s">
        <v>365</v>
      </c>
      <c r="B98" s="50" t="s">
        <v>349</v>
      </c>
      <c r="C98" s="49" t="s">
        <v>251</v>
      </c>
      <c r="D98" s="57" t="s">
        <v>338</v>
      </c>
      <c r="E98" s="50" t="s">
        <v>295</v>
      </c>
      <c r="F98" s="49" t="s">
        <v>307</v>
      </c>
      <c r="G98" s="52">
        <v>0.02</v>
      </c>
      <c r="H98" s="52">
        <v>0.72</v>
      </c>
      <c r="I98" s="51">
        <v>2422160</v>
      </c>
      <c r="J98" s="51">
        <v>1096</v>
      </c>
      <c r="K98" s="51">
        <v>2210</v>
      </c>
      <c r="L98" s="62">
        <v>2335</v>
      </c>
      <c r="M98" s="61" t="s">
        <v>362</v>
      </c>
      <c r="N98" s="60" t="s">
        <v>373</v>
      </c>
      <c r="O98" s="59">
        <v>-2.2999999999999998</v>
      </c>
      <c r="P98" s="51">
        <v>137000</v>
      </c>
      <c r="Q98" s="52">
        <v>5.66</v>
      </c>
      <c r="R98" s="51">
        <v>-60280</v>
      </c>
      <c r="S98" s="51">
        <v>0</v>
      </c>
      <c r="T98" s="50" t="s">
        <v>269</v>
      </c>
      <c r="U98" s="49" t="s">
        <v>343</v>
      </c>
      <c r="V98" s="48" t="s">
        <v>342</v>
      </c>
      <c r="W98" s="48" t="s">
        <v>342</v>
      </c>
    </row>
    <row r="99" spans="1:23">
      <c r="A99" s="40" t="s">
        <v>360</v>
      </c>
      <c r="B99" s="40" t="s">
        <v>349</v>
      </c>
      <c r="C99" s="39" t="s">
        <v>251</v>
      </c>
      <c r="D99" s="47" t="s">
        <v>338</v>
      </c>
      <c r="E99" s="40" t="s">
        <v>278</v>
      </c>
      <c r="F99" s="39" t="s">
        <v>279</v>
      </c>
      <c r="G99" s="42">
        <v>0.16</v>
      </c>
      <c r="H99" s="42">
        <v>5.04</v>
      </c>
      <c r="I99" s="41">
        <v>9715000</v>
      </c>
      <c r="J99" s="41">
        <v>335</v>
      </c>
      <c r="K99" s="41">
        <v>29000</v>
      </c>
      <c r="L99" s="70">
        <v>53500</v>
      </c>
      <c r="M99" s="69" t="s">
        <v>362</v>
      </c>
      <c r="N99" s="68" t="s">
        <v>371</v>
      </c>
      <c r="O99" s="67">
        <v>-0.56000000000000005</v>
      </c>
      <c r="P99" s="41">
        <v>8207500</v>
      </c>
      <c r="Q99" s="42">
        <v>84.48</v>
      </c>
      <c r="R99" s="41">
        <v>-100500</v>
      </c>
      <c r="S99" s="41">
        <v>0</v>
      </c>
      <c r="T99" s="40" t="s">
        <v>269</v>
      </c>
      <c r="U99" s="39" t="s">
        <v>343</v>
      </c>
      <c r="V99" s="38" t="s">
        <v>342</v>
      </c>
      <c r="W99" s="38" t="s">
        <v>342</v>
      </c>
    </row>
    <row r="100" spans="1:23">
      <c r="A100" s="50" t="s">
        <v>359</v>
      </c>
      <c r="B100" s="50" t="s">
        <v>349</v>
      </c>
      <c r="C100" s="49" t="s">
        <v>672</v>
      </c>
      <c r="D100" s="57" t="s">
        <v>338</v>
      </c>
      <c r="E100" s="50" t="s">
        <v>364</v>
      </c>
      <c r="F100" s="49" t="s">
        <v>363</v>
      </c>
      <c r="G100" s="52">
        <v>0.06</v>
      </c>
      <c r="H100" s="52">
        <v>1.99</v>
      </c>
      <c r="I100" s="51">
        <v>10518662</v>
      </c>
      <c r="J100" s="51">
        <v>9813</v>
      </c>
      <c r="K100" s="56">
        <v>1071.9100000000001</v>
      </c>
      <c r="L100" s="62">
        <v>722</v>
      </c>
      <c r="M100" s="61" t="s">
        <v>362</v>
      </c>
      <c r="N100" s="60" t="s">
        <v>361</v>
      </c>
      <c r="O100" s="59">
        <v>5.62</v>
      </c>
      <c r="P100" s="51">
        <v>-3433676</v>
      </c>
      <c r="Q100" s="52">
        <v>-32.64</v>
      </c>
      <c r="R100" s="51">
        <v>-421959</v>
      </c>
      <c r="S100" s="51">
        <v>0</v>
      </c>
      <c r="T100" s="50" t="s">
        <v>269</v>
      </c>
      <c r="U100" s="49" t="s">
        <v>343</v>
      </c>
      <c r="V100" s="48" t="s">
        <v>342</v>
      </c>
      <c r="W100" s="48" t="s">
        <v>342</v>
      </c>
    </row>
    <row r="101" spans="1:23">
      <c r="A101" s="40" t="s">
        <v>358</v>
      </c>
      <c r="B101" s="40" t="s">
        <v>349</v>
      </c>
      <c r="C101" s="39" t="s">
        <v>672</v>
      </c>
      <c r="D101" s="47" t="s">
        <v>338</v>
      </c>
      <c r="E101" s="40" t="s">
        <v>580</v>
      </c>
      <c r="F101" s="39" t="s">
        <v>579</v>
      </c>
      <c r="G101" s="42">
        <v>2.66</v>
      </c>
      <c r="H101" s="42">
        <v>80.540000000000006</v>
      </c>
      <c r="I101" s="41">
        <v>263799935</v>
      </c>
      <c r="J101" s="41">
        <v>287976000</v>
      </c>
      <c r="K101" s="46">
        <v>9160.48</v>
      </c>
      <c r="L101" s="46">
        <v>9929.8700000000008</v>
      </c>
      <c r="M101" s="45" t="s">
        <v>269</v>
      </c>
      <c r="N101" s="44" t="s">
        <v>342</v>
      </c>
      <c r="O101" s="43">
        <v>0</v>
      </c>
      <c r="P101" s="41">
        <v>22156489</v>
      </c>
      <c r="Q101" s="42">
        <v>8.4</v>
      </c>
      <c r="R101" s="41">
        <v>0</v>
      </c>
      <c r="S101" s="41">
        <v>0</v>
      </c>
      <c r="T101" s="40" t="s">
        <v>269</v>
      </c>
      <c r="U101" s="39" t="s">
        <v>343</v>
      </c>
      <c r="V101" s="38" t="s">
        <v>342</v>
      </c>
      <c r="W101" s="38" t="s">
        <v>342</v>
      </c>
    </row>
    <row r="102" spans="1:23">
      <c r="A102" s="50" t="s">
        <v>355</v>
      </c>
      <c r="B102" s="50" t="s">
        <v>349</v>
      </c>
      <c r="C102" s="49" t="s">
        <v>672</v>
      </c>
      <c r="D102" s="57" t="s">
        <v>338</v>
      </c>
      <c r="E102" s="50" t="s">
        <v>354</v>
      </c>
      <c r="F102" s="49" t="s">
        <v>353</v>
      </c>
      <c r="G102" s="52">
        <v>0.38</v>
      </c>
      <c r="H102" s="52">
        <v>11.68</v>
      </c>
      <c r="I102" s="51">
        <v>42655750</v>
      </c>
      <c r="J102" s="51">
        <v>44650000</v>
      </c>
      <c r="K102" s="56">
        <v>9553.36</v>
      </c>
      <c r="L102" s="56">
        <v>9292.81</v>
      </c>
      <c r="M102" s="55" t="s">
        <v>269</v>
      </c>
      <c r="N102" s="54" t="s">
        <v>342</v>
      </c>
      <c r="O102" s="53">
        <v>0</v>
      </c>
      <c r="P102" s="51">
        <v>-1163354</v>
      </c>
      <c r="Q102" s="52">
        <v>-2.73</v>
      </c>
      <c r="R102" s="51">
        <v>1</v>
      </c>
      <c r="S102" s="51">
        <v>0</v>
      </c>
      <c r="T102" s="50" t="s">
        <v>269</v>
      </c>
      <c r="U102" s="49" t="s">
        <v>343</v>
      </c>
      <c r="V102" s="48" t="s">
        <v>342</v>
      </c>
      <c r="W102" s="48" t="s">
        <v>342</v>
      </c>
    </row>
    <row r="103" spans="1:23">
      <c r="A103" s="40" t="s">
        <v>352</v>
      </c>
      <c r="B103" s="40" t="s">
        <v>345</v>
      </c>
      <c r="C103" s="39" t="s">
        <v>318</v>
      </c>
      <c r="D103" s="47" t="s">
        <v>338</v>
      </c>
      <c r="E103" s="40" t="s">
        <v>319</v>
      </c>
      <c r="F103" s="39" t="s">
        <v>344</v>
      </c>
      <c r="G103" s="42">
        <v>26.5</v>
      </c>
      <c r="H103" s="42">
        <v>100</v>
      </c>
      <c r="I103" s="41">
        <v>3000000000</v>
      </c>
      <c r="J103" s="41">
        <v>3000000000</v>
      </c>
      <c r="K103" s="41">
        <v>10000</v>
      </c>
      <c r="L103" s="46">
        <v>9471.67</v>
      </c>
      <c r="M103" s="45" t="s">
        <v>269</v>
      </c>
      <c r="N103" s="44" t="s">
        <v>342</v>
      </c>
      <c r="O103" s="43">
        <v>0</v>
      </c>
      <c r="P103" s="41">
        <v>-158499000</v>
      </c>
      <c r="Q103" s="42">
        <v>-5.28</v>
      </c>
      <c r="R103" s="41">
        <v>0</v>
      </c>
      <c r="S103" s="41">
        <v>0</v>
      </c>
      <c r="T103" s="40" t="s">
        <v>269</v>
      </c>
      <c r="U103" s="39" t="s">
        <v>343</v>
      </c>
      <c r="V103" s="38" t="s">
        <v>342</v>
      </c>
      <c r="W103" s="38" t="s">
        <v>342</v>
      </c>
    </row>
    <row r="104" spans="1:23">
      <c r="A104" s="113" t="s">
        <v>341</v>
      </c>
      <c r="B104" s="114"/>
      <c r="C104" s="115"/>
      <c r="D104" s="35" t="s">
        <v>269</v>
      </c>
      <c r="E104" s="35" t="s">
        <v>269</v>
      </c>
      <c r="F104" s="35" t="s">
        <v>269</v>
      </c>
      <c r="G104" s="37">
        <v>177.34</v>
      </c>
      <c r="H104" s="37">
        <v>600</v>
      </c>
      <c r="I104" s="36">
        <v>4150310509</v>
      </c>
      <c r="J104" s="36">
        <v>3332883664</v>
      </c>
      <c r="K104" s="35" t="s">
        <v>269</v>
      </c>
      <c r="L104" s="35" t="s">
        <v>269</v>
      </c>
      <c r="M104" s="116" t="s">
        <v>269</v>
      </c>
      <c r="N104" s="117"/>
      <c r="O104" s="35" t="s">
        <v>269</v>
      </c>
      <c r="P104" s="36">
        <v>205495967</v>
      </c>
      <c r="Q104" s="37">
        <v>296.14</v>
      </c>
      <c r="R104" s="35" t="s">
        <v>269</v>
      </c>
      <c r="S104" s="36">
        <v>106256778</v>
      </c>
      <c r="T104" s="35" t="s">
        <v>269</v>
      </c>
      <c r="U104" s="35" t="s">
        <v>269</v>
      </c>
      <c r="V104" s="35" t="s">
        <v>269</v>
      </c>
      <c r="W104" s="35" t="s">
        <v>269</v>
      </c>
    </row>
  </sheetData>
  <mergeCells count="24">
    <mergeCell ref="J1:J2"/>
    <mergeCell ref="K1:K2"/>
    <mergeCell ref="L1:L2"/>
    <mergeCell ref="A1:A2"/>
    <mergeCell ref="B1:B2"/>
    <mergeCell ref="C1:C2"/>
    <mergeCell ref="D1:D2"/>
    <mergeCell ref="E1:E2"/>
    <mergeCell ref="T1:T2"/>
    <mergeCell ref="U1:U2"/>
    <mergeCell ref="V1:V2"/>
    <mergeCell ref="W1:W2"/>
    <mergeCell ref="A104:C104"/>
    <mergeCell ref="M104:N104"/>
    <mergeCell ref="M1:N2"/>
    <mergeCell ref="O1:O2"/>
    <mergeCell ref="P1:P2"/>
    <mergeCell ref="Q1:Q2"/>
    <mergeCell ref="F1:F2"/>
    <mergeCell ref="R1:R2"/>
    <mergeCell ref="S1:S2"/>
    <mergeCell ref="G1:G2"/>
    <mergeCell ref="H1:H2"/>
    <mergeCell ref="I1:I2"/>
  </mergeCells>
  <phoneticPr fontId="1" type="noConversion"/>
  <pageMargins left="0.75" right="0.75" top="1" bottom="1" header="0.5" footer="0.5"/>
  <pageSetup paperSize="9" orientation="portrait" r:id="rId1"/>
</worksheet>
</file>

<file path=customUI/customUI14.xml><?xml version="1.0" encoding="utf-8"?>
<customUI xmlns="http://schemas.microsoft.com/office/2009/07/customui" xmlns:x="MODU" onLoad="RibbonOnLoad">
  <ribbon startFromScratch="false">
    <tabs>
      <tab idQ="x:nsTabAddIns">
        <group id="GroupCon" label="펀드별 전략별 보유종목" visible="true">
          <button id="g230" imageMso="CatalogMergeGoToNextRecord" label="펀드전략별&#10;보유종목" onAction="nsConRun" screentip="여러 개의 펀드와 전략에 따른 구성종목 등을 매트릭스형태로 정리합니다" size="large" supertip="여러 개의 펀드와 전략에 따른 구성종목 등을 매트릭스형태로 정리합니다"/>
          <button id="g238" imageMso="BlankPageInsertMenu" label="이전결과&#10;비우기" onAction="nsReset" screentip="이전 결과를 지운니다" size="large" supertip="이전 결과 비우기"/>
          <button id="g239" imageMso="AddInManager" label="설정" onAction="nsConSetting" screentip="설정" size="large" supertip="설정워크시트를 엽니다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10</vt:i4>
      </vt:variant>
      <vt:variant>
        <vt:lpstr>이름 지정된 범위</vt:lpstr>
      </vt:variant>
      <vt:variant>
        <vt:i4>2</vt:i4>
      </vt:variant>
    </vt:vector>
  </HeadingPairs>
  <TitlesOfParts>
    <vt:vector size="12" baseType="lpstr">
      <vt:lpstr>설정</vt:lpstr>
      <vt:lpstr>포트트렌치</vt:lpstr>
      <vt:lpstr>멀티전략</vt:lpstr>
      <vt:lpstr>메이플1</vt:lpstr>
      <vt:lpstr>메이플2</vt:lpstr>
      <vt:lpstr>메이플3</vt:lpstr>
      <vt:lpstr>메이플4</vt:lpstr>
      <vt:lpstr>넵튠6호</vt:lpstr>
      <vt:lpstr>새턴6호</vt:lpstr>
      <vt:lpstr>중립밸런스</vt:lpstr>
      <vt:lpstr>NM_합계서식</vt:lpstr>
      <vt:lpstr>NM_항목서식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신일평</dc:creator>
  <cp:lastModifiedBy>Jim Sjoo Kwag</cp:lastModifiedBy>
  <cp:lastPrinted>2016-08-25T22:05:14Z</cp:lastPrinted>
  <dcterms:created xsi:type="dcterms:W3CDTF">2016-02-23T08:05:14Z</dcterms:created>
  <dcterms:modified xsi:type="dcterms:W3CDTF">2017-05-06T10:23:17Z</dcterms:modified>
</cp:coreProperties>
</file>