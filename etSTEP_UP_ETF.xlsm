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927" codeName="{DF908ECD-C663-F43C-BE37-009161E90720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Users\jimsj\Dropbox\모두의 오피스\금융관련솔루션\"/>
    </mc:Choice>
  </mc:AlternateContent>
  <bookViews>
    <workbookView xWindow="600" yWindow="150" windowWidth="20475" windowHeight="10260"/>
  </bookViews>
  <sheets>
    <sheet name="ETF StepUp" sheetId="4" r:id="rId1"/>
  </sheets>
  <definedNames>
    <definedName name="solver_adj" localSheetId="0" hidden="1">'ETF StepUp'!$J$988</definedName>
    <definedName name="solver_cvg" localSheetId="0" hidden="1">0.0001</definedName>
    <definedName name="solver_drv" localSheetId="0" hidden="1">2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'ETF StepUp'!$J$988</definedName>
    <definedName name="solver_lhs10" localSheetId="0" hidden="1">'ETF StepUp'!$J$20</definedName>
    <definedName name="solver_lhs11" localSheetId="0" hidden="1">'ETF StepUp'!$J$21</definedName>
    <definedName name="solver_lhs12" localSheetId="0" hidden="1">'ETF StepUp'!$J$21</definedName>
    <definedName name="solver_lhs13" localSheetId="0" hidden="1">'ETF StepUp'!$J$21</definedName>
    <definedName name="solver_lhs14" localSheetId="0" hidden="1">'ETF StepUp'!$J$21</definedName>
    <definedName name="solver_lhs2" localSheetId="0" hidden="1">'ETF StepUp'!$J$988</definedName>
    <definedName name="solver_lhs3" localSheetId="0" hidden="1">'ETF StepUp'!$J$17</definedName>
    <definedName name="solver_lhs4" localSheetId="0" hidden="1">'ETF StepUp'!$J$17</definedName>
    <definedName name="solver_lhs5" localSheetId="0" hidden="1">'ETF StepUp'!$J$18</definedName>
    <definedName name="solver_lhs6" localSheetId="0" hidden="1">'ETF StepUp'!$J$18</definedName>
    <definedName name="solver_lhs7" localSheetId="0" hidden="1">'ETF StepUp'!$J$19</definedName>
    <definedName name="solver_lhs8" localSheetId="0" hidden="1">'ETF StepUp'!$J$19</definedName>
    <definedName name="solver_lhs9" localSheetId="0" hidden="1">'ETF StepUp'!$J$20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2</definedName>
    <definedName name="solver_nwt" localSheetId="0" hidden="1">1</definedName>
    <definedName name="solver_opt" localSheetId="0" hidden="1">'ETF StepUp'!$L$988</definedName>
    <definedName name="solver_pre" localSheetId="0" hidden="1">0.000001</definedName>
    <definedName name="solver_rbv" localSheetId="0" hidden="1">2</definedName>
    <definedName name="solver_rel1" localSheetId="0" hidden="1">1</definedName>
    <definedName name="solver_rel10" localSheetId="0" hidden="1">3</definedName>
    <definedName name="solver_rel11" localSheetId="0" hidden="1">1</definedName>
    <definedName name="solver_rel12" localSheetId="0" hidden="1">3</definedName>
    <definedName name="solver_rel13" localSheetId="0" hidden="1">3</definedName>
    <definedName name="solver_rel14" localSheetId="0" hidden="1">3</definedName>
    <definedName name="solver_rel2" localSheetId="0" hidden="1">3</definedName>
    <definedName name="solver_rel3" localSheetId="0" hidden="1">1</definedName>
    <definedName name="solver_rel4" localSheetId="0" hidden="1">3</definedName>
    <definedName name="solver_rel5" localSheetId="0" hidden="1">1</definedName>
    <definedName name="solver_rel6" localSheetId="0" hidden="1">3</definedName>
    <definedName name="solver_rel7" localSheetId="0" hidden="1">1</definedName>
    <definedName name="solver_rel8" localSheetId="0" hidden="1">3</definedName>
    <definedName name="solver_rel9" localSheetId="0" hidden="1">1</definedName>
    <definedName name="solver_rhs1" localSheetId="0" hidden="1">'ETF StepUp'!$I$988</definedName>
    <definedName name="solver_rhs10" localSheetId="0" hidden="1">'ETF StepUp'!$H$20</definedName>
    <definedName name="solver_rhs11" localSheetId="0" hidden="1">'ETF StepUp'!$I$21</definedName>
    <definedName name="solver_rhs12" localSheetId="0" hidden="1">'ETF StepUp'!$H$21</definedName>
    <definedName name="solver_rhs13" localSheetId="0" hidden="1">'ETF StepUp'!$H$21</definedName>
    <definedName name="solver_rhs14" localSheetId="0" hidden="1">'ETF StepUp'!$H$21</definedName>
    <definedName name="solver_rhs2" localSheetId="0" hidden="1">'ETF StepUp'!$H$988</definedName>
    <definedName name="solver_rhs3" localSheetId="0" hidden="1">'ETF StepUp'!$I$17</definedName>
    <definedName name="solver_rhs4" localSheetId="0" hidden="1">'ETF StepUp'!$H$17</definedName>
    <definedName name="solver_rhs5" localSheetId="0" hidden="1">'ETF StepUp'!$I$18</definedName>
    <definedName name="solver_rhs6" localSheetId="0" hidden="1">'ETF StepUp'!$H$18</definedName>
    <definedName name="solver_rhs7" localSheetId="0" hidden="1">'ETF StepUp'!$I$19</definedName>
    <definedName name="solver_rhs8" localSheetId="0" hidden="1">'ETF StepUp'!$H$19</definedName>
    <definedName name="solver_rhs9" localSheetId="0" hidden="1">'ETF StepUp'!$I$20</definedName>
    <definedName name="solver_rlx" localSheetId="0" hidden="1">2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1</definedName>
    <definedName name="solver_val" localSheetId="0" hidden="1">0</definedName>
    <definedName name="solver_ver" localSheetId="0" hidden="1">3</definedName>
    <definedName name="누적수익률">'ETF StepUp'!$N$12</definedName>
  </definedNames>
  <calcPr calcId="171027"/>
</workbook>
</file>

<file path=xl/calcChain.xml><?xml version="1.0" encoding="utf-8"?>
<calcChain xmlns="http://schemas.openxmlformats.org/spreadsheetml/2006/main">
  <c r="N10" i="4" l="1" a="1"/>
  <c r="N10" i="4" s="1"/>
  <c r="P988" i="4" l="1"/>
  <c r="K988" i="4"/>
  <c r="I988" i="4"/>
  <c r="H988" i="4"/>
  <c r="F988" i="4"/>
  <c r="E988" i="4"/>
  <c r="M988" i="4" s="1"/>
  <c r="P987" i="4"/>
  <c r="K987" i="4"/>
  <c r="I987" i="4"/>
  <c r="H987" i="4"/>
  <c r="F987" i="4"/>
  <c r="E987" i="4"/>
  <c r="P986" i="4"/>
  <c r="K986" i="4"/>
  <c r="I986" i="4"/>
  <c r="H986" i="4"/>
  <c r="F986" i="4"/>
  <c r="E986" i="4"/>
  <c r="M986" i="4" s="1"/>
  <c r="P985" i="4"/>
  <c r="K985" i="4"/>
  <c r="I985" i="4"/>
  <c r="H985" i="4"/>
  <c r="F985" i="4"/>
  <c r="E985" i="4"/>
  <c r="P984" i="4"/>
  <c r="K984" i="4"/>
  <c r="I984" i="4"/>
  <c r="H984" i="4"/>
  <c r="F984" i="4"/>
  <c r="E984" i="4"/>
  <c r="M984" i="4" s="1"/>
  <c r="P983" i="4"/>
  <c r="K983" i="4"/>
  <c r="I983" i="4"/>
  <c r="H983" i="4"/>
  <c r="F983" i="4"/>
  <c r="E983" i="4"/>
  <c r="P982" i="4"/>
  <c r="K982" i="4"/>
  <c r="I982" i="4"/>
  <c r="H982" i="4"/>
  <c r="F982" i="4"/>
  <c r="E982" i="4"/>
  <c r="M982" i="4" s="1"/>
  <c r="P18" i="4"/>
  <c r="P19" i="4"/>
  <c r="P20" i="4"/>
  <c r="P21" i="4"/>
  <c r="P22" i="4"/>
  <c r="P23" i="4"/>
  <c r="P24" i="4"/>
  <c r="P25" i="4"/>
  <c r="P26" i="4"/>
  <c r="P27" i="4"/>
  <c r="P28" i="4"/>
  <c r="P29" i="4"/>
  <c r="P30" i="4"/>
  <c r="P31" i="4"/>
  <c r="P32" i="4"/>
  <c r="P33" i="4"/>
  <c r="P34" i="4"/>
  <c r="P35" i="4"/>
  <c r="P36" i="4"/>
  <c r="P37" i="4"/>
  <c r="P38" i="4"/>
  <c r="P39" i="4"/>
  <c r="P40" i="4"/>
  <c r="P41" i="4"/>
  <c r="P42" i="4"/>
  <c r="P43" i="4"/>
  <c r="P44" i="4"/>
  <c r="P45" i="4"/>
  <c r="P46" i="4"/>
  <c r="P47" i="4"/>
  <c r="P48" i="4"/>
  <c r="P49" i="4"/>
  <c r="P50" i="4"/>
  <c r="P51" i="4"/>
  <c r="P52" i="4"/>
  <c r="P53" i="4"/>
  <c r="P54" i="4"/>
  <c r="P55" i="4"/>
  <c r="P56" i="4"/>
  <c r="P57" i="4"/>
  <c r="P58" i="4"/>
  <c r="P59" i="4"/>
  <c r="P60" i="4"/>
  <c r="P61" i="4"/>
  <c r="P62" i="4"/>
  <c r="P63" i="4"/>
  <c r="P64" i="4"/>
  <c r="P65" i="4"/>
  <c r="P66" i="4"/>
  <c r="P67" i="4"/>
  <c r="P68" i="4"/>
  <c r="P69" i="4"/>
  <c r="P70" i="4"/>
  <c r="P71" i="4"/>
  <c r="P72" i="4"/>
  <c r="P73" i="4"/>
  <c r="P74" i="4"/>
  <c r="P75" i="4"/>
  <c r="P76" i="4"/>
  <c r="P77" i="4"/>
  <c r="P78" i="4"/>
  <c r="P79" i="4"/>
  <c r="P80" i="4"/>
  <c r="P81" i="4"/>
  <c r="P82" i="4"/>
  <c r="P83" i="4"/>
  <c r="P84" i="4"/>
  <c r="P85" i="4"/>
  <c r="P86" i="4"/>
  <c r="P87" i="4"/>
  <c r="P88" i="4"/>
  <c r="P89" i="4"/>
  <c r="P90" i="4"/>
  <c r="P91" i="4"/>
  <c r="P92" i="4"/>
  <c r="P93" i="4"/>
  <c r="P94" i="4"/>
  <c r="P95" i="4"/>
  <c r="P96" i="4"/>
  <c r="P97" i="4"/>
  <c r="P98" i="4"/>
  <c r="P99" i="4"/>
  <c r="P100" i="4"/>
  <c r="P101" i="4"/>
  <c r="P102" i="4"/>
  <c r="P103" i="4"/>
  <c r="P104" i="4"/>
  <c r="P105" i="4"/>
  <c r="P106" i="4"/>
  <c r="P107" i="4"/>
  <c r="P108" i="4"/>
  <c r="P109" i="4"/>
  <c r="P110" i="4"/>
  <c r="P111" i="4"/>
  <c r="P112" i="4"/>
  <c r="P113" i="4"/>
  <c r="P114" i="4"/>
  <c r="P115" i="4"/>
  <c r="P116" i="4"/>
  <c r="P117" i="4"/>
  <c r="P118" i="4"/>
  <c r="P119" i="4"/>
  <c r="P120" i="4"/>
  <c r="P121" i="4"/>
  <c r="P122" i="4"/>
  <c r="P123" i="4"/>
  <c r="P124" i="4"/>
  <c r="P125" i="4"/>
  <c r="P126" i="4"/>
  <c r="P127" i="4"/>
  <c r="P128" i="4"/>
  <c r="P129" i="4"/>
  <c r="P130" i="4"/>
  <c r="P131" i="4"/>
  <c r="P132" i="4"/>
  <c r="P133" i="4"/>
  <c r="P134" i="4"/>
  <c r="P135" i="4"/>
  <c r="P136" i="4"/>
  <c r="P137" i="4"/>
  <c r="P138" i="4"/>
  <c r="P139" i="4"/>
  <c r="P140" i="4"/>
  <c r="P141" i="4"/>
  <c r="P142" i="4"/>
  <c r="P143" i="4"/>
  <c r="P144" i="4"/>
  <c r="P145" i="4"/>
  <c r="P146" i="4"/>
  <c r="P147" i="4"/>
  <c r="P148" i="4"/>
  <c r="P149" i="4"/>
  <c r="P150" i="4"/>
  <c r="P151" i="4"/>
  <c r="P152" i="4"/>
  <c r="P153" i="4"/>
  <c r="P154" i="4"/>
  <c r="P155" i="4"/>
  <c r="P156" i="4"/>
  <c r="P157" i="4"/>
  <c r="P158" i="4"/>
  <c r="P159" i="4"/>
  <c r="P160" i="4"/>
  <c r="P161" i="4"/>
  <c r="P162" i="4"/>
  <c r="P163" i="4"/>
  <c r="P164" i="4"/>
  <c r="P165" i="4"/>
  <c r="P166" i="4"/>
  <c r="P167" i="4"/>
  <c r="P168" i="4"/>
  <c r="P169" i="4"/>
  <c r="P170" i="4"/>
  <c r="P171" i="4"/>
  <c r="P172" i="4"/>
  <c r="P173" i="4"/>
  <c r="P174" i="4"/>
  <c r="P175" i="4"/>
  <c r="P176" i="4"/>
  <c r="P177" i="4"/>
  <c r="P178" i="4"/>
  <c r="P179" i="4"/>
  <c r="P180" i="4"/>
  <c r="P181" i="4"/>
  <c r="P182" i="4"/>
  <c r="P183" i="4"/>
  <c r="P184" i="4"/>
  <c r="P185" i="4"/>
  <c r="P186" i="4"/>
  <c r="P187" i="4"/>
  <c r="P188" i="4"/>
  <c r="P189" i="4"/>
  <c r="P190" i="4"/>
  <c r="P191" i="4"/>
  <c r="P192" i="4"/>
  <c r="P193" i="4"/>
  <c r="P194" i="4"/>
  <c r="P195" i="4"/>
  <c r="P196" i="4"/>
  <c r="P197" i="4"/>
  <c r="P198" i="4"/>
  <c r="P199" i="4"/>
  <c r="P200" i="4"/>
  <c r="P201" i="4"/>
  <c r="P202" i="4"/>
  <c r="P203" i="4"/>
  <c r="P204" i="4"/>
  <c r="P205" i="4"/>
  <c r="P206" i="4"/>
  <c r="P207" i="4"/>
  <c r="P208" i="4"/>
  <c r="P209" i="4"/>
  <c r="P210" i="4"/>
  <c r="P211" i="4"/>
  <c r="P212" i="4"/>
  <c r="P213" i="4"/>
  <c r="P214" i="4"/>
  <c r="P215" i="4"/>
  <c r="P216" i="4"/>
  <c r="P217" i="4"/>
  <c r="P218" i="4"/>
  <c r="P219" i="4"/>
  <c r="P220" i="4"/>
  <c r="P221" i="4"/>
  <c r="P222" i="4"/>
  <c r="P223" i="4"/>
  <c r="P224" i="4"/>
  <c r="P225" i="4"/>
  <c r="P226" i="4"/>
  <c r="P227" i="4"/>
  <c r="P228" i="4"/>
  <c r="P229" i="4"/>
  <c r="P230" i="4"/>
  <c r="P231" i="4"/>
  <c r="P232" i="4"/>
  <c r="P233" i="4"/>
  <c r="P234" i="4"/>
  <c r="P235" i="4"/>
  <c r="P236" i="4"/>
  <c r="P237" i="4"/>
  <c r="P238" i="4"/>
  <c r="P239" i="4"/>
  <c r="P240" i="4"/>
  <c r="P241" i="4"/>
  <c r="P242" i="4"/>
  <c r="P243" i="4"/>
  <c r="P244" i="4"/>
  <c r="P245" i="4"/>
  <c r="P246" i="4"/>
  <c r="P247" i="4"/>
  <c r="P248" i="4"/>
  <c r="P249" i="4"/>
  <c r="P250" i="4"/>
  <c r="P251" i="4"/>
  <c r="P252" i="4"/>
  <c r="P253" i="4"/>
  <c r="P254" i="4"/>
  <c r="P255" i="4"/>
  <c r="P256" i="4"/>
  <c r="P257" i="4"/>
  <c r="P258" i="4"/>
  <c r="P259" i="4"/>
  <c r="P260" i="4"/>
  <c r="P261" i="4"/>
  <c r="P262" i="4"/>
  <c r="P263" i="4"/>
  <c r="P264" i="4"/>
  <c r="P265" i="4"/>
  <c r="P266" i="4"/>
  <c r="P267" i="4"/>
  <c r="P268" i="4"/>
  <c r="P269" i="4"/>
  <c r="P270" i="4"/>
  <c r="P271" i="4"/>
  <c r="P272" i="4"/>
  <c r="P273" i="4"/>
  <c r="P274" i="4"/>
  <c r="P275" i="4"/>
  <c r="P276" i="4"/>
  <c r="P277" i="4"/>
  <c r="P278" i="4"/>
  <c r="P279" i="4"/>
  <c r="P280" i="4"/>
  <c r="P281" i="4"/>
  <c r="P282" i="4"/>
  <c r="P283" i="4"/>
  <c r="P284" i="4"/>
  <c r="P285" i="4"/>
  <c r="P286" i="4"/>
  <c r="P287" i="4"/>
  <c r="P288" i="4"/>
  <c r="P289" i="4"/>
  <c r="P290" i="4"/>
  <c r="P291" i="4"/>
  <c r="P292" i="4"/>
  <c r="P293" i="4"/>
  <c r="P294" i="4"/>
  <c r="P295" i="4"/>
  <c r="P296" i="4"/>
  <c r="P297" i="4"/>
  <c r="P298" i="4"/>
  <c r="P299" i="4"/>
  <c r="P300" i="4"/>
  <c r="P301" i="4"/>
  <c r="P302" i="4"/>
  <c r="P303" i="4"/>
  <c r="P304" i="4"/>
  <c r="P305" i="4"/>
  <c r="P306" i="4"/>
  <c r="P307" i="4"/>
  <c r="P308" i="4"/>
  <c r="P309" i="4"/>
  <c r="P310" i="4"/>
  <c r="P311" i="4"/>
  <c r="P312" i="4"/>
  <c r="P313" i="4"/>
  <c r="P314" i="4"/>
  <c r="P315" i="4"/>
  <c r="P316" i="4"/>
  <c r="P317" i="4"/>
  <c r="P318" i="4"/>
  <c r="P319" i="4"/>
  <c r="P320" i="4"/>
  <c r="P321" i="4"/>
  <c r="P322" i="4"/>
  <c r="P323" i="4"/>
  <c r="P324" i="4"/>
  <c r="P325" i="4"/>
  <c r="P326" i="4"/>
  <c r="P327" i="4"/>
  <c r="P328" i="4"/>
  <c r="P329" i="4"/>
  <c r="P330" i="4"/>
  <c r="P331" i="4"/>
  <c r="P332" i="4"/>
  <c r="P333" i="4"/>
  <c r="P334" i="4"/>
  <c r="P335" i="4"/>
  <c r="P336" i="4"/>
  <c r="P337" i="4"/>
  <c r="P338" i="4"/>
  <c r="P339" i="4"/>
  <c r="P340" i="4"/>
  <c r="P341" i="4"/>
  <c r="P342" i="4"/>
  <c r="P343" i="4"/>
  <c r="P344" i="4"/>
  <c r="P345" i="4"/>
  <c r="P346" i="4"/>
  <c r="P347" i="4"/>
  <c r="P348" i="4"/>
  <c r="P349" i="4"/>
  <c r="P350" i="4"/>
  <c r="P351" i="4"/>
  <c r="P352" i="4"/>
  <c r="P353" i="4"/>
  <c r="P354" i="4"/>
  <c r="P355" i="4"/>
  <c r="P356" i="4"/>
  <c r="P357" i="4"/>
  <c r="P358" i="4"/>
  <c r="P359" i="4"/>
  <c r="P360" i="4"/>
  <c r="P361" i="4"/>
  <c r="P362" i="4"/>
  <c r="P363" i="4"/>
  <c r="P364" i="4"/>
  <c r="P365" i="4"/>
  <c r="P366" i="4"/>
  <c r="P367" i="4"/>
  <c r="P368" i="4"/>
  <c r="P369" i="4"/>
  <c r="P370" i="4"/>
  <c r="P371" i="4"/>
  <c r="P372" i="4"/>
  <c r="P373" i="4"/>
  <c r="P374" i="4"/>
  <c r="P375" i="4"/>
  <c r="P376" i="4"/>
  <c r="P377" i="4"/>
  <c r="P378" i="4"/>
  <c r="P379" i="4"/>
  <c r="P380" i="4"/>
  <c r="P381" i="4"/>
  <c r="P382" i="4"/>
  <c r="P383" i="4"/>
  <c r="P384" i="4"/>
  <c r="P385" i="4"/>
  <c r="P386" i="4"/>
  <c r="P387" i="4"/>
  <c r="P388" i="4"/>
  <c r="P389" i="4"/>
  <c r="P390" i="4"/>
  <c r="P391" i="4"/>
  <c r="P392" i="4"/>
  <c r="P393" i="4"/>
  <c r="P394" i="4"/>
  <c r="P395" i="4"/>
  <c r="P396" i="4"/>
  <c r="P397" i="4"/>
  <c r="P398" i="4"/>
  <c r="P399" i="4"/>
  <c r="P400" i="4"/>
  <c r="P401" i="4"/>
  <c r="P402" i="4"/>
  <c r="P403" i="4"/>
  <c r="P404" i="4"/>
  <c r="P405" i="4"/>
  <c r="P406" i="4"/>
  <c r="P407" i="4"/>
  <c r="P408" i="4"/>
  <c r="P409" i="4"/>
  <c r="P410" i="4"/>
  <c r="P411" i="4"/>
  <c r="P412" i="4"/>
  <c r="P413" i="4"/>
  <c r="P414" i="4"/>
  <c r="P415" i="4"/>
  <c r="P416" i="4"/>
  <c r="P417" i="4"/>
  <c r="P418" i="4"/>
  <c r="P419" i="4"/>
  <c r="P420" i="4"/>
  <c r="P421" i="4"/>
  <c r="P422" i="4"/>
  <c r="P423" i="4"/>
  <c r="P424" i="4"/>
  <c r="P425" i="4"/>
  <c r="P426" i="4"/>
  <c r="P427" i="4"/>
  <c r="P428" i="4"/>
  <c r="P429" i="4"/>
  <c r="P430" i="4"/>
  <c r="P431" i="4"/>
  <c r="P432" i="4"/>
  <c r="P433" i="4"/>
  <c r="P434" i="4"/>
  <c r="P435" i="4"/>
  <c r="P436" i="4"/>
  <c r="P437" i="4"/>
  <c r="P438" i="4"/>
  <c r="P439" i="4"/>
  <c r="P440" i="4"/>
  <c r="P441" i="4"/>
  <c r="P442" i="4"/>
  <c r="P443" i="4"/>
  <c r="P444" i="4"/>
  <c r="P445" i="4"/>
  <c r="P446" i="4"/>
  <c r="P447" i="4"/>
  <c r="P448" i="4"/>
  <c r="P449" i="4"/>
  <c r="P450" i="4"/>
  <c r="P451" i="4"/>
  <c r="P452" i="4"/>
  <c r="P453" i="4"/>
  <c r="P454" i="4"/>
  <c r="P455" i="4"/>
  <c r="P456" i="4"/>
  <c r="P457" i="4"/>
  <c r="P458" i="4"/>
  <c r="P459" i="4"/>
  <c r="P460" i="4"/>
  <c r="P461" i="4"/>
  <c r="P462" i="4"/>
  <c r="P463" i="4"/>
  <c r="P464" i="4"/>
  <c r="P465" i="4"/>
  <c r="P466" i="4"/>
  <c r="P467" i="4"/>
  <c r="P468" i="4"/>
  <c r="P469" i="4"/>
  <c r="P470" i="4"/>
  <c r="P471" i="4"/>
  <c r="P472" i="4"/>
  <c r="P473" i="4"/>
  <c r="P474" i="4"/>
  <c r="P475" i="4"/>
  <c r="P476" i="4"/>
  <c r="P477" i="4"/>
  <c r="P478" i="4"/>
  <c r="P479" i="4"/>
  <c r="P480" i="4"/>
  <c r="P481" i="4"/>
  <c r="P482" i="4"/>
  <c r="P483" i="4"/>
  <c r="P484" i="4"/>
  <c r="P485" i="4"/>
  <c r="P486" i="4"/>
  <c r="P487" i="4"/>
  <c r="P488" i="4"/>
  <c r="P489" i="4"/>
  <c r="P490" i="4"/>
  <c r="P491" i="4"/>
  <c r="P492" i="4"/>
  <c r="P493" i="4"/>
  <c r="P494" i="4"/>
  <c r="P495" i="4"/>
  <c r="P496" i="4"/>
  <c r="P497" i="4"/>
  <c r="P498" i="4"/>
  <c r="P499" i="4"/>
  <c r="P500" i="4"/>
  <c r="P501" i="4"/>
  <c r="P502" i="4"/>
  <c r="P503" i="4"/>
  <c r="P504" i="4"/>
  <c r="P505" i="4"/>
  <c r="P506" i="4"/>
  <c r="P507" i="4"/>
  <c r="P508" i="4"/>
  <c r="P509" i="4"/>
  <c r="P510" i="4"/>
  <c r="P511" i="4"/>
  <c r="P512" i="4"/>
  <c r="P513" i="4"/>
  <c r="P514" i="4"/>
  <c r="P515" i="4"/>
  <c r="P516" i="4"/>
  <c r="P517" i="4"/>
  <c r="P518" i="4"/>
  <c r="P519" i="4"/>
  <c r="P520" i="4"/>
  <c r="P521" i="4"/>
  <c r="P522" i="4"/>
  <c r="P523" i="4"/>
  <c r="P524" i="4"/>
  <c r="P525" i="4"/>
  <c r="P526" i="4"/>
  <c r="P527" i="4"/>
  <c r="P528" i="4"/>
  <c r="P529" i="4"/>
  <c r="P530" i="4"/>
  <c r="P531" i="4"/>
  <c r="P532" i="4"/>
  <c r="P533" i="4"/>
  <c r="P534" i="4"/>
  <c r="P535" i="4"/>
  <c r="P536" i="4"/>
  <c r="P537" i="4"/>
  <c r="P538" i="4"/>
  <c r="P539" i="4"/>
  <c r="P540" i="4"/>
  <c r="P541" i="4"/>
  <c r="P542" i="4"/>
  <c r="P543" i="4"/>
  <c r="P544" i="4"/>
  <c r="P545" i="4"/>
  <c r="P546" i="4"/>
  <c r="P547" i="4"/>
  <c r="P548" i="4"/>
  <c r="P549" i="4"/>
  <c r="P550" i="4"/>
  <c r="P551" i="4"/>
  <c r="P552" i="4"/>
  <c r="P553" i="4"/>
  <c r="P554" i="4"/>
  <c r="P555" i="4"/>
  <c r="P556" i="4"/>
  <c r="P557" i="4"/>
  <c r="P558" i="4"/>
  <c r="P559" i="4"/>
  <c r="P560" i="4"/>
  <c r="P561" i="4"/>
  <c r="P562" i="4"/>
  <c r="P563" i="4"/>
  <c r="P564" i="4"/>
  <c r="P565" i="4"/>
  <c r="P566" i="4"/>
  <c r="P567" i="4"/>
  <c r="P568" i="4"/>
  <c r="P569" i="4"/>
  <c r="P570" i="4"/>
  <c r="P571" i="4"/>
  <c r="P572" i="4"/>
  <c r="P573" i="4"/>
  <c r="P574" i="4"/>
  <c r="P575" i="4"/>
  <c r="P576" i="4"/>
  <c r="P577" i="4"/>
  <c r="P578" i="4"/>
  <c r="P579" i="4"/>
  <c r="P580" i="4"/>
  <c r="P581" i="4"/>
  <c r="P582" i="4"/>
  <c r="P583" i="4"/>
  <c r="P584" i="4"/>
  <c r="P585" i="4"/>
  <c r="P586" i="4"/>
  <c r="P587" i="4"/>
  <c r="P588" i="4"/>
  <c r="P589" i="4"/>
  <c r="P590" i="4"/>
  <c r="P591" i="4"/>
  <c r="P592" i="4"/>
  <c r="P593" i="4"/>
  <c r="P594" i="4"/>
  <c r="P595" i="4"/>
  <c r="P596" i="4"/>
  <c r="P597" i="4"/>
  <c r="P598" i="4"/>
  <c r="P599" i="4"/>
  <c r="P600" i="4"/>
  <c r="P601" i="4"/>
  <c r="P602" i="4"/>
  <c r="P603" i="4"/>
  <c r="P604" i="4"/>
  <c r="P605" i="4"/>
  <c r="P606" i="4"/>
  <c r="P607" i="4"/>
  <c r="P608" i="4"/>
  <c r="P609" i="4"/>
  <c r="P610" i="4"/>
  <c r="P611" i="4"/>
  <c r="P612" i="4"/>
  <c r="P613" i="4"/>
  <c r="P614" i="4"/>
  <c r="P615" i="4"/>
  <c r="P616" i="4"/>
  <c r="P617" i="4"/>
  <c r="P618" i="4"/>
  <c r="P619" i="4"/>
  <c r="P620" i="4"/>
  <c r="P621" i="4"/>
  <c r="P622" i="4"/>
  <c r="P623" i="4"/>
  <c r="P624" i="4"/>
  <c r="P625" i="4"/>
  <c r="P626" i="4"/>
  <c r="P627" i="4"/>
  <c r="P628" i="4"/>
  <c r="P629" i="4"/>
  <c r="P630" i="4"/>
  <c r="P631" i="4"/>
  <c r="P632" i="4"/>
  <c r="P633" i="4"/>
  <c r="P634" i="4"/>
  <c r="P635" i="4"/>
  <c r="P636" i="4"/>
  <c r="P637" i="4"/>
  <c r="P638" i="4"/>
  <c r="P639" i="4"/>
  <c r="P640" i="4"/>
  <c r="P641" i="4"/>
  <c r="P642" i="4"/>
  <c r="P643" i="4"/>
  <c r="P644" i="4"/>
  <c r="P645" i="4"/>
  <c r="P646" i="4"/>
  <c r="P647" i="4"/>
  <c r="P648" i="4"/>
  <c r="P649" i="4"/>
  <c r="P650" i="4"/>
  <c r="P651" i="4"/>
  <c r="P652" i="4"/>
  <c r="P653" i="4"/>
  <c r="P654" i="4"/>
  <c r="P655" i="4"/>
  <c r="P656" i="4"/>
  <c r="P657" i="4"/>
  <c r="P658" i="4"/>
  <c r="P659" i="4"/>
  <c r="P660" i="4"/>
  <c r="P661" i="4"/>
  <c r="P662" i="4"/>
  <c r="P663" i="4"/>
  <c r="P664" i="4"/>
  <c r="P665" i="4"/>
  <c r="P666" i="4"/>
  <c r="P667" i="4"/>
  <c r="P668" i="4"/>
  <c r="P669" i="4"/>
  <c r="P670" i="4"/>
  <c r="P671" i="4"/>
  <c r="P672" i="4"/>
  <c r="P673" i="4"/>
  <c r="P674" i="4"/>
  <c r="P675" i="4"/>
  <c r="P676" i="4"/>
  <c r="P677" i="4"/>
  <c r="P678" i="4"/>
  <c r="P679" i="4"/>
  <c r="P680" i="4"/>
  <c r="P681" i="4"/>
  <c r="P682" i="4"/>
  <c r="P683" i="4"/>
  <c r="P684" i="4"/>
  <c r="P685" i="4"/>
  <c r="P686" i="4"/>
  <c r="P687" i="4"/>
  <c r="P688" i="4"/>
  <c r="P689" i="4"/>
  <c r="P690" i="4"/>
  <c r="P691" i="4"/>
  <c r="P692" i="4"/>
  <c r="P693" i="4"/>
  <c r="P694" i="4"/>
  <c r="P695" i="4"/>
  <c r="P696" i="4"/>
  <c r="P697" i="4"/>
  <c r="P698" i="4"/>
  <c r="P699" i="4"/>
  <c r="P700" i="4"/>
  <c r="P701" i="4"/>
  <c r="P702" i="4"/>
  <c r="P703" i="4"/>
  <c r="P704" i="4"/>
  <c r="P705" i="4"/>
  <c r="P706" i="4"/>
  <c r="P707" i="4"/>
  <c r="P708" i="4"/>
  <c r="P709" i="4"/>
  <c r="P710" i="4"/>
  <c r="P711" i="4"/>
  <c r="P712" i="4"/>
  <c r="P713" i="4"/>
  <c r="P714" i="4"/>
  <c r="P715" i="4"/>
  <c r="P716" i="4"/>
  <c r="P717" i="4"/>
  <c r="P718" i="4"/>
  <c r="P719" i="4"/>
  <c r="P720" i="4"/>
  <c r="P721" i="4"/>
  <c r="P722" i="4"/>
  <c r="P723" i="4"/>
  <c r="P724" i="4"/>
  <c r="P725" i="4"/>
  <c r="P726" i="4"/>
  <c r="P727" i="4"/>
  <c r="P728" i="4"/>
  <c r="P729" i="4"/>
  <c r="P730" i="4"/>
  <c r="P731" i="4"/>
  <c r="P732" i="4"/>
  <c r="P733" i="4"/>
  <c r="P734" i="4"/>
  <c r="P735" i="4"/>
  <c r="P736" i="4"/>
  <c r="P737" i="4"/>
  <c r="P738" i="4"/>
  <c r="P739" i="4"/>
  <c r="P740" i="4"/>
  <c r="P741" i="4"/>
  <c r="P742" i="4"/>
  <c r="P743" i="4"/>
  <c r="P744" i="4"/>
  <c r="P745" i="4"/>
  <c r="P746" i="4"/>
  <c r="P747" i="4"/>
  <c r="P748" i="4"/>
  <c r="P749" i="4"/>
  <c r="P750" i="4"/>
  <c r="P751" i="4"/>
  <c r="P752" i="4"/>
  <c r="P753" i="4"/>
  <c r="P754" i="4"/>
  <c r="P755" i="4"/>
  <c r="P756" i="4"/>
  <c r="P757" i="4"/>
  <c r="P758" i="4"/>
  <c r="P759" i="4"/>
  <c r="P760" i="4"/>
  <c r="P761" i="4"/>
  <c r="P762" i="4"/>
  <c r="P763" i="4"/>
  <c r="P764" i="4"/>
  <c r="P765" i="4"/>
  <c r="P766" i="4"/>
  <c r="P767" i="4"/>
  <c r="P768" i="4"/>
  <c r="P769" i="4"/>
  <c r="P770" i="4"/>
  <c r="P771" i="4"/>
  <c r="P772" i="4"/>
  <c r="P773" i="4"/>
  <c r="P774" i="4"/>
  <c r="P775" i="4"/>
  <c r="P776" i="4"/>
  <c r="P777" i="4"/>
  <c r="P778" i="4"/>
  <c r="P779" i="4"/>
  <c r="P780" i="4"/>
  <c r="P781" i="4"/>
  <c r="P782" i="4"/>
  <c r="P783" i="4"/>
  <c r="P784" i="4"/>
  <c r="P785" i="4"/>
  <c r="P786" i="4"/>
  <c r="P787" i="4"/>
  <c r="P788" i="4"/>
  <c r="P789" i="4"/>
  <c r="P790" i="4"/>
  <c r="P791" i="4"/>
  <c r="P792" i="4"/>
  <c r="P793" i="4"/>
  <c r="P794" i="4"/>
  <c r="P795" i="4"/>
  <c r="P796" i="4"/>
  <c r="P797" i="4"/>
  <c r="P798" i="4"/>
  <c r="P799" i="4"/>
  <c r="P800" i="4"/>
  <c r="P801" i="4"/>
  <c r="P802" i="4"/>
  <c r="P803" i="4"/>
  <c r="P804" i="4"/>
  <c r="P805" i="4"/>
  <c r="P806" i="4"/>
  <c r="P807" i="4"/>
  <c r="P808" i="4"/>
  <c r="P809" i="4"/>
  <c r="P810" i="4"/>
  <c r="P811" i="4"/>
  <c r="P812" i="4"/>
  <c r="P813" i="4"/>
  <c r="P814" i="4"/>
  <c r="P815" i="4"/>
  <c r="P816" i="4"/>
  <c r="P817" i="4"/>
  <c r="P818" i="4"/>
  <c r="P819" i="4"/>
  <c r="P820" i="4"/>
  <c r="P821" i="4"/>
  <c r="P822" i="4"/>
  <c r="P823" i="4"/>
  <c r="P824" i="4"/>
  <c r="P825" i="4"/>
  <c r="P826" i="4"/>
  <c r="P827" i="4"/>
  <c r="P828" i="4"/>
  <c r="P829" i="4"/>
  <c r="P830" i="4"/>
  <c r="P831" i="4"/>
  <c r="P832" i="4"/>
  <c r="P833" i="4"/>
  <c r="P834" i="4"/>
  <c r="P835" i="4"/>
  <c r="P836" i="4"/>
  <c r="P837" i="4"/>
  <c r="P838" i="4"/>
  <c r="P839" i="4"/>
  <c r="P840" i="4"/>
  <c r="P841" i="4"/>
  <c r="P842" i="4"/>
  <c r="P843" i="4"/>
  <c r="P844" i="4"/>
  <c r="P845" i="4"/>
  <c r="P846" i="4"/>
  <c r="P847" i="4"/>
  <c r="P848" i="4"/>
  <c r="P849" i="4"/>
  <c r="P850" i="4"/>
  <c r="P851" i="4"/>
  <c r="P852" i="4"/>
  <c r="P853" i="4"/>
  <c r="P854" i="4"/>
  <c r="P855" i="4"/>
  <c r="P856" i="4"/>
  <c r="P857" i="4"/>
  <c r="P858" i="4"/>
  <c r="P859" i="4"/>
  <c r="P860" i="4"/>
  <c r="P861" i="4"/>
  <c r="P862" i="4"/>
  <c r="P863" i="4"/>
  <c r="P864" i="4"/>
  <c r="P865" i="4"/>
  <c r="P866" i="4"/>
  <c r="P867" i="4"/>
  <c r="P868" i="4"/>
  <c r="P869" i="4"/>
  <c r="P870" i="4"/>
  <c r="P871" i="4"/>
  <c r="P872" i="4"/>
  <c r="P873" i="4"/>
  <c r="P874" i="4"/>
  <c r="P875" i="4"/>
  <c r="P876" i="4"/>
  <c r="P877" i="4"/>
  <c r="P878" i="4"/>
  <c r="P879" i="4"/>
  <c r="P880" i="4"/>
  <c r="P881" i="4"/>
  <c r="P882" i="4"/>
  <c r="P883" i="4"/>
  <c r="P884" i="4"/>
  <c r="P885" i="4"/>
  <c r="P886" i="4"/>
  <c r="P887" i="4"/>
  <c r="P888" i="4"/>
  <c r="P889" i="4"/>
  <c r="P890" i="4"/>
  <c r="P891" i="4"/>
  <c r="P892" i="4"/>
  <c r="P893" i="4"/>
  <c r="P894" i="4"/>
  <c r="P895" i="4"/>
  <c r="P896" i="4"/>
  <c r="P897" i="4"/>
  <c r="P898" i="4"/>
  <c r="P899" i="4"/>
  <c r="P900" i="4"/>
  <c r="P901" i="4"/>
  <c r="P902" i="4"/>
  <c r="P903" i="4"/>
  <c r="P904" i="4"/>
  <c r="P905" i="4"/>
  <c r="P906" i="4"/>
  <c r="P907" i="4"/>
  <c r="P908" i="4"/>
  <c r="P909" i="4"/>
  <c r="P910" i="4"/>
  <c r="P911" i="4"/>
  <c r="P912" i="4"/>
  <c r="P913" i="4"/>
  <c r="P914" i="4"/>
  <c r="P915" i="4"/>
  <c r="P916" i="4"/>
  <c r="P917" i="4"/>
  <c r="P918" i="4"/>
  <c r="P919" i="4"/>
  <c r="P920" i="4"/>
  <c r="P921" i="4"/>
  <c r="P922" i="4"/>
  <c r="P923" i="4"/>
  <c r="P924" i="4"/>
  <c r="P925" i="4"/>
  <c r="P926" i="4"/>
  <c r="P927" i="4"/>
  <c r="P928" i="4"/>
  <c r="P929" i="4"/>
  <c r="P930" i="4"/>
  <c r="P931" i="4"/>
  <c r="P932" i="4"/>
  <c r="P933" i="4"/>
  <c r="P934" i="4"/>
  <c r="P935" i="4"/>
  <c r="P936" i="4"/>
  <c r="P937" i="4"/>
  <c r="P938" i="4"/>
  <c r="P939" i="4"/>
  <c r="P940" i="4"/>
  <c r="P941" i="4"/>
  <c r="P942" i="4"/>
  <c r="P943" i="4"/>
  <c r="P944" i="4"/>
  <c r="P945" i="4"/>
  <c r="P946" i="4"/>
  <c r="P947" i="4"/>
  <c r="P948" i="4"/>
  <c r="P949" i="4"/>
  <c r="P950" i="4"/>
  <c r="P951" i="4"/>
  <c r="P952" i="4"/>
  <c r="P953" i="4"/>
  <c r="P954" i="4"/>
  <c r="P955" i="4"/>
  <c r="P956" i="4"/>
  <c r="P957" i="4"/>
  <c r="P958" i="4"/>
  <c r="P959" i="4"/>
  <c r="P960" i="4"/>
  <c r="P961" i="4"/>
  <c r="P962" i="4"/>
  <c r="P963" i="4"/>
  <c r="P964" i="4"/>
  <c r="P965" i="4"/>
  <c r="P966" i="4"/>
  <c r="P967" i="4"/>
  <c r="P968" i="4"/>
  <c r="P969" i="4"/>
  <c r="P970" i="4"/>
  <c r="P971" i="4"/>
  <c r="P972" i="4"/>
  <c r="P973" i="4"/>
  <c r="P974" i="4"/>
  <c r="P975" i="4"/>
  <c r="P976" i="4"/>
  <c r="P977" i="4"/>
  <c r="P978" i="4"/>
  <c r="P979" i="4"/>
  <c r="P980" i="4"/>
  <c r="P981" i="4"/>
  <c r="P17" i="4"/>
  <c r="L984" i="4" l="1"/>
  <c r="M983" i="4"/>
  <c r="L986" i="4"/>
  <c r="M985" i="4"/>
  <c r="L988" i="4"/>
  <c r="M987" i="4"/>
  <c r="L987" i="4"/>
  <c r="L985" i="4"/>
  <c r="L983" i="4"/>
  <c r="F13" i="4"/>
  <c r="E13" i="4"/>
  <c r="K9" i="4"/>
  <c r="J9" i="4"/>
  <c r="I17" i="4"/>
  <c r="H17" i="4"/>
  <c r="N11" i="4"/>
  <c r="K17" i="4" l="1"/>
  <c r="K18" i="4"/>
  <c r="K19" i="4"/>
  <c r="K20" i="4"/>
  <c r="K21" i="4"/>
  <c r="K22" i="4"/>
  <c r="K23" i="4"/>
  <c r="K24" i="4"/>
  <c r="K25" i="4"/>
  <c r="K26" i="4"/>
  <c r="K27" i="4"/>
  <c r="K28" i="4"/>
  <c r="K29" i="4"/>
  <c r="K30" i="4"/>
  <c r="K31" i="4"/>
  <c r="K32" i="4"/>
  <c r="K33" i="4"/>
  <c r="K34" i="4"/>
  <c r="K35" i="4"/>
  <c r="K36" i="4"/>
  <c r="K37" i="4"/>
  <c r="K38" i="4"/>
  <c r="K39" i="4"/>
  <c r="K40" i="4"/>
  <c r="K41" i="4"/>
  <c r="K42" i="4"/>
  <c r="K43" i="4"/>
  <c r="K44" i="4"/>
  <c r="K45" i="4"/>
  <c r="K46" i="4"/>
  <c r="K47" i="4"/>
  <c r="K48" i="4"/>
  <c r="K49" i="4"/>
  <c r="K50" i="4"/>
  <c r="K51" i="4"/>
  <c r="K52" i="4"/>
  <c r="K53" i="4"/>
  <c r="K54" i="4"/>
  <c r="K55" i="4"/>
  <c r="K56" i="4"/>
  <c r="K57" i="4"/>
  <c r="K58" i="4"/>
  <c r="K59" i="4"/>
  <c r="K60" i="4"/>
  <c r="K61" i="4"/>
  <c r="K62" i="4"/>
  <c r="K63" i="4"/>
  <c r="K64" i="4"/>
  <c r="K65" i="4"/>
  <c r="K66" i="4"/>
  <c r="K67" i="4"/>
  <c r="K68" i="4"/>
  <c r="K69" i="4"/>
  <c r="K70" i="4"/>
  <c r="K71" i="4"/>
  <c r="K72" i="4"/>
  <c r="K73" i="4"/>
  <c r="K74" i="4"/>
  <c r="K75" i="4"/>
  <c r="K76" i="4"/>
  <c r="K77" i="4"/>
  <c r="K78" i="4"/>
  <c r="K79" i="4"/>
  <c r="K80" i="4"/>
  <c r="K81" i="4"/>
  <c r="K82" i="4"/>
  <c r="K83" i="4"/>
  <c r="K84" i="4"/>
  <c r="K85" i="4"/>
  <c r="K86" i="4"/>
  <c r="K87" i="4"/>
  <c r="K88" i="4"/>
  <c r="K89" i="4"/>
  <c r="K90" i="4"/>
  <c r="K91" i="4"/>
  <c r="K92" i="4"/>
  <c r="K93" i="4"/>
  <c r="K94" i="4"/>
  <c r="K95" i="4"/>
  <c r="K96" i="4"/>
  <c r="K97" i="4"/>
  <c r="K98" i="4"/>
  <c r="K99" i="4"/>
  <c r="K100" i="4"/>
  <c r="K101" i="4"/>
  <c r="K102" i="4"/>
  <c r="K103" i="4"/>
  <c r="K104" i="4"/>
  <c r="K105" i="4"/>
  <c r="K106" i="4"/>
  <c r="K107" i="4"/>
  <c r="K108" i="4"/>
  <c r="K109" i="4"/>
  <c r="K110" i="4"/>
  <c r="K111" i="4"/>
  <c r="K112" i="4"/>
  <c r="K113" i="4"/>
  <c r="K114" i="4"/>
  <c r="K115" i="4"/>
  <c r="K116" i="4"/>
  <c r="K117" i="4"/>
  <c r="K118" i="4"/>
  <c r="K119" i="4"/>
  <c r="K120" i="4"/>
  <c r="K121" i="4"/>
  <c r="K122" i="4"/>
  <c r="K123" i="4"/>
  <c r="K124" i="4"/>
  <c r="K125" i="4"/>
  <c r="K126" i="4"/>
  <c r="K127" i="4"/>
  <c r="K128" i="4"/>
  <c r="K129" i="4"/>
  <c r="K130" i="4"/>
  <c r="K131" i="4"/>
  <c r="K132" i="4"/>
  <c r="K133" i="4"/>
  <c r="K134" i="4"/>
  <c r="K135" i="4"/>
  <c r="K136" i="4"/>
  <c r="K137" i="4"/>
  <c r="K138" i="4"/>
  <c r="K139" i="4"/>
  <c r="K140" i="4"/>
  <c r="K141" i="4"/>
  <c r="K142" i="4"/>
  <c r="K143" i="4"/>
  <c r="K144" i="4"/>
  <c r="K145" i="4"/>
  <c r="K146" i="4"/>
  <c r="K147" i="4"/>
  <c r="K148" i="4"/>
  <c r="K149" i="4"/>
  <c r="K150" i="4"/>
  <c r="K151" i="4"/>
  <c r="K152" i="4"/>
  <c r="K153" i="4"/>
  <c r="K154" i="4"/>
  <c r="K155" i="4"/>
  <c r="K156" i="4"/>
  <c r="K157" i="4"/>
  <c r="K158" i="4"/>
  <c r="K159" i="4"/>
  <c r="K160" i="4"/>
  <c r="K161" i="4"/>
  <c r="K162" i="4"/>
  <c r="K163" i="4"/>
  <c r="K164" i="4"/>
  <c r="K165" i="4"/>
  <c r="K166" i="4"/>
  <c r="K167" i="4"/>
  <c r="K168" i="4"/>
  <c r="K169" i="4"/>
  <c r="K170" i="4"/>
  <c r="K171" i="4"/>
  <c r="K172" i="4"/>
  <c r="K173" i="4"/>
  <c r="K174" i="4"/>
  <c r="K175" i="4"/>
  <c r="K176" i="4"/>
  <c r="K177" i="4"/>
  <c r="K178" i="4"/>
  <c r="K179" i="4"/>
  <c r="K180" i="4"/>
  <c r="K181" i="4"/>
  <c r="K182" i="4"/>
  <c r="K183" i="4"/>
  <c r="K184" i="4"/>
  <c r="K185" i="4"/>
  <c r="K186" i="4"/>
  <c r="K187" i="4"/>
  <c r="K188" i="4"/>
  <c r="K189" i="4"/>
  <c r="K190" i="4"/>
  <c r="K191" i="4"/>
  <c r="K192" i="4"/>
  <c r="K193" i="4"/>
  <c r="K194" i="4"/>
  <c r="K195" i="4"/>
  <c r="K196" i="4"/>
  <c r="K197" i="4"/>
  <c r="K198" i="4"/>
  <c r="K199" i="4"/>
  <c r="K200" i="4"/>
  <c r="K201" i="4"/>
  <c r="K202" i="4"/>
  <c r="K203" i="4"/>
  <c r="K204" i="4"/>
  <c r="K205" i="4"/>
  <c r="K206" i="4"/>
  <c r="K207" i="4"/>
  <c r="K208" i="4"/>
  <c r="K209" i="4"/>
  <c r="K210" i="4"/>
  <c r="K211" i="4"/>
  <c r="K212" i="4"/>
  <c r="K213" i="4"/>
  <c r="K214" i="4"/>
  <c r="K215" i="4"/>
  <c r="K216" i="4"/>
  <c r="K217" i="4"/>
  <c r="K218" i="4"/>
  <c r="K219" i="4"/>
  <c r="K220" i="4"/>
  <c r="K221" i="4"/>
  <c r="K222" i="4"/>
  <c r="K223" i="4"/>
  <c r="K224" i="4"/>
  <c r="K225" i="4"/>
  <c r="K226" i="4"/>
  <c r="K227" i="4"/>
  <c r="K228" i="4"/>
  <c r="K229" i="4"/>
  <c r="K230" i="4"/>
  <c r="K231" i="4"/>
  <c r="K232" i="4"/>
  <c r="K233" i="4"/>
  <c r="K234" i="4"/>
  <c r="K235" i="4"/>
  <c r="K236" i="4"/>
  <c r="K237" i="4"/>
  <c r="K238" i="4"/>
  <c r="K239" i="4"/>
  <c r="K240" i="4"/>
  <c r="K241" i="4"/>
  <c r="K242" i="4"/>
  <c r="K243" i="4"/>
  <c r="K244" i="4"/>
  <c r="K245" i="4"/>
  <c r="K246" i="4"/>
  <c r="K247" i="4"/>
  <c r="K248" i="4"/>
  <c r="K249" i="4"/>
  <c r="K250" i="4"/>
  <c r="K251" i="4"/>
  <c r="K252" i="4"/>
  <c r="K253" i="4"/>
  <c r="K254" i="4"/>
  <c r="K255" i="4"/>
  <c r="K256" i="4"/>
  <c r="K257" i="4"/>
  <c r="K258" i="4"/>
  <c r="K259" i="4"/>
  <c r="K260" i="4"/>
  <c r="K261" i="4"/>
  <c r="K262" i="4"/>
  <c r="K263" i="4"/>
  <c r="K264" i="4"/>
  <c r="K265" i="4"/>
  <c r="K266" i="4"/>
  <c r="K267" i="4"/>
  <c r="K268" i="4"/>
  <c r="K269" i="4"/>
  <c r="K270" i="4"/>
  <c r="K271" i="4"/>
  <c r="K272" i="4"/>
  <c r="K273" i="4"/>
  <c r="K274" i="4"/>
  <c r="K275" i="4"/>
  <c r="K276" i="4"/>
  <c r="K277" i="4"/>
  <c r="K278" i="4"/>
  <c r="K279" i="4"/>
  <c r="K280" i="4"/>
  <c r="K281" i="4"/>
  <c r="K282" i="4"/>
  <c r="K283" i="4"/>
  <c r="K284" i="4"/>
  <c r="K285" i="4"/>
  <c r="K286" i="4"/>
  <c r="K287" i="4"/>
  <c r="K288" i="4"/>
  <c r="K289" i="4"/>
  <c r="K290" i="4"/>
  <c r="K291" i="4"/>
  <c r="K292" i="4"/>
  <c r="K293" i="4"/>
  <c r="K294" i="4"/>
  <c r="K295" i="4"/>
  <c r="K296" i="4"/>
  <c r="K297" i="4"/>
  <c r="K298" i="4"/>
  <c r="K299" i="4"/>
  <c r="K300" i="4"/>
  <c r="K301" i="4"/>
  <c r="K302" i="4"/>
  <c r="K303" i="4"/>
  <c r="K304" i="4"/>
  <c r="K305" i="4"/>
  <c r="K306" i="4"/>
  <c r="K307" i="4"/>
  <c r="K308" i="4"/>
  <c r="K309" i="4"/>
  <c r="K310" i="4"/>
  <c r="K311" i="4"/>
  <c r="K312" i="4"/>
  <c r="K313" i="4"/>
  <c r="K314" i="4"/>
  <c r="K315" i="4"/>
  <c r="K316" i="4"/>
  <c r="K317" i="4"/>
  <c r="K318" i="4"/>
  <c r="K319" i="4"/>
  <c r="K320" i="4"/>
  <c r="K321" i="4"/>
  <c r="K322" i="4"/>
  <c r="K323" i="4"/>
  <c r="K324" i="4"/>
  <c r="K325" i="4"/>
  <c r="K326" i="4"/>
  <c r="K327" i="4"/>
  <c r="K328" i="4"/>
  <c r="K329" i="4"/>
  <c r="K330" i="4"/>
  <c r="K331" i="4"/>
  <c r="K332" i="4"/>
  <c r="K333" i="4"/>
  <c r="K334" i="4"/>
  <c r="K335" i="4"/>
  <c r="K336" i="4"/>
  <c r="K337" i="4"/>
  <c r="K338" i="4"/>
  <c r="K339" i="4"/>
  <c r="K340" i="4"/>
  <c r="K341" i="4"/>
  <c r="K342" i="4"/>
  <c r="K343" i="4"/>
  <c r="K344" i="4"/>
  <c r="K345" i="4"/>
  <c r="K346" i="4"/>
  <c r="K347" i="4"/>
  <c r="K348" i="4"/>
  <c r="K349" i="4"/>
  <c r="K350" i="4"/>
  <c r="K351" i="4"/>
  <c r="K352" i="4"/>
  <c r="K353" i="4"/>
  <c r="K354" i="4"/>
  <c r="K355" i="4"/>
  <c r="K356" i="4"/>
  <c r="K357" i="4"/>
  <c r="K358" i="4"/>
  <c r="K359" i="4"/>
  <c r="K360" i="4"/>
  <c r="K361" i="4"/>
  <c r="K362" i="4"/>
  <c r="K363" i="4"/>
  <c r="K364" i="4"/>
  <c r="K365" i="4"/>
  <c r="K366" i="4"/>
  <c r="K367" i="4"/>
  <c r="K368" i="4"/>
  <c r="K369" i="4"/>
  <c r="K370" i="4"/>
  <c r="K371" i="4"/>
  <c r="K372" i="4"/>
  <c r="K373" i="4"/>
  <c r="K374" i="4"/>
  <c r="K375" i="4"/>
  <c r="K376" i="4"/>
  <c r="K377" i="4"/>
  <c r="K378" i="4"/>
  <c r="K379" i="4"/>
  <c r="K380" i="4"/>
  <c r="K381" i="4"/>
  <c r="K382" i="4"/>
  <c r="K383" i="4"/>
  <c r="K384" i="4"/>
  <c r="K385" i="4"/>
  <c r="K386" i="4"/>
  <c r="K387" i="4"/>
  <c r="K388" i="4"/>
  <c r="K389" i="4"/>
  <c r="K390" i="4"/>
  <c r="K391" i="4"/>
  <c r="K392" i="4"/>
  <c r="K393" i="4"/>
  <c r="K394" i="4"/>
  <c r="K395" i="4"/>
  <c r="K396" i="4"/>
  <c r="K397" i="4"/>
  <c r="K398" i="4"/>
  <c r="K399" i="4"/>
  <c r="K400" i="4"/>
  <c r="K401" i="4"/>
  <c r="K402" i="4"/>
  <c r="K403" i="4"/>
  <c r="K404" i="4"/>
  <c r="K405" i="4"/>
  <c r="K406" i="4"/>
  <c r="K407" i="4"/>
  <c r="K408" i="4"/>
  <c r="K409" i="4"/>
  <c r="K410" i="4"/>
  <c r="K411" i="4"/>
  <c r="K412" i="4"/>
  <c r="K413" i="4"/>
  <c r="K414" i="4"/>
  <c r="K415" i="4"/>
  <c r="K416" i="4"/>
  <c r="K417" i="4"/>
  <c r="K418" i="4"/>
  <c r="K419" i="4"/>
  <c r="K420" i="4"/>
  <c r="K421" i="4"/>
  <c r="K422" i="4"/>
  <c r="K423" i="4"/>
  <c r="K424" i="4"/>
  <c r="K425" i="4"/>
  <c r="K426" i="4"/>
  <c r="K427" i="4"/>
  <c r="K428" i="4"/>
  <c r="K429" i="4"/>
  <c r="K430" i="4"/>
  <c r="K431" i="4"/>
  <c r="K432" i="4"/>
  <c r="K433" i="4"/>
  <c r="K434" i="4"/>
  <c r="K435" i="4"/>
  <c r="K436" i="4"/>
  <c r="K437" i="4"/>
  <c r="K438" i="4"/>
  <c r="K439" i="4"/>
  <c r="K440" i="4"/>
  <c r="K441" i="4"/>
  <c r="K442" i="4"/>
  <c r="K443" i="4"/>
  <c r="K444" i="4"/>
  <c r="K445" i="4"/>
  <c r="K446" i="4"/>
  <c r="K447" i="4"/>
  <c r="K448" i="4"/>
  <c r="K449" i="4"/>
  <c r="K450" i="4"/>
  <c r="K451" i="4"/>
  <c r="K452" i="4"/>
  <c r="K453" i="4"/>
  <c r="K454" i="4"/>
  <c r="K455" i="4"/>
  <c r="K456" i="4"/>
  <c r="K457" i="4"/>
  <c r="K458" i="4"/>
  <c r="K459" i="4"/>
  <c r="K460" i="4"/>
  <c r="K461" i="4"/>
  <c r="K462" i="4"/>
  <c r="K463" i="4"/>
  <c r="K464" i="4"/>
  <c r="K465" i="4"/>
  <c r="K466" i="4"/>
  <c r="K467" i="4"/>
  <c r="K468" i="4"/>
  <c r="K469" i="4"/>
  <c r="K470" i="4"/>
  <c r="K471" i="4"/>
  <c r="K472" i="4"/>
  <c r="K473" i="4"/>
  <c r="K474" i="4"/>
  <c r="K475" i="4"/>
  <c r="K476" i="4"/>
  <c r="K477" i="4"/>
  <c r="K478" i="4"/>
  <c r="K479" i="4"/>
  <c r="K480" i="4"/>
  <c r="K481" i="4"/>
  <c r="K482" i="4"/>
  <c r="K483" i="4"/>
  <c r="K484" i="4"/>
  <c r="K485" i="4"/>
  <c r="K486" i="4"/>
  <c r="K487" i="4"/>
  <c r="K488" i="4"/>
  <c r="K489" i="4"/>
  <c r="K490" i="4"/>
  <c r="K491" i="4"/>
  <c r="K492" i="4"/>
  <c r="K493" i="4"/>
  <c r="K494" i="4"/>
  <c r="K495" i="4"/>
  <c r="K496" i="4"/>
  <c r="K497" i="4"/>
  <c r="K498" i="4"/>
  <c r="K499" i="4"/>
  <c r="K500" i="4"/>
  <c r="K501" i="4"/>
  <c r="K502" i="4"/>
  <c r="K503" i="4"/>
  <c r="K504" i="4"/>
  <c r="K505" i="4"/>
  <c r="K506" i="4"/>
  <c r="K507" i="4"/>
  <c r="K508" i="4"/>
  <c r="K509" i="4"/>
  <c r="K510" i="4"/>
  <c r="K511" i="4"/>
  <c r="K512" i="4"/>
  <c r="K513" i="4"/>
  <c r="K514" i="4"/>
  <c r="K515" i="4"/>
  <c r="K516" i="4"/>
  <c r="K517" i="4"/>
  <c r="K518" i="4"/>
  <c r="K519" i="4"/>
  <c r="K520" i="4"/>
  <c r="K521" i="4"/>
  <c r="K522" i="4"/>
  <c r="K523" i="4"/>
  <c r="K524" i="4"/>
  <c r="K525" i="4"/>
  <c r="K526" i="4"/>
  <c r="K527" i="4"/>
  <c r="K528" i="4"/>
  <c r="K529" i="4"/>
  <c r="K530" i="4"/>
  <c r="K531" i="4"/>
  <c r="K532" i="4"/>
  <c r="K533" i="4"/>
  <c r="K534" i="4"/>
  <c r="K535" i="4"/>
  <c r="K536" i="4"/>
  <c r="K537" i="4"/>
  <c r="K538" i="4"/>
  <c r="K539" i="4"/>
  <c r="K540" i="4"/>
  <c r="K541" i="4"/>
  <c r="K542" i="4"/>
  <c r="K543" i="4"/>
  <c r="K544" i="4"/>
  <c r="K545" i="4"/>
  <c r="K546" i="4"/>
  <c r="K547" i="4"/>
  <c r="K548" i="4"/>
  <c r="K549" i="4"/>
  <c r="K550" i="4"/>
  <c r="K551" i="4"/>
  <c r="K552" i="4"/>
  <c r="K553" i="4"/>
  <c r="K554" i="4"/>
  <c r="K555" i="4"/>
  <c r="K556" i="4"/>
  <c r="K557" i="4"/>
  <c r="K558" i="4"/>
  <c r="K559" i="4"/>
  <c r="K560" i="4"/>
  <c r="K561" i="4"/>
  <c r="K562" i="4"/>
  <c r="K563" i="4"/>
  <c r="K564" i="4"/>
  <c r="K565" i="4"/>
  <c r="K566" i="4"/>
  <c r="K567" i="4"/>
  <c r="K568" i="4"/>
  <c r="K569" i="4"/>
  <c r="K570" i="4"/>
  <c r="K571" i="4"/>
  <c r="K572" i="4"/>
  <c r="K573" i="4"/>
  <c r="K574" i="4"/>
  <c r="K575" i="4"/>
  <c r="K576" i="4"/>
  <c r="K577" i="4"/>
  <c r="K578" i="4"/>
  <c r="K579" i="4"/>
  <c r="K580" i="4"/>
  <c r="K581" i="4"/>
  <c r="K582" i="4"/>
  <c r="K583" i="4"/>
  <c r="K584" i="4"/>
  <c r="K585" i="4"/>
  <c r="K586" i="4"/>
  <c r="K587" i="4"/>
  <c r="K588" i="4"/>
  <c r="K589" i="4"/>
  <c r="K590" i="4"/>
  <c r="K591" i="4"/>
  <c r="K592" i="4"/>
  <c r="K593" i="4"/>
  <c r="K594" i="4"/>
  <c r="K595" i="4"/>
  <c r="K596" i="4"/>
  <c r="K597" i="4"/>
  <c r="K598" i="4"/>
  <c r="K599" i="4"/>
  <c r="K600" i="4"/>
  <c r="K601" i="4"/>
  <c r="K602" i="4"/>
  <c r="K603" i="4"/>
  <c r="K604" i="4"/>
  <c r="K605" i="4"/>
  <c r="K606" i="4"/>
  <c r="K607" i="4"/>
  <c r="K608" i="4"/>
  <c r="K609" i="4"/>
  <c r="K610" i="4"/>
  <c r="K611" i="4"/>
  <c r="K612" i="4"/>
  <c r="K613" i="4"/>
  <c r="K614" i="4"/>
  <c r="K615" i="4"/>
  <c r="K616" i="4"/>
  <c r="K617" i="4"/>
  <c r="K618" i="4"/>
  <c r="K619" i="4"/>
  <c r="K620" i="4"/>
  <c r="K621" i="4"/>
  <c r="K622" i="4"/>
  <c r="K623" i="4"/>
  <c r="K624" i="4"/>
  <c r="K625" i="4"/>
  <c r="K626" i="4"/>
  <c r="K627" i="4"/>
  <c r="K628" i="4"/>
  <c r="K629" i="4"/>
  <c r="K630" i="4"/>
  <c r="K631" i="4"/>
  <c r="K632" i="4"/>
  <c r="K633" i="4"/>
  <c r="K634" i="4"/>
  <c r="K635" i="4"/>
  <c r="K636" i="4"/>
  <c r="K637" i="4"/>
  <c r="K638" i="4"/>
  <c r="K639" i="4"/>
  <c r="K640" i="4"/>
  <c r="K641" i="4"/>
  <c r="K642" i="4"/>
  <c r="K643" i="4"/>
  <c r="K644" i="4"/>
  <c r="K645" i="4"/>
  <c r="K646" i="4"/>
  <c r="K647" i="4"/>
  <c r="K648" i="4"/>
  <c r="K649" i="4"/>
  <c r="K650" i="4"/>
  <c r="K651" i="4"/>
  <c r="K652" i="4"/>
  <c r="K653" i="4"/>
  <c r="K654" i="4"/>
  <c r="K655" i="4"/>
  <c r="K656" i="4"/>
  <c r="K657" i="4"/>
  <c r="K658" i="4"/>
  <c r="K659" i="4"/>
  <c r="K660" i="4"/>
  <c r="K661" i="4"/>
  <c r="K662" i="4"/>
  <c r="K663" i="4"/>
  <c r="K664" i="4"/>
  <c r="K665" i="4"/>
  <c r="K666" i="4"/>
  <c r="K667" i="4"/>
  <c r="K668" i="4"/>
  <c r="K669" i="4"/>
  <c r="K670" i="4"/>
  <c r="K671" i="4"/>
  <c r="K672" i="4"/>
  <c r="K673" i="4"/>
  <c r="K674" i="4"/>
  <c r="K675" i="4"/>
  <c r="K676" i="4"/>
  <c r="K677" i="4"/>
  <c r="K678" i="4"/>
  <c r="K679" i="4"/>
  <c r="K680" i="4"/>
  <c r="K681" i="4"/>
  <c r="K682" i="4"/>
  <c r="K683" i="4"/>
  <c r="K684" i="4"/>
  <c r="K685" i="4"/>
  <c r="K686" i="4"/>
  <c r="K687" i="4"/>
  <c r="K688" i="4"/>
  <c r="K689" i="4"/>
  <c r="K690" i="4"/>
  <c r="K691" i="4"/>
  <c r="K692" i="4"/>
  <c r="K693" i="4"/>
  <c r="K694" i="4"/>
  <c r="K695" i="4"/>
  <c r="K696" i="4"/>
  <c r="K697" i="4"/>
  <c r="K698" i="4"/>
  <c r="K699" i="4"/>
  <c r="K700" i="4"/>
  <c r="K701" i="4"/>
  <c r="K702" i="4"/>
  <c r="K703" i="4"/>
  <c r="K704" i="4"/>
  <c r="K705" i="4"/>
  <c r="K706" i="4"/>
  <c r="K707" i="4"/>
  <c r="K708" i="4"/>
  <c r="K709" i="4"/>
  <c r="K710" i="4"/>
  <c r="K711" i="4"/>
  <c r="K712" i="4"/>
  <c r="K713" i="4"/>
  <c r="K714" i="4"/>
  <c r="K715" i="4"/>
  <c r="K716" i="4"/>
  <c r="K717" i="4"/>
  <c r="K718" i="4"/>
  <c r="K719" i="4"/>
  <c r="K720" i="4"/>
  <c r="K721" i="4"/>
  <c r="K722" i="4"/>
  <c r="K723" i="4"/>
  <c r="K724" i="4"/>
  <c r="K725" i="4"/>
  <c r="K726" i="4"/>
  <c r="K727" i="4"/>
  <c r="K728" i="4"/>
  <c r="K729" i="4"/>
  <c r="K730" i="4"/>
  <c r="K731" i="4"/>
  <c r="K732" i="4"/>
  <c r="K733" i="4"/>
  <c r="K734" i="4"/>
  <c r="K735" i="4"/>
  <c r="K736" i="4"/>
  <c r="K737" i="4"/>
  <c r="K738" i="4"/>
  <c r="K739" i="4"/>
  <c r="K740" i="4"/>
  <c r="K741" i="4"/>
  <c r="K742" i="4"/>
  <c r="K743" i="4"/>
  <c r="K744" i="4"/>
  <c r="K745" i="4"/>
  <c r="K746" i="4"/>
  <c r="K747" i="4"/>
  <c r="K748" i="4"/>
  <c r="K749" i="4"/>
  <c r="K750" i="4"/>
  <c r="K751" i="4"/>
  <c r="K752" i="4"/>
  <c r="K753" i="4"/>
  <c r="K754" i="4"/>
  <c r="K755" i="4"/>
  <c r="K756" i="4"/>
  <c r="K757" i="4"/>
  <c r="K758" i="4"/>
  <c r="K759" i="4"/>
  <c r="K760" i="4"/>
  <c r="K761" i="4"/>
  <c r="K762" i="4"/>
  <c r="K763" i="4"/>
  <c r="K764" i="4"/>
  <c r="K765" i="4"/>
  <c r="K766" i="4"/>
  <c r="K767" i="4"/>
  <c r="K768" i="4"/>
  <c r="K769" i="4"/>
  <c r="K770" i="4"/>
  <c r="K771" i="4"/>
  <c r="K772" i="4"/>
  <c r="K773" i="4"/>
  <c r="K774" i="4"/>
  <c r="K775" i="4"/>
  <c r="K776" i="4"/>
  <c r="K777" i="4"/>
  <c r="K778" i="4"/>
  <c r="K779" i="4"/>
  <c r="K780" i="4"/>
  <c r="K781" i="4"/>
  <c r="K782" i="4"/>
  <c r="K783" i="4"/>
  <c r="K784" i="4"/>
  <c r="K785" i="4"/>
  <c r="K786" i="4"/>
  <c r="K787" i="4"/>
  <c r="K788" i="4"/>
  <c r="K789" i="4"/>
  <c r="K790" i="4"/>
  <c r="K791" i="4"/>
  <c r="K792" i="4"/>
  <c r="K793" i="4"/>
  <c r="K794" i="4"/>
  <c r="K795" i="4"/>
  <c r="K796" i="4"/>
  <c r="K797" i="4"/>
  <c r="K798" i="4"/>
  <c r="K799" i="4"/>
  <c r="K800" i="4"/>
  <c r="K801" i="4"/>
  <c r="K802" i="4"/>
  <c r="K803" i="4"/>
  <c r="K804" i="4"/>
  <c r="K805" i="4"/>
  <c r="K806" i="4"/>
  <c r="K807" i="4"/>
  <c r="K808" i="4"/>
  <c r="K809" i="4"/>
  <c r="K810" i="4"/>
  <c r="K811" i="4"/>
  <c r="K812" i="4"/>
  <c r="K813" i="4"/>
  <c r="K814" i="4"/>
  <c r="K815" i="4"/>
  <c r="K816" i="4"/>
  <c r="K817" i="4"/>
  <c r="K818" i="4"/>
  <c r="K819" i="4"/>
  <c r="K820" i="4"/>
  <c r="K821" i="4"/>
  <c r="K822" i="4"/>
  <c r="K823" i="4"/>
  <c r="K824" i="4"/>
  <c r="K825" i="4"/>
  <c r="K826" i="4"/>
  <c r="K827" i="4"/>
  <c r="K828" i="4"/>
  <c r="K829" i="4"/>
  <c r="K830" i="4"/>
  <c r="K831" i="4"/>
  <c r="K832" i="4"/>
  <c r="K833" i="4"/>
  <c r="K834" i="4"/>
  <c r="K835" i="4"/>
  <c r="K836" i="4"/>
  <c r="K837" i="4"/>
  <c r="K838" i="4"/>
  <c r="K839" i="4"/>
  <c r="K840" i="4"/>
  <c r="K841" i="4"/>
  <c r="K842" i="4"/>
  <c r="K843" i="4"/>
  <c r="K844" i="4"/>
  <c r="K845" i="4"/>
  <c r="K846" i="4"/>
  <c r="K847" i="4"/>
  <c r="K848" i="4"/>
  <c r="K849" i="4"/>
  <c r="K850" i="4"/>
  <c r="K851" i="4"/>
  <c r="K852" i="4"/>
  <c r="K853" i="4"/>
  <c r="K854" i="4"/>
  <c r="K855" i="4"/>
  <c r="K856" i="4"/>
  <c r="K857" i="4"/>
  <c r="K858" i="4"/>
  <c r="K859" i="4"/>
  <c r="K860" i="4"/>
  <c r="K861" i="4"/>
  <c r="K862" i="4"/>
  <c r="K863" i="4"/>
  <c r="K864" i="4"/>
  <c r="K865" i="4"/>
  <c r="K866" i="4"/>
  <c r="K867" i="4"/>
  <c r="K868" i="4"/>
  <c r="K869" i="4"/>
  <c r="K870" i="4"/>
  <c r="K871" i="4"/>
  <c r="K872" i="4"/>
  <c r="K873" i="4"/>
  <c r="K874" i="4"/>
  <c r="K875" i="4"/>
  <c r="K876" i="4"/>
  <c r="K877" i="4"/>
  <c r="K878" i="4"/>
  <c r="K879" i="4"/>
  <c r="K880" i="4"/>
  <c r="K881" i="4"/>
  <c r="K882" i="4"/>
  <c r="K883" i="4"/>
  <c r="K884" i="4"/>
  <c r="K885" i="4"/>
  <c r="K886" i="4"/>
  <c r="K887" i="4"/>
  <c r="K888" i="4"/>
  <c r="K889" i="4"/>
  <c r="K890" i="4"/>
  <c r="K891" i="4"/>
  <c r="K892" i="4"/>
  <c r="K893" i="4"/>
  <c r="K894" i="4"/>
  <c r="K895" i="4"/>
  <c r="K896" i="4"/>
  <c r="K897" i="4"/>
  <c r="K898" i="4"/>
  <c r="K899" i="4"/>
  <c r="K900" i="4"/>
  <c r="K901" i="4"/>
  <c r="K902" i="4"/>
  <c r="K903" i="4"/>
  <c r="K904" i="4"/>
  <c r="K905" i="4"/>
  <c r="K906" i="4"/>
  <c r="K907" i="4"/>
  <c r="K908" i="4"/>
  <c r="K909" i="4"/>
  <c r="K910" i="4"/>
  <c r="K911" i="4"/>
  <c r="K912" i="4"/>
  <c r="K913" i="4"/>
  <c r="K914" i="4"/>
  <c r="K915" i="4"/>
  <c r="K916" i="4"/>
  <c r="K917" i="4"/>
  <c r="K918" i="4"/>
  <c r="K919" i="4"/>
  <c r="K920" i="4"/>
  <c r="K921" i="4"/>
  <c r="K922" i="4"/>
  <c r="K923" i="4"/>
  <c r="K924" i="4"/>
  <c r="K925" i="4"/>
  <c r="K926" i="4"/>
  <c r="K927" i="4"/>
  <c r="K928" i="4"/>
  <c r="K929" i="4"/>
  <c r="K930" i="4"/>
  <c r="K931" i="4"/>
  <c r="K932" i="4"/>
  <c r="K933" i="4"/>
  <c r="K934" i="4"/>
  <c r="K935" i="4"/>
  <c r="K936" i="4"/>
  <c r="K937" i="4"/>
  <c r="K938" i="4"/>
  <c r="K939" i="4"/>
  <c r="K940" i="4"/>
  <c r="K941" i="4"/>
  <c r="K942" i="4"/>
  <c r="K943" i="4"/>
  <c r="K944" i="4"/>
  <c r="K945" i="4"/>
  <c r="K946" i="4"/>
  <c r="K947" i="4"/>
  <c r="K948" i="4"/>
  <c r="K949" i="4"/>
  <c r="K950" i="4"/>
  <c r="K951" i="4"/>
  <c r="K952" i="4"/>
  <c r="K953" i="4"/>
  <c r="K954" i="4"/>
  <c r="K955" i="4"/>
  <c r="K956" i="4"/>
  <c r="K957" i="4"/>
  <c r="K958" i="4"/>
  <c r="K959" i="4"/>
  <c r="K960" i="4"/>
  <c r="K961" i="4"/>
  <c r="K962" i="4"/>
  <c r="K963" i="4"/>
  <c r="K964" i="4"/>
  <c r="K965" i="4"/>
  <c r="K966" i="4"/>
  <c r="K967" i="4"/>
  <c r="K968" i="4"/>
  <c r="K969" i="4"/>
  <c r="K970" i="4"/>
  <c r="K971" i="4"/>
  <c r="K972" i="4"/>
  <c r="K973" i="4"/>
  <c r="K974" i="4"/>
  <c r="K975" i="4"/>
  <c r="K976" i="4"/>
  <c r="K977" i="4"/>
  <c r="K978" i="4"/>
  <c r="K979" i="4"/>
  <c r="K980" i="4"/>
  <c r="K981" i="4"/>
  <c r="K16" i="4"/>
  <c r="I981" i="4"/>
  <c r="H981" i="4"/>
  <c r="F981" i="4"/>
  <c r="E981" i="4"/>
  <c r="I980" i="4"/>
  <c r="H980" i="4"/>
  <c r="F980" i="4"/>
  <c r="E980" i="4"/>
  <c r="M980" i="4" s="1"/>
  <c r="I979" i="4"/>
  <c r="H979" i="4"/>
  <c r="F979" i="4"/>
  <c r="E979" i="4"/>
  <c r="M979" i="4" s="1"/>
  <c r="I978" i="4"/>
  <c r="H978" i="4"/>
  <c r="F978" i="4"/>
  <c r="E978" i="4"/>
  <c r="M978" i="4" s="1"/>
  <c r="I977" i="4"/>
  <c r="H977" i="4"/>
  <c r="F977" i="4"/>
  <c r="E977" i="4"/>
  <c r="M977" i="4" s="1"/>
  <c r="I976" i="4"/>
  <c r="H976" i="4"/>
  <c r="F976" i="4"/>
  <c r="E976" i="4"/>
  <c r="M976" i="4" s="1"/>
  <c r="I975" i="4"/>
  <c r="H975" i="4"/>
  <c r="F975" i="4"/>
  <c r="E975" i="4"/>
  <c r="M975" i="4" s="1"/>
  <c r="I974" i="4"/>
  <c r="H974" i="4"/>
  <c r="F974" i="4"/>
  <c r="E974" i="4"/>
  <c r="M974" i="4" s="1"/>
  <c r="I973" i="4"/>
  <c r="H973" i="4"/>
  <c r="F973" i="4"/>
  <c r="E973" i="4"/>
  <c r="M973" i="4" s="1"/>
  <c r="I972" i="4"/>
  <c r="H972" i="4"/>
  <c r="F972" i="4"/>
  <c r="E972" i="4"/>
  <c r="M972" i="4" s="1"/>
  <c r="I971" i="4"/>
  <c r="H971" i="4"/>
  <c r="F971" i="4"/>
  <c r="E971" i="4"/>
  <c r="M971" i="4" s="1"/>
  <c r="I970" i="4"/>
  <c r="H970" i="4"/>
  <c r="F970" i="4"/>
  <c r="E970" i="4"/>
  <c r="M970" i="4" s="1"/>
  <c r="I969" i="4"/>
  <c r="H969" i="4"/>
  <c r="F969" i="4"/>
  <c r="E969" i="4"/>
  <c r="M969" i="4" s="1"/>
  <c r="I968" i="4"/>
  <c r="H968" i="4"/>
  <c r="F968" i="4"/>
  <c r="E968" i="4"/>
  <c r="M968" i="4" s="1"/>
  <c r="I967" i="4"/>
  <c r="H967" i="4"/>
  <c r="F967" i="4"/>
  <c r="E967" i="4"/>
  <c r="M967" i="4" s="1"/>
  <c r="I966" i="4"/>
  <c r="H966" i="4"/>
  <c r="F966" i="4"/>
  <c r="E966" i="4"/>
  <c r="M966" i="4" s="1"/>
  <c r="I965" i="4"/>
  <c r="H965" i="4"/>
  <c r="F965" i="4"/>
  <c r="E965" i="4"/>
  <c r="M965" i="4" s="1"/>
  <c r="I964" i="4"/>
  <c r="H964" i="4"/>
  <c r="F964" i="4"/>
  <c r="E964" i="4"/>
  <c r="M964" i="4" s="1"/>
  <c r="I963" i="4"/>
  <c r="H963" i="4"/>
  <c r="F963" i="4"/>
  <c r="E963" i="4"/>
  <c r="M963" i="4" s="1"/>
  <c r="I962" i="4"/>
  <c r="H962" i="4"/>
  <c r="F962" i="4"/>
  <c r="E962" i="4"/>
  <c r="M962" i="4" s="1"/>
  <c r="I961" i="4"/>
  <c r="H961" i="4"/>
  <c r="F961" i="4"/>
  <c r="E961" i="4"/>
  <c r="M961" i="4" s="1"/>
  <c r="I960" i="4"/>
  <c r="H960" i="4"/>
  <c r="F960" i="4"/>
  <c r="E960" i="4"/>
  <c r="M960" i="4" s="1"/>
  <c r="I959" i="4"/>
  <c r="H959" i="4"/>
  <c r="F959" i="4"/>
  <c r="E959" i="4"/>
  <c r="M959" i="4" s="1"/>
  <c r="I958" i="4"/>
  <c r="H958" i="4"/>
  <c r="F958" i="4"/>
  <c r="E958" i="4"/>
  <c r="M958" i="4" s="1"/>
  <c r="I957" i="4"/>
  <c r="H957" i="4"/>
  <c r="F957" i="4"/>
  <c r="E957" i="4"/>
  <c r="M957" i="4" s="1"/>
  <c r="I956" i="4"/>
  <c r="H956" i="4"/>
  <c r="F956" i="4"/>
  <c r="E956" i="4"/>
  <c r="M956" i="4" s="1"/>
  <c r="I955" i="4"/>
  <c r="H955" i="4"/>
  <c r="F955" i="4"/>
  <c r="E955" i="4"/>
  <c r="M955" i="4" s="1"/>
  <c r="I954" i="4"/>
  <c r="H954" i="4"/>
  <c r="F954" i="4"/>
  <c r="E954" i="4"/>
  <c r="M954" i="4" s="1"/>
  <c r="I953" i="4"/>
  <c r="H953" i="4"/>
  <c r="F953" i="4"/>
  <c r="E953" i="4"/>
  <c r="M953" i="4" s="1"/>
  <c r="I952" i="4"/>
  <c r="H952" i="4"/>
  <c r="F952" i="4"/>
  <c r="E952" i="4"/>
  <c r="M952" i="4" s="1"/>
  <c r="I951" i="4"/>
  <c r="H951" i="4"/>
  <c r="F951" i="4"/>
  <c r="E951" i="4"/>
  <c r="M951" i="4" s="1"/>
  <c r="I950" i="4"/>
  <c r="H950" i="4"/>
  <c r="F950" i="4"/>
  <c r="E950" i="4"/>
  <c r="M950" i="4" s="1"/>
  <c r="I949" i="4"/>
  <c r="H949" i="4"/>
  <c r="F949" i="4"/>
  <c r="E949" i="4"/>
  <c r="M949" i="4" s="1"/>
  <c r="I948" i="4"/>
  <c r="H948" i="4"/>
  <c r="F948" i="4"/>
  <c r="E948" i="4"/>
  <c r="M948" i="4" s="1"/>
  <c r="I947" i="4"/>
  <c r="H947" i="4"/>
  <c r="F947" i="4"/>
  <c r="E947" i="4"/>
  <c r="M947" i="4" s="1"/>
  <c r="I946" i="4"/>
  <c r="H946" i="4"/>
  <c r="F946" i="4"/>
  <c r="E946" i="4"/>
  <c r="M946" i="4" s="1"/>
  <c r="I945" i="4"/>
  <c r="H945" i="4"/>
  <c r="F945" i="4"/>
  <c r="E945" i="4"/>
  <c r="M945" i="4" s="1"/>
  <c r="I944" i="4"/>
  <c r="H944" i="4"/>
  <c r="F944" i="4"/>
  <c r="E944" i="4"/>
  <c r="M944" i="4" s="1"/>
  <c r="I943" i="4"/>
  <c r="H943" i="4"/>
  <c r="F943" i="4"/>
  <c r="E943" i="4"/>
  <c r="M943" i="4" s="1"/>
  <c r="I942" i="4"/>
  <c r="H942" i="4"/>
  <c r="F942" i="4"/>
  <c r="E942" i="4"/>
  <c r="M942" i="4" s="1"/>
  <c r="I941" i="4"/>
  <c r="H941" i="4"/>
  <c r="F941" i="4"/>
  <c r="E941" i="4"/>
  <c r="M941" i="4" s="1"/>
  <c r="I940" i="4"/>
  <c r="H940" i="4"/>
  <c r="F940" i="4"/>
  <c r="E940" i="4"/>
  <c r="M940" i="4" s="1"/>
  <c r="I939" i="4"/>
  <c r="H939" i="4"/>
  <c r="F939" i="4"/>
  <c r="E939" i="4"/>
  <c r="M939" i="4" s="1"/>
  <c r="I938" i="4"/>
  <c r="H938" i="4"/>
  <c r="F938" i="4"/>
  <c r="E938" i="4"/>
  <c r="M938" i="4" s="1"/>
  <c r="I937" i="4"/>
  <c r="H937" i="4"/>
  <c r="F937" i="4"/>
  <c r="E937" i="4"/>
  <c r="M937" i="4" s="1"/>
  <c r="I936" i="4"/>
  <c r="H936" i="4"/>
  <c r="F936" i="4"/>
  <c r="E936" i="4"/>
  <c r="M936" i="4" s="1"/>
  <c r="I935" i="4"/>
  <c r="H935" i="4"/>
  <c r="F935" i="4"/>
  <c r="E935" i="4"/>
  <c r="M935" i="4" s="1"/>
  <c r="I934" i="4"/>
  <c r="H934" i="4"/>
  <c r="F934" i="4"/>
  <c r="E934" i="4"/>
  <c r="M934" i="4" s="1"/>
  <c r="I933" i="4"/>
  <c r="H933" i="4"/>
  <c r="F933" i="4"/>
  <c r="E933" i="4"/>
  <c r="M933" i="4" s="1"/>
  <c r="I932" i="4"/>
  <c r="H932" i="4"/>
  <c r="F932" i="4"/>
  <c r="E932" i="4"/>
  <c r="M932" i="4" s="1"/>
  <c r="I931" i="4"/>
  <c r="H931" i="4"/>
  <c r="F931" i="4"/>
  <c r="E931" i="4"/>
  <c r="M931" i="4" s="1"/>
  <c r="I930" i="4"/>
  <c r="H930" i="4"/>
  <c r="F930" i="4"/>
  <c r="E930" i="4"/>
  <c r="M930" i="4" s="1"/>
  <c r="I929" i="4"/>
  <c r="H929" i="4"/>
  <c r="F929" i="4"/>
  <c r="E929" i="4"/>
  <c r="M929" i="4" s="1"/>
  <c r="I928" i="4"/>
  <c r="H928" i="4"/>
  <c r="F928" i="4"/>
  <c r="E928" i="4"/>
  <c r="M928" i="4" s="1"/>
  <c r="I927" i="4"/>
  <c r="H927" i="4"/>
  <c r="F927" i="4"/>
  <c r="E927" i="4"/>
  <c r="M927" i="4" s="1"/>
  <c r="I926" i="4"/>
  <c r="H926" i="4"/>
  <c r="F926" i="4"/>
  <c r="E926" i="4"/>
  <c r="M926" i="4" s="1"/>
  <c r="I925" i="4"/>
  <c r="H925" i="4"/>
  <c r="F925" i="4"/>
  <c r="E925" i="4"/>
  <c r="M925" i="4" s="1"/>
  <c r="I924" i="4"/>
  <c r="H924" i="4"/>
  <c r="F924" i="4"/>
  <c r="E924" i="4"/>
  <c r="M924" i="4" s="1"/>
  <c r="I923" i="4"/>
  <c r="H923" i="4"/>
  <c r="F923" i="4"/>
  <c r="E923" i="4"/>
  <c r="M923" i="4" s="1"/>
  <c r="I922" i="4"/>
  <c r="H922" i="4"/>
  <c r="F922" i="4"/>
  <c r="E922" i="4"/>
  <c r="M922" i="4" s="1"/>
  <c r="I921" i="4"/>
  <c r="H921" i="4"/>
  <c r="F921" i="4"/>
  <c r="E921" i="4"/>
  <c r="M921" i="4" s="1"/>
  <c r="I920" i="4"/>
  <c r="H920" i="4"/>
  <c r="F920" i="4"/>
  <c r="E920" i="4"/>
  <c r="M920" i="4" s="1"/>
  <c r="I919" i="4"/>
  <c r="H919" i="4"/>
  <c r="F919" i="4"/>
  <c r="E919" i="4"/>
  <c r="M919" i="4" s="1"/>
  <c r="I918" i="4"/>
  <c r="H918" i="4"/>
  <c r="F918" i="4"/>
  <c r="E918" i="4"/>
  <c r="M918" i="4" s="1"/>
  <c r="I917" i="4"/>
  <c r="H917" i="4"/>
  <c r="F917" i="4"/>
  <c r="E917" i="4"/>
  <c r="M917" i="4" s="1"/>
  <c r="I916" i="4"/>
  <c r="H916" i="4"/>
  <c r="F916" i="4"/>
  <c r="E916" i="4"/>
  <c r="M916" i="4" s="1"/>
  <c r="I915" i="4"/>
  <c r="H915" i="4"/>
  <c r="F915" i="4"/>
  <c r="E915" i="4"/>
  <c r="M915" i="4" s="1"/>
  <c r="I914" i="4"/>
  <c r="H914" i="4"/>
  <c r="F914" i="4"/>
  <c r="E914" i="4"/>
  <c r="M914" i="4" s="1"/>
  <c r="I913" i="4"/>
  <c r="H913" i="4"/>
  <c r="F913" i="4"/>
  <c r="E913" i="4"/>
  <c r="M913" i="4" s="1"/>
  <c r="I912" i="4"/>
  <c r="H912" i="4"/>
  <c r="F912" i="4"/>
  <c r="E912" i="4"/>
  <c r="M912" i="4" s="1"/>
  <c r="I911" i="4"/>
  <c r="H911" i="4"/>
  <c r="F911" i="4"/>
  <c r="E911" i="4"/>
  <c r="M911" i="4" s="1"/>
  <c r="I910" i="4"/>
  <c r="H910" i="4"/>
  <c r="F910" i="4"/>
  <c r="E910" i="4"/>
  <c r="M910" i="4" s="1"/>
  <c r="I909" i="4"/>
  <c r="H909" i="4"/>
  <c r="F909" i="4"/>
  <c r="E909" i="4"/>
  <c r="M909" i="4" s="1"/>
  <c r="I908" i="4"/>
  <c r="H908" i="4"/>
  <c r="F908" i="4"/>
  <c r="E908" i="4"/>
  <c r="M908" i="4" s="1"/>
  <c r="I907" i="4"/>
  <c r="H907" i="4"/>
  <c r="F907" i="4"/>
  <c r="E907" i="4"/>
  <c r="M907" i="4" s="1"/>
  <c r="I906" i="4"/>
  <c r="H906" i="4"/>
  <c r="F906" i="4"/>
  <c r="E906" i="4"/>
  <c r="M906" i="4" s="1"/>
  <c r="I905" i="4"/>
  <c r="H905" i="4"/>
  <c r="F905" i="4"/>
  <c r="E905" i="4"/>
  <c r="M905" i="4" s="1"/>
  <c r="I904" i="4"/>
  <c r="H904" i="4"/>
  <c r="F904" i="4"/>
  <c r="E904" i="4"/>
  <c r="M904" i="4" s="1"/>
  <c r="I903" i="4"/>
  <c r="H903" i="4"/>
  <c r="F903" i="4"/>
  <c r="E903" i="4"/>
  <c r="M903" i="4" s="1"/>
  <c r="I902" i="4"/>
  <c r="H902" i="4"/>
  <c r="F902" i="4"/>
  <c r="E902" i="4"/>
  <c r="M902" i="4" s="1"/>
  <c r="I901" i="4"/>
  <c r="H901" i="4"/>
  <c r="F901" i="4"/>
  <c r="E901" i="4"/>
  <c r="M901" i="4" s="1"/>
  <c r="I900" i="4"/>
  <c r="H900" i="4"/>
  <c r="F900" i="4"/>
  <c r="E900" i="4"/>
  <c r="M900" i="4" s="1"/>
  <c r="I899" i="4"/>
  <c r="H899" i="4"/>
  <c r="F899" i="4"/>
  <c r="E899" i="4"/>
  <c r="M899" i="4" s="1"/>
  <c r="I898" i="4"/>
  <c r="H898" i="4"/>
  <c r="F898" i="4"/>
  <c r="E898" i="4"/>
  <c r="M898" i="4" s="1"/>
  <c r="I897" i="4"/>
  <c r="H897" i="4"/>
  <c r="F897" i="4"/>
  <c r="E897" i="4"/>
  <c r="M897" i="4" s="1"/>
  <c r="I896" i="4"/>
  <c r="H896" i="4"/>
  <c r="F896" i="4"/>
  <c r="E896" i="4"/>
  <c r="M896" i="4" s="1"/>
  <c r="I895" i="4"/>
  <c r="H895" i="4"/>
  <c r="F895" i="4"/>
  <c r="E895" i="4"/>
  <c r="M895" i="4" s="1"/>
  <c r="I894" i="4"/>
  <c r="H894" i="4"/>
  <c r="F894" i="4"/>
  <c r="E894" i="4"/>
  <c r="M894" i="4" s="1"/>
  <c r="I893" i="4"/>
  <c r="H893" i="4"/>
  <c r="F893" i="4"/>
  <c r="E893" i="4"/>
  <c r="M893" i="4" s="1"/>
  <c r="I892" i="4"/>
  <c r="H892" i="4"/>
  <c r="F892" i="4"/>
  <c r="E892" i="4"/>
  <c r="M892" i="4" s="1"/>
  <c r="I891" i="4"/>
  <c r="H891" i="4"/>
  <c r="F891" i="4"/>
  <c r="E891" i="4"/>
  <c r="M891" i="4" s="1"/>
  <c r="I890" i="4"/>
  <c r="H890" i="4"/>
  <c r="F890" i="4"/>
  <c r="E890" i="4"/>
  <c r="M890" i="4" s="1"/>
  <c r="I889" i="4"/>
  <c r="H889" i="4"/>
  <c r="F889" i="4"/>
  <c r="E889" i="4"/>
  <c r="M889" i="4" s="1"/>
  <c r="I888" i="4"/>
  <c r="H888" i="4"/>
  <c r="F888" i="4"/>
  <c r="E888" i="4"/>
  <c r="M888" i="4" s="1"/>
  <c r="I887" i="4"/>
  <c r="H887" i="4"/>
  <c r="F887" i="4"/>
  <c r="E887" i="4"/>
  <c r="M887" i="4" s="1"/>
  <c r="I886" i="4"/>
  <c r="H886" i="4"/>
  <c r="F886" i="4"/>
  <c r="E886" i="4"/>
  <c r="M886" i="4" s="1"/>
  <c r="I885" i="4"/>
  <c r="H885" i="4"/>
  <c r="F885" i="4"/>
  <c r="E885" i="4"/>
  <c r="M885" i="4" s="1"/>
  <c r="I884" i="4"/>
  <c r="H884" i="4"/>
  <c r="F884" i="4"/>
  <c r="E884" i="4"/>
  <c r="M884" i="4" s="1"/>
  <c r="I883" i="4"/>
  <c r="H883" i="4"/>
  <c r="F883" i="4"/>
  <c r="E883" i="4"/>
  <c r="M883" i="4" s="1"/>
  <c r="I882" i="4"/>
  <c r="H882" i="4"/>
  <c r="F882" i="4"/>
  <c r="E882" i="4"/>
  <c r="M882" i="4" s="1"/>
  <c r="I881" i="4"/>
  <c r="H881" i="4"/>
  <c r="F881" i="4"/>
  <c r="E881" i="4"/>
  <c r="M881" i="4" s="1"/>
  <c r="I880" i="4"/>
  <c r="H880" i="4"/>
  <c r="F880" i="4"/>
  <c r="E880" i="4"/>
  <c r="M880" i="4" s="1"/>
  <c r="I879" i="4"/>
  <c r="H879" i="4"/>
  <c r="F879" i="4"/>
  <c r="E879" i="4"/>
  <c r="M879" i="4" s="1"/>
  <c r="I878" i="4"/>
  <c r="H878" i="4"/>
  <c r="F878" i="4"/>
  <c r="E878" i="4"/>
  <c r="M878" i="4" s="1"/>
  <c r="I877" i="4"/>
  <c r="H877" i="4"/>
  <c r="F877" i="4"/>
  <c r="E877" i="4"/>
  <c r="M877" i="4" s="1"/>
  <c r="I876" i="4"/>
  <c r="H876" i="4"/>
  <c r="F876" i="4"/>
  <c r="E876" i="4"/>
  <c r="M876" i="4" s="1"/>
  <c r="I875" i="4"/>
  <c r="H875" i="4"/>
  <c r="F875" i="4"/>
  <c r="E875" i="4"/>
  <c r="M875" i="4" s="1"/>
  <c r="I874" i="4"/>
  <c r="H874" i="4"/>
  <c r="F874" i="4"/>
  <c r="E874" i="4"/>
  <c r="M874" i="4" s="1"/>
  <c r="I873" i="4"/>
  <c r="H873" i="4"/>
  <c r="F873" i="4"/>
  <c r="E873" i="4"/>
  <c r="M873" i="4" s="1"/>
  <c r="I872" i="4"/>
  <c r="H872" i="4"/>
  <c r="F872" i="4"/>
  <c r="E872" i="4"/>
  <c r="M872" i="4" s="1"/>
  <c r="I871" i="4"/>
  <c r="H871" i="4"/>
  <c r="F871" i="4"/>
  <c r="E871" i="4"/>
  <c r="M871" i="4" s="1"/>
  <c r="I870" i="4"/>
  <c r="H870" i="4"/>
  <c r="F870" i="4"/>
  <c r="E870" i="4"/>
  <c r="M870" i="4" s="1"/>
  <c r="I869" i="4"/>
  <c r="H869" i="4"/>
  <c r="F869" i="4"/>
  <c r="E869" i="4"/>
  <c r="M869" i="4" s="1"/>
  <c r="I868" i="4"/>
  <c r="H868" i="4"/>
  <c r="F868" i="4"/>
  <c r="E868" i="4"/>
  <c r="M868" i="4" s="1"/>
  <c r="I867" i="4"/>
  <c r="H867" i="4"/>
  <c r="F867" i="4"/>
  <c r="E867" i="4"/>
  <c r="M867" i="4" s="1"/>
  <c r="I866" i="4"/>
  <c r="H866" i="4"/>
  <c r="F866" i="4"/>
  <c r="E866" i="4"/>
  <c r="M866" i="4" s="1"/>
  <c r="I865" i="4"/>
  <c r="H865" i="4"/>
  <c r="F865" i="4"/>
  <c r="E865" i="4"/>
  <c r="M865" i="4" s="1"/>
  <c r="I864" i="4"/>
  <c r="H864" i="4"/>
  <c r="F864" i="4"/>
  <c r="E864" i="4"/>
  <c r="M864" i="4" s="1"/>
  <c r="I863" i="4"/>
  <c r="H863" i="4"/>
  <c r="F863" i="4"/>
  <c r="E863" i="4"/>
  <c r="M863" i="4" s="1"/>
  <c r="I862" i="4"/>
  <c r="H862" i="4"/>
  <c r="F862" i="4"/>
  <c r="E862" i="4"/>
  <c r="M862" i="4" s="1"/>
  <c r="I861" i="4"/>
  <c r="H861" i="4"/>
  <c r="F861" i="4"/>
  <c r="E861" i="4"/>
  <c r="M861" i="4" s="1"/>
  <c r="I860" i="4"/>
  <c r="H860" i="4"/>
  <c r="F860" i="4"/>
  <c r="E860" i="4"/>
  <c r="M860" i="4" s="1"/>
  <c r="I859" i="4"/>
  <c r="H859" i="4"/>
  <c r="F859" i="4"/>
  <c r="E859" i="4"/>
  <c r="M859" i="4" s="1"/>
  <c r="I858" i="4"/>
  <c r="H858" i="4"/>
  <c r="F858" i="4"/>
  <c r="E858" i="4"/>
  <c r="M858" i="4" s="1"/>
  <c r="I857" i="4"/>
  <c r="H857" i="4"/>
  <c r="F857" i="4"/>
  <c r="E857" i="4"/>
  <c r="M857" i="4" s="1"/>
  <c r="I856" i="4"/>
  <c r="H856" i="4"/>
  <c r="F856" i="4"/>
  <c r="E856" i="4"/>
  <c r="M856" i="4" s="1"/>
  <c r="I855" i="4"/>
  <c r="H855" i="4"/>
  <c r="F855" i="4"/>
  <c r="E855" i="4"/>
  <c r="M855" i="4" s="1"/>
  <c r="I854" i="4"/>
  <c r="H854" i="4"/>
  <c r="F854" i="4"/>
  <c r="E854" i="4"/>
  <c r="M854" i="4" s="1"/>
  <c r="I853" i="4"/>
  <c r="H853" i="4"/>
  <c r="F853" i="4"/>
  <c r="E853" i="4"/>
  <c r="M853" i="4" s="1"/>
  <c r="I852" i="4"/>
  <c r="H852" i="4"/>
  <c r="F852" i="4"/>
  <c r="E852" i="4"/>
  <c r="M852" i="4" s="1"/>
  <c r="I851" i="4"/>
  <c r="H851" i="4"/>
  <c r="F851" i="4"/>
  <c r="E851" i="4"/>
  <c r="M851" i="4" s="1"/>
  <c r="I850" i="4"/>
  <c r="H850" i="4"/>
  <c r="F850" i="4"/>
  <c r="E850" i="4"/>
  <c r="M850" i="4" s="1"/>
  <c r="I849" i="4"/>
  <c r="H849" i="4"/>
  <c r="F849" i="4"/>
  <c r="E849" i="4"/>
  <c r="M849" i="4" s="1"/>
  <c r="I848" i="4"/>
  <c r="H848" i="4"/>
  <c r="F848" i="4"/>
  <c r="E848" i="4"/>
  <c r="M848" i="4" s="1"/>
  <c r="I847" i="4"/>
  <c r="H847" i="4"/>
  <c r="F847" i="4"/>
  <c r="E847" i="4"/>
  <c r="M847" i="4" s="1"/>
  <c r="I846" i="4"/>
  <c r="H846" i="4"/>
  <c r="F846" i="4"/>
  <c r="E846" i="4"/>
  <c r="M846" i="4" s="1"/>
  <c r="I845" i="4"/>
  <c r="H845" i="4"/>
  <c r="F845" i="4"/>
  <c r="E845" i="4"/>
  <c r="M845" i="4" s="1"/>
  <c r="I844" i="4"/>
  <c r="H844" i="4"/>
  <c r="F844" i="4"/>
  <c r="E844" i="4"/>
  <c r="M844" i="4" s="1"/>
  <c r="I843" i="4"/>
  <c r="H843" i="4"/>
  <c r="F843" i="4"/>
  <c r="E843" i="4"/>
  <c r="M843" i="4" s="1"/>
  <c r="I842" i="4"/>
  <c r="H842" i="4"/>
  <c r="F842" i="4"/>
  <c r="E842" i="4"/>
  <c r="M842" i="4" s="1"/>
  <c r="I841" i="4"/>
  <c r="H841" i="4"/>
  <c r="F841" i="4"/>
  <c r="E841" i="4"/>
  <c r="M841" i="4" s="1"/>
  <c r="I840" i="4"/>
  <c r="H840" i="4"/>
  <c r="F840" i="4"/>
  <c r="E840" i="4"/>
  <c r="M840" i="4" s="1"/>
  <c r="I839" i="4"/>
  <c r="H839" i="4"/>
  <c r="F839" i="4"/>
  <c r="E839" i="4"/>
  <c r="M839" i="4" s="1"/>
  <c r="I838" i="4"/>
  <c r="H838" i="4"/>
  <c r="F838" i="4"/>
  <c r="E838" i="4"/>
  <c r="M838" i="4" s="1"/>
  <c r="I837" i="4"/>
  <c r="H837" i="4"/>
  <c r="F837" i="4"/>
  <c r="E837" i="4"/>
  <c r="M837" i="4" s="1"/>
  <c r="I836" i="4"/>
  <c r="H836" i="4"/>
  <c r="F836" i="4"/>
  <c r="E836" i="4"/>
  <c r="M836" i="4" s="1"/>
  <c r="I835" i="4"/>
  <c r="H835" i="4"/>
  <c r="F835" i="4"/>
  <c r="E835" i="4"/>
  <c r="M835" i="4" s="1"/>
  <c r="I834" i="4"/>
  <c r="H834" i="4"/>
  <c r="F834" i="4"/>
  <c r="E834" i="4"/>
  <c r="M834" i="4" s="1"/>
  <c r="I833" i="4"/>
  <c r="H833" i="4"/>
  <c r="F833" i="4"/>
  <c r="E833" i="4"/>
  <c r="M833" i="4" s="1"/>
  <c r="I832" i="4"/>
  <c r="H832" i="4"/>
  <c r="F832" i="4"/>
  <c r="E832" i="4"/>
  <c r="M832" i="4" s="1"/>
  <c r="I831" i="4"/>
  <c r="H831" i="4"/>
  <c r="F831" i="4"/>
  <c r="E831" i="4"/>
  <c r="M831" i="4" s="1"/>
  <c r="I830" i="4"/>
  <c r="H830" i="4"/>
  <c r="F830" i="4"/>
  <c r="E830" i="4"/>
  <c r="M830" i="4" s="1"/>
  <c r="I829" i="4"/>
  <c r="H829" i="4"/>
  <c r="F829" i="4"/>
  <c r="E829" i="4"/>
  <c r="M829" i="4" s="1"/>
  <c r="I828" i="4"/>
  <c r="H828" i="4"/>
  <c r="F828" i="4"/>
  <c r="E828" i="4"/>
  <c r="M828" i="4" s="1"/>
  <c r="I827" i="4"/>
  <c r="H827" i="4"/>
  <c r="F827" i="4"/>
  <c r="E827" i="4"/>
  <c r="M827" i="4" s="1"/>
  <c r="I826" i="4"/>
  <c r="H826" i="4"/>
  <c r="F826" i="4"/>
  <c r="E826" i="4"/>
  <c r="M826" i="4" s="1"/>
  <c r="I825" i="4"/>
  <c r="H825" i="4"/>
  <c r="F825" i="4"/>
  <c r="E825" i="4"/>
  <c r="M825" i="4" s="1"/>
  <c r="I824" i="4"/>
  <c r="H824" i="4"/>
  <c r="F824" i="4"/>
  <c r="E824" i="4"/>
  <c r="M824" i="4" s="1"/>
  <c r="I823" i="4"/>
  <c r="H823" i="4"/>
  <c r="F823" i="4"/>
  <c r="E823" i="4"/>
  <c r="M823" i="4" s="1"/>
  <c r="I822" i="4"/>
  <c r="H822" i="4"/>
  <c r="F822" i="4"/>
  <c r="E822" i="4"/>
  <c r="M822" i="4" s="1"/>
  <c r="I821" i="4"/>
  <c r="H821" i="4"/>
  <c r="F821" i="4"/>
  <c r="E821" i="4"/>
  <c r="M821" i="4" s="1"/>
  <c r="I820" i="4"/>
  <c r="H820" i="4"/>
  <c r="F820" i="4"/>
  <c r="E820" i="4"/>
  <c r="M820" i="4" s="1"/>
  <c r="I819" i="4"/>
  <c r="H819" i="4"/>
  <c r="F819" i="4"/>
  <c r="E819" i="4"/>
  <c r="M819" i="4" s="1"/>
  <c r="I818" i="4"/>
  <c r="H818" i="4"/>
  <c r="F818" i="4"/>
  <c r="E818" i="4"/>
  <c r="M818" i="4" s="1"/>
  <c r="I817" i="4"/>
  <c r="H817" i="4"/>
  <c r="F817" i="4"/>
  <c r="E817" i="4"/>
  <c r="M817" i="4" s="1"/>
  <c r="I816" i="4"/>
  <c r="H816" i="4"/>
  <c r="F816" i="4"/>
  <c r="E816" i="4"/>
  <c r="M816" i="4" s="1"/>
  <c r="I815" i="4"/>
  <c r="H815" i="4"/>
  <c r="F815" i="4"/>
  <c r="E815" i="4"/>
  <c r="M815" i="4" s="1"/>
  <c r="I814" i="4"/>
  <c r="H814" i="4"/>
  <c r="F814" i="4"/>
  <c r="E814" i="4"/>
  <c r="M814" i="4" s="1"/>
  <c r="I813" i="4"/>
  <c r="H813" i="4"/>
  <c r="F813" i="4"/>
  <c r="E813" i="4"/>
  <c r="M813" i="4" s="1"/>
  <c r="I812" i="4"/>
  <c r="H812" i="4"/>
  <c r="F812" i="4"/>
  <c r="E812" i="4"/>
  <c r="M812" i="4" s="1"/>
  <c r="I811" i="4"/>
  <c r="H811" i="4"/>
  <c r="F811" i="4"/>
  <c r="E811" i="4"/>
  <c r="M811" i="4" s="1"/>
  <c r="I810" i="4"/>
  <c r="H810" i="4"/>
  <c r="F810" i="4"/>
  <c r="E810" i="4"/>
  <c r="M810" i="4" s="1"/>
  <c r="I809" i="4"/>
  <c r="H809" i="4"/>
  <c r="F809" i="4"/>
  <c r="E809" i="4"/>
  <c r="M809" i="4" s="1"/>
  <c r="I808" i="4"/>
  <c r="H808" i="4"/>
  <c r="F808" i="4"/>
  <c r="E808" i="4"/>
  <c r="M808" i="4" s="1"/>
  <c r="I807" i="4"/>
  <c r="H807" i="4"/>
  <c r="F807" i="4"/>
  <c r="E807" i="4"/>
  <c r="M807" i="4" s="1"/>
  <c r="I806" i="4"/>
  <c r="H806" i="4"/>
  <c r="F806" i="4"/>
  <c r="E806" i="4"/>
  <c r="M806" i="4" s="1"/>
  <c r="I805" i="4"/>
  <c r="H805" i="4"/>
  <c r="F805" i="4"/>
  <c r="E805" i="4"/>
  <c r="M805" i="4" s="1"/>
  <c r="I804" i="4"/>
  <c r="H804" i="4"/>
  <c r="F804" i="4"/>
  <c r="E804" i="4"/>
  <c r="M804" i="4" s="1"/>
  <c r="I803" i="4"/>
  <c r="H803" i="4"/>
  <c r="F803" i="4"/>
  <c r="E803" i="4"/>
  <c r="M803" i="4" s="1"/>
  <c r="I802" i="4"/>
  <c r="H802" i="4"/>
  <c r="F802" i="4"/>
  <c r="E802" i="4"/>
  <c r="M802" i="4" s="1"/>
  <c r="I801" i="4"/>
  <c r="H801" i="4"/>
  <c r="F801" i="4"/>
  <c r="E801" i="4"/>
  <c r="M801" i="4" s="1"/>
  <c r="I800" i="4"/>
  <c r="H800" i="4"/>
  <c r="F800" i="4"/>
  <c r="E800" i="4"/>
  <c r="M800" i="4" s="1"/>
  <c r="I799" i="4"/>
  <c r="H799" i="4"/>
  <c r="F799" i="4"/>
  <c r="E799" i="4"/>
  <c r="M799" i="4" s="1"/>
  <c r="I798" i="4"/>
  <c r="H798" i="4"/>
  <c r="F798" i="4"/>
  <c r="E798" i="4"/>
  <c r="M798" i="4" s="1"/>
  <c r="I797" i="4"/>
  <c r="H797" i="4"/>
  <c r="F797" i="4"/>
  <c r="E797" i="4"/>
  <c r="M797" i="4" s="1"/>
  <c r="I796" i="4"/>
  <c r="H796" i="4"/>
  <c r="F796" i="4"/>
  <c r="E796" i="4"/>
  <c r="M796" i="4" s="1"/>
  <c r="I795" i="4"/>
  <c r="H795" i="4"/>
  <c r="F795" i="4"/>
  <c r="E795" i="4"/>
  <c r="M795" i="4" s="1"/>
  <c r="I794" i="4"/>
  <c r="H794" i="4"/>
  <c r="F794" i="4"/>
  <c r="E794" i="4"/>
  <c r="M794" i="4" s="1"/>
  <c r="I793" i="4"/>
  <c r="H793" i="4"/>
  <c r="F793" i="4"/>
  <c r="E793" i="4"/>
  <c r="M793" i="4" s="1"/>
  <c r="I792" i="4"/>
  <c r="H792" i="4"/>
  <c r="F792" i="4"/>
  <c r="E792" i="4"/>
  <c r="M792" i="4" s="1"/>
  <c r="I791" i="4"/>
  <c r="H791" i="4"/>
  <c r="F791" i="4"/>
  <c r="E791" i="4"/>
  <c r="M791" i="4" s="1"/>
  <c r="I790" i="4"/>
  <c r="H790" i="4"/>
  <c r="F790" i="4"/>
  <c r="E790" i="4"/>
  <c r="M790" i="4" s="1"/>
  <c r="I789" i="4"/>
  <c r="H789" i="4"/>
  <c r="F789" i="4"/>
  <c r="E789" i="4"/>
  <c r="M789" i="4" s="1"/>
  <c r="I788" i="4"/>
  <c r="H788" i="4"/>
  <c r="F788" i="4"/>
  <c r="E788" i="4"/>
  <c r="M788" i="4" s="1"/>
  <c r="I787" i="4"/>
  <c r="H787" i="4"/>
  <c r="F787" i="4"/>
  <c r="E787" i="4"/>
  <c r="M787" i="4" s="1"/>
  <c r="I786" i="4"/>
  <c r="H786" i="4"/>
  <c r="F786" i="4"/>
  <c r="E786" i="4"/>
  <c r="M786" i="4" s="1"/>
  <c r="I785" i="4"/>
  <c r="H785" i="4"/>
  <c r="F785" i="4"/>
  <c r="E785" i="4"/>
  <c r="M785" i="4" s="1"/>
  <c r="I784" i="4"/>
  <c r="H784" i="4"/>
  <c r="F784" i="4"/>
  <c r="E784" i="4"/>
  <c r="M784" i="4" s="1"/>
  <c r="I783" i="4"/>
  <c r="H783" i="4"/>
  <c r="F783" i="4"/>
  <c r="E783" i="4"/>
  <c r="M783" i="4" s="1"/>
  <c r="I782" i="4"/>
  <c r="H782" i="4"/>
  <c r="F782" i="4"/>
  <c r="E782" i="4"/>
  <c r="M782" i="4" s="1"/>
  <c r="I781" i="4"/>
  <c r="H781" i="4"/>
  <c r="F781" i="4"/>
  <c r="E781" i="4"/>
  <c r="M781" i="4" s="1"/>
  <c r="I780" i="4"/>
  <c r="H780" i="4"/>
  <c r="F780" i="4"/>
  <c r="E780" i="4"/>
  <c r="M780" i="4" s="1"/>
  <c r="I779" i="4"/>
  <c r="H779" i="4"/>
  <c r="F779" i="4"/>
  <c r="E779" i="4"/>
  <c r="M779" i="4" s="1"/>
  <c r="I778" i="4"/>
  <c r="H778" i="4"/>
  <c r="F778" i="4"/>
  <c r="E778" i="4"/>
  <c r="M778" i="4" s="1"/>
  <c r="I777" i="4"/>
  <c r="H777" i="4"/>
  <c r="F777" i="4"/>
  <c r="E777" i="4"/>
  <c r="M777" i="4" s="1"/>
  <c r="I776" i="4"/>
  <c r="H776" i="4"/>
  <c r="F776" i="4"/>
  <c r="E776" i="4"/>
  <c r="M776" i="4" s="1"/>
  <c r="I775" i="4"/>
  <c r="H775" i="4"/>
  <c r="F775" i="4"/>
  <c r="E775" i="4"/>
  <c r="M775" i="4" s="1"/>
  <c r="I774" i="4"/>
  <c r="H774" i="4"/>
  <c r="F774" i="4"/>
  <c r="E774" i="4"/>
  <c r="M774" i="4" s="1"/>
  <c r="I773" i="4"/>
  <c r="H773" i="4"/>
  <c r="F773" i="4"/>
  <c r="E773" i="4"/>
  <c r="M773" i="4" s="1"/>
  <c r="I772" i="4"/>
  <c r="H772" i="4"/>
  <c r="F772" i="4"/>
  <c r="E772" i="4"/>
  <c r="M772" i="4" s="1"/>
  <c r="I771" i="4"/>
  <c r="H771" i="4"/>
  <c r="F771" i="4"/>
  <c r="E771" i="4"/>
  <c r="M771" i="4" s="1"/>
  <c r="I770" i="4"/>
  <c r="H770" i="4"/>
  <c r="F770" i="4"/>
  <c r="E770" i="4"/>
  <c r="M770" i="4" s="1"/>
  <c r="I769" i="4"/>
  <c r="H769" i="4"/>
  <c r="F769" i="4"/>
  <c r="E769" i="4"/>
  <c r="M769" i="4" s="1"/>
  <c r="I768" i="4"/>
  <c r="H768" i="4"/>
  <c r="F768" i="4"/>
  <c r="E768" i="4"/>
  <c r="M768" i="4" s="1"/>
  <c r="I767" i="4"/>
  <c r="H767" i="4"/>
  <c r="F767" i="4"/>
  <c r="E767" i="4"/>
  <c r="M767" i="4" s="1"/>
  <c r="I766" i="4"/>
  <c r="H766" i="4"/>
  <c r="F766" i="4"/>
  <c r="E766" i="4"/>
  <c r="M766" i="4" s="1"/>
  <c r="I765" i="4"/>
  <c r="H765" i="4"/>
  <c r="F765" i="4"/>
  <c r="E765" i="4"/>
  <c r="M765" i="4" s="1"/>
  <c r="I764" i="4"/>
  <c r="H764" i="4"/>
  <c r="F764" i="4"/>
  <c r="E764" i="4"/>
  <c r="M764" i="4" s="1"/>
  <c r="I763" i="4"/>
  <c r="H763" i="4"/>
  <c r="F763" i="4"/>
  <c r="E763" i="4"/>
  <c r="M763" i="4" s="1"/>
  <c r="I762" i="4"/>
  <c r="H762" i="4"/>
  <c r="F762" i="4"/>
  <c r="E762" i="4"/>
  <c r="M762" i="4" s="1"/>
  <c r="I761" i="4"/>
  <c r="H761" i="4"/>
  <c r="F761" i="4"/>
  <c r="E761" i="4"/>
  <c r="M761" i="4" s="1"/>
  <c r="I760" i="4"/>
  <c r="H760" i="4"/>
  <c r="F760" i="4"/>
  <c r="E760" i="4"/>
  <c r="M760" i="4" s="1"/>
  <c r="I759" i="4"/>
  <c r="H759" i="4"/>
  <c r="F759" i="4"/>
  <c r="E759" i="4"/>
  <c r="M759" i="4" s="1"/>
  <c r="I758" i="4"/>
  <c r="H758" i="4"/>
  <c r="F758" i="4"/>
  <c r="E758" i="4"/>
  <c r="M758" i="4" s="1"/>
  <c r="I757" i="4"/>
  <c r="H757" i="4"/>
  <c r="F757" i="4"/>
  <c r="E757" i="4"/>
  <c r="M757" i="4" s="1"/>
  <c r="I756" i="4"/>
  <c r="H756" i="4"/>
  <c r="F756" i="4"/>
  <c r="E756" i="4"/>
  <c r="M756" i="4" s="1"/>
  <c r="I755" i="4"/>
  <c r="H755" i="4"/>
  <c r="F755" i="4"/>
  <c r="E755" i="4"/>
  <c r="M755" i="4" s="1"/>
  <c r="I754" i="4"/>
  <c r="H754" i="4"/>
  <c r="F754" i="4"/>
  <c r="E754" i="4"/>
  <c r="M754" i="4" s="1"/>
  <c r="I753" i="4"/>
  <c r="H753" i="4"/>
  <c r="F753" i="4"/>
  <c r="E753" i="4"/>
  <c r="M753" i="4" s="1"/>
  <c r="I752" i="4"/>
  <c r="H752" i="4"/>
  <c r="F752" i="4"/>
  <c r="E752" i="4"/>
  <c r="M752" i="4" s="1"/>
  <c r="I751" i="4"/>
  <c r="H751" i="4"/>
  <c r="F751" i="4"/>
  <c r="E751" i="4"/>
  <c r="M751" i="4" s="1"/>
  <c r="I750" i="4"/>
  <c r="H750" i="4"/>
  <c r="F750" i="4"/>
  <c r="E750" i="4"/>
  <c r="M750" i="4" s="1"/>
  <c r="I749" i="4"/>
  <c r="H749" i="4"/>
  <c r="F749" i="4"/>
  <c r="E749" i="4"/>
  <c r="M749" i="4" s="1"/>
  <c r="I748" i="4"/>
  <c r="H748" i="4"/>
  <c r="F748" i="4"/>
  <c r="E748" i="4"/>
  <c r="M748" i="4" s="1"/>
  <c r="I747" i="4"/>
  <c r="H747" i="4"/>
  <c r="F747" i="4"/>
  <c r="E747" i="4"/>
  <c r="M747" i="4" s="1"/>
  <c r="I746" i="4"/>
  <c r="H746" i="4"/>
  <c r="F746" i="4"/>
  <c r="E746" i="4"/>
  <c r="M746" i="4" s="1"/>
  <c r="I745" i="4"/>
  <c r="H745" i="4"/>
  <c r="F745" i="4"/>
  <c r="E745" i="4"/>
  <c r="M745" i="4" s="1"/>
  <c r="I744" i="4"/>
  <c r="H744" i="4"/>
  <c r="F744" i="4"/>
  <c r="E744" i="4"/>
  <c r="M744" i="4" s="1"/>
  <c r="I743" i="4"/>
  <c r="H743" i="4"/>
  <c r="F743" i="4"/>
  <c r="E743" i="4"/>
  <c r="M743" i="4" s="1"/>
  <c r="I742" i="4"/>
  <c r="H742" i="4"/>
  <c r="F742" i="4"/>
  <c r="E742" i="4"/>
  <c r="M742" i="4" s="1"/>
  <c r="I741" i="4"/>
  <c r="H741" i="4"/>
  <c r="F741" i="4"/>
  <c r="E741" i="4"/>
  <c r="M741" i="4" s="1"/>
  <c r="I740" i="4"/>
  <c r="H740" i="4"/>
  <c r="F740" i="4"/>
  <c r="E740" i="4"/>
  <c r="M740" i="4" s="1"/>
  <c r="I739" i="4"/>
  <c r="H739" i="4"/>
  <c r="F739" i="4"/>
  <c r="E739" i="4"/>
  <c r="M739" i="4" s="1"/>
  <c r="I738" i="4"/>
  <c r="H738" i="4"/>
  <c r="F738" i="4"/>
  <c r="E738" i="4"/>
  <c r="M738" i="4" s="1"/>
  <c r="I737" i="4"/>
  <c r="H737" i="4"/>
  <c r="F737" i="4"/>
  <c r="E737" i="4"/>
  <c r="M737" i="4" s="1"/>
  <c r="I736" i="4"/>
  <c r="H736" i="4"/>
  <c r="F736" i="4"/>
  <c r="E736" i="4"/>
  <c r="M736" i="4" s="1"/>
  <c r="I735" i="4"/>
  <c r="H735" i="4"/>
  <c r="F735" i="4"/>
  <c r="E735" i="4"/>
  <c r="M735" i="4" s="1"/>
  <c r="I734" i="4"/>
  <c r="H734" i="4"/>
  <c r="F734" i="4"/>
  <c r="E734" i="4"/>
  <c r="M734" i="4" s="1"/>
  <c r="I733" i="4"/>
  <c r="H733" i="4"/>
  <c r="F733" i="4"/>
  <c r="E733" i="4"/>
  <c r="M733" i="4" s="1"/>
  <c r="I732" i="4"/>
  <c r="H732" i="4"/>
  <c r="F732" i="4"/>
  <c r="E732" i="4"/>
  <c r="M732" i="4" s="1"/>
  <c r="I731" i="4"/>
  <c r="H731" i="4"/>
  <c r="F731" i="4"/>
  <c r="E731" i="4"/>
  <c r="M731" i="4" s="1"/>
  <c r="I730" i="4"/>
  <c r="H730" i="4"/>
  <c r="F730" i="4"/>
  <c r="E730" i="4"/>
  <c r="M730" i="4" s="1"/>
  <c r="I729" i="4"/>
  <c r="H729" i="4"/>
  <c r="F729" i="4"/>
  <c r="E729" i="4"/>
  <c r="M729" i="4" s="1"/>
  <c r="I728" i="4"/>
  <c r="H728" i="4"/>
  <c r="F728" i="4"/>
  <c r="E728" i="4"/>
  <c r="M728" i="4" s="1"/>
  <c r="I727" i="4"/>
  <c r="H727" i="4"/>
  <c r="F727" i="4"/>
  <c r="E727" i="4"/>
  <c r="M727" i="4" s="1"/>
  <c r="I726" i="4"/>
  <c r="H726" i="4"/>
  <c r="F726" i="4"/>
  <c r="E726" i="4"/>
  <c r="M726" i="4" s="1"/>
  <c r="I725" i="4"/>
  <c r="H725" i="4"/>
  <c r="F725" i="4"/>
  <c r="E725" i="4"/>
  <c r="M725" i="4" s="1"/>
  <c r="I724" i="4"/>
  <c r="H724" i="4"/>
  <c r="F724" i="4"/>
  <c r="E724" i="4"/>
  <c r="M724" i="4" s="1"/>
  <c r="I723" i="4"/>
  <c r="H723" i="4"/>
  <c r="F723" i="4"/>
  <c r="E723" i="4"/>
  <c r="M723" i="4" s="1"/>
  <c r="I722" i="4"/>
  <c r="H722" i="4"/>
  <c r="F722" i="4"/>
  <c r="E722" i="4"/>
  <c r="M722" i="4" s="1"/>
  <c r="I721" i="4"/>
  <c r="H721" i="4"/>
  <c r="F721" i="4"/>
  <c r="E721" i="4"/>
  <c r="M721" i="4" s="1"/>
  <c r="I720" i="4"/>
  <c r="H720" i="4"/>
  <c r="F720" i="4"/>
  <c r="E720" i="4"/>
  <c r="M720" i="4" s="1"/>
  <c r="I719" i="4"/>
  <c r="H719" i="4"/>
  <c r="F719" i="4"/>
  <c r="E719" i="4"/>
  <c r="M719" i="4" s="1"/>
  <c r="I718" i="4"/>
  <c r="H718" i="4"/>
  <c r="F718" i="4"/>
  <c r="E718" i="4"/>
  <c r="M718" i="4" s="1"/>
  <c r="I717" i="4"/>
  <c r="H717" i="4"/>
  <c r="F717" i="4"/>
  <c r="E717" i="4"/>
  <c r="M717" i="4" s="1"/>
  <c r="I716" i="4"/>
  <c r="H716" i="4"/>
  <c r="F716" i="4"/>
  <c r="E716" i="4"/>
  <c r="M716" i="4" s="1"/>
  <c r="I715" i="4"/>
  <c r="H715" i="4"/>
  <c r="F715" i="4"/>
  <c r="E715" i="4"/>
  <c r="M715" i="4" s="1"/>
  <c r="I714" i="4"/>
  <c r="H714" i="4"/>
  <c r="F714" i="4"/>
  <c r="E714" i="4"/>
  <c r="M714" i="4" s="1"/>
  <c r="I713" i="4"/>
  <c r="H713" i="4"/>
  <c r="F713" i="4"/>
  <c r="E713" i="4"/>
  <c r="M713" i="4" s="1"/>
  <c r="I712" i="4"/>
  <c r="H712" i="4"/>
  <c r="F712" i="4"/>
  <c r="E712" i="4"/>
  <c r="M712" i="4" s="1"/>
  <c r="I711" i="4"/>
  <c r="H711" i="4"/>
  <c r="F711" i="4"/>
  <c r="E711" i="4"/>
  <c r="M711" i="4" s="1"/>
  <c r="I710" i="4"/>
  <c r="H710" i="4"/>
  <c r="F710" i="4"/>
  <c r="E710" i="4"/>
  <c r="M710" i="4" s="1"/>
  <c r="I709" i="4"/>
  <c r="H709" i="4"/>
  <c r="F709" i="4"/>
  <c r="E709" i="4"/>
  <c r="M709" i="4" s="1"/>
  <c r="I708" i="4"/>
  <c r="H708" i="4"/>
  <c r="F708" i="4"/>
  <c r="E708" i="4"/>
  <c r="M708" i="4" s="1"/>
  <c r="I707" i="4"/>
  <c r="H707" i="4"/>
  <c r="F707" i="4"/>
  <c r="E707" i="4"/>
  <c r="M707" i="4" s="1"/>
  <c r="I706" i="4"/>
  <c r="H706" i="4"/>
  <c r="F706" i="4"/>
  <c r="E706" i="4"/>
  <c r="M706" i="4" s="1"/>
  <c r="I705" i="4"/>
  <c r="H705" i="4"/>
  <c r="F705" i="4"/>
  <c r="E705" i="4"/>
  <c r="M705" i="4" s="1"/>
  <c r="I704" i="4"/>
  <c r="H704" i="4"/>
  <c r="F704" i="4"/>
  <c r="E704" i="4"/>
  <c r="M704" i="4" s="1"/>
  <c r="I703" i="4"/>
  <c r="H703" i="4"/>
  <c r="F703" i="4"/>
  <c r="E703" i="4"/>
  <c r="M703" i="4" s="1"/>
  <c r="I702" i="4"/>
  <c r="H702" i="4"/>
  <c r="F702" i="4"/>
  <c r="E702" i="4"/>
  <c r="M702" i="4" s="1"/>
  <c r="I701" i="4"/>
  <c r="H701" i="4"/>
  <c r="F701" i="4"/>
  <c r="E701" i="4"/>
  <c r="M701" i="4" s="1"/>
  <c r="I700" i="4"/>
  <c r="H700" i="4"/>
  <c r="F700" i="4"/>
  <c r="E700" i="4"/>
  <c r="M700" i="4" s="1"/>
  <c r="I699" i="4"/>
  <c r="H699" i="4"/>
  <c r="F699" i="4"/>
  <c r="E699" i="4"/>
  <c r="M699" i="4" s="1"/>
  <c r="I698" i="4"/>
  <c r="H698" i="4"/>
  <c r="F698" i="4"/>
  <c r="E698" i="4"/>
  <c r="M698" i="4" s="1"/>
  <c r="I697" i="4"/>
  <c r="H697" i="4"/>
  <c r="F697" i="4"/>
  <c r="E697" i="4"/>
  <c r="M697" i="4" s="1"/>
  <c r="I696" i="4"/>
  <c r="H696" i="4"/>
  <c r="F696" i="4"/>
  <c r="E696" i="4"/>
  <c r="M696" i="4" s="1"/>
  <c r="I695" i="4"/>
  <c r="H695" i="4"/>
  <c r="F695" i="4"/>
  <c r="E695" i="4"/>
  <c r="M695" i="4" s="1"/>
  <c r="I694" i="4"/>
  <c r="H694" i="4"/>
  <c r="F694" i="4"/>
  <c r="E694" i="4"/>
  <c r="M694" i="4" s="1"/>
  <c r="I693" i="4"/>
  <c r="H693" i="4"/>
  <c r="F693" i="4"/>
  <c r="E693" i="4"/>
  <c r="M693" i="4" s="1"/>
  <c r="I692" i="4"/>
  <c r="H692" i="4"/>
  <c r="F692" i="4"/>
  <c r="E692" i="4"/>
  <c r="M692" i="4" s="1"/>
  <c r="I691" i="4"/>
  <c r="H691" i="4"/>
  <c r="F691" i="4"/>
  <c r="E691" i="4"/>
  <c r="M691" i="4" s="1"/>
  <c r="I690" i="4"/>
  <c r="H690" i="4"/>
  <c r="F690" i="4"/>
  <c r="E690" i="4"/>
  <c r="M690" i="4" s="1"/>
  <c r="I689" i="4"/>
  <c r="H689" i="4"/>
  <c r="F689" i="4"/>
  <c r="E689" i="4"/>
  <c r="M689" i="4" s="1"/>
  <c r="I688" i="4"/>
  <c r="H688" i="4"/>
  <c r="F688" i="4"/>
  <c r="E688" i="4"/>
  <c r="M688" i="4" s="1"/>
  <c r="I687" i="4"/>
  <c r="H687" i="4"/>
  <c r="F687" i="4"/>
  <c r="E687" i="4"/>
  <c r="M687" i="4" s="1"/>
  <c r="I686" i="4"/>
  <c r="H686" i="4"/>
  <c r="F686" i="4"/>
  <c r="E686" i="4"/>
  <c r="M686" i="4" s="1"/>
  <c r="I685" i="4"/>
  <c r="H685" i="4"/>
  <c r="F685" i="4"/>
  <c r="E685" i="4"/>
  <c r="M685" i="4" s="1"/>
  <c r="I684" i="4"/>
  <c r="H684" i="4"/>
  <c r="F684" i="4"/>
  <c r="E684" i="4"/>
  <c r="M684" i="4" s="1"/>
  <c r="I683" i="4"/>
  <c r="H683" i="4"/>
  <c r="F683" i="4"/>
  <c r="E683" i="4"/>
  <c r="M683" i="4" s="1"/>
  <c r="I682" i="4"/>
  <c r="H682" i="4"/>
  <c r="F682" i="4"/>
  <c r="E682" i="4"/>
  <c r="M682" i="4" s="1"/>
  <c r="I681" i="4"/>
  <c r="H681" i="4"/>
  <c r="F681" i="4"/>
  <c r="E681" i="4"/>
  <c r="M681" i="4" s="1"/>
  <c r="I680" i="4"/>
  <c r="H680" i="4"/>
  <c r="F680" i="4"/>
  <c r="E680" i="4"/>
  <c r="M680" i="4" s="1"/>
  <c r="I679" i="4"/>
  <c r="H679" i="4"/>
  <c r="F679" i="4"/>
  <c r="E679" i="4"/>
  <c r="M679" i="4" s="1"/>
  <c r="I678" i="4"/>
  <c r="H678" i="4"/>
  <c r="F678" i="4"/>
  <c r="E678" i="4"/>
  <c r="M678" i="4" s="1"/>
  <c r="I677" i="4"/>
  <c r="H677" i="4"/>
  <c r="F677" i="4"/>
  <c r="E677" i="4"/>
  <c r="M677" i="4" s="1"/>
  <c r="I676" i="4"/>
  <c r="H676" i="4"/>
  <c r="F676" i="4"/>
  <c r="E676" i="4"/>
  <c r="M676" i="4" s="1"/>
  <c r="I675" i="4"/>
  <c r="H675" i="4"/>
  <c r="F675" i="4"/>
  <c r="E675" i="4"/>
  <c r="M675" i="4" s="1"/>
  <c r="I674" i="4"/>
  <c r="H674" i="4"/>
  <c r="F674" i="4"/>
  <c r="E674" i="4"/>
  <c r="M674" i="4" s="1"/>
  <c r="I673" i="4"/>
  <c r="H673" i="4"/>
  <c r="F673" i="4"/>
  <c r="E673" i="4"/>
  <c r="M673" i="4" s="1"/>
  <c r="I672" i="4"/>
  <c r="H672" i="4"/>
  <c r="F672" i="4"/>
  <c r="E672" i="4"/>
  <c r="M672" i="4" s="1"/>
  <c r="I671" i="4"/>
  <c r="H671" i="4"/>
  <c r="F671" i="4"/>
  <c r="E671" i="4"/>
  <c r="M671" i="4" s="1"/>
  <c r="I670" i="4"/>
  <c r="H670" i="4"/>
  <c r="F670" i="4"/>
  <c r="E670" i="4"/>
  <c r="M670" i="4" s="1"/>
  <c r="I669" i="4"/>
  <c r="H669" i="4"/>
  <c r="F669" i="4"/>
  <c r="E669" i="4"/>
  <c r="M669" i="4" s="1"/>
  <c r="I668" i="4"/>
  <c r="H668" i="4"/>
  <c r="F668" i="4"/>
  <c r="E668" i="4"/>
  <c r="M668" i="4" s="1"/>
  <c r="I667" i="4"/>
  <c r="H667" i="4"/>
  <c r="F667" i="4"/>
  <c r="E667" i="4"/>
  <c r="M667" i="4" s="1"/>
  <c r="I666" i="4"/>
  <c r="H666" i="4"/>
  <c r="F666" i="4"/>
  <c r="E666" i="4"/>
  <c r="M666" i="4" s="1"/>
  <c r="I665" i="4"/>
  <c r="H665" i="4"/>
  <c r="F665" i="4"/>
  <c r="E665" i="4"/>
  <c r="M665" i="4" s="1"/>
  <c r="I664" i="4"/>
  <c r="H664" i="4"/>
  <c r="F664" i="4"/>
  <c r="E664" i="4"/>
  <c r="M664" i="4" s="1"/>
  <c r="I663" i="4"/>
  <c r="H663" i="4"/>
  <c r="F663" i="4"/>
  <c r="E663" i="4"/>
  <c r="M663" i="4" s="1"/>
  <c r="I662" i="4"/>
  <c r="H662" i="4"/>
  <c r="F662" i="4"/>
  <c r="E662" i="4"/>
  <c r="M662" i="4" s="1"/>
  <c r="I661" i="4"/>
  <c r="H661" i="4"/>
  <c r="F661" i="4"/>
  <c r="E661" i="4"/>
  <c r="M661" i="4" s="1"/>
  <c r="I660" i="4"/>
  <c r="H660" i="4"/>
  <c r="F660" i="4"/>
  <c r="E660" i="4"/>
  <c r="M660" i="4" s="1"/>
  <c r="I659" i="4"/>
  <c r="H659" i="4"/>
  <c r="F659" i="4"/>
  <c r="E659" i="4"/>
  <c r="M659" i="4" s="1"/>
  <c r="I658" i="4"/>
  <c r="H658" i="4"/>
  <c r="F658" i="4"/>
  <c r="E658" i="4"/>
  <c r="M658" i="4" s="1"/>
  <c r="I657" i="4"/>
  <c r="H657" i="4"/>
  <c r="F657" i="4"/>
  <c r="E657" i="4"/>
  <c r="M657" i="4" s="1"/>
  <c r="I656" i="4"/>
  <c r="H656" i="4"/>
  <c r="F656" i="4"/>
  <c r="E656" i="4"/>
  <c r="M656" i="4" s="1"/>
  <c r="I655" i="4"/>
  <c r="H655" i="4"/>
  <c r="F655" i="4"/>
  <c r="E655" i="4"/>
  <c r="M655" i="4" s="1"/>
  <c r="I654" i="4"/>
  <c r="H654" i="4"/>
  <c r="F654" i="4"/>
  <c r="E654" i="4"/>
  <c r="M654" i="4" s="1"/>
  <c r="I653" i="4"/>
  <c r="H653" i="4"/>
  <c r="F653" i="4"/>
  <c r="E653" i="4"/>
  <c r="M653" i="4" s="1"/>
  <c r="I652" i="4"/>
  <c r="H652" i="4"/>
  <c r="F652" i="4"/>
  <c r="E652" i="4"/>
  <c r="M652" i="4" s="1"/>
  <c r="I651" i="4"/>
  <c r="H651" i="4"/>
  <c r="F651" i="4"/>
  <c r="E651" i="4"/>
  <c r="M651" i="4" s="1"/>
  <c r="I650" i="4"/>
  <c r="H650" i="4"/>
  <c r="F650" i="4"/>
  <c r="E650" i="4"/>
  <c r="M650" i="4" s="1"/>
  <c r="I649" i="4"/>
  <c r="H649" i="4"/>
  <c r="F649" i="4"/>
  <c r="E649" i="4"/>
  <c r="M649" i="4" s="1"/>
  <c r="I648" i="4"/>
  <c r="H648" i="4"/>
  <c r="F648" i="4"/>
  <c r="E648" i="4"/>
  <c r="M648" i="4" s="1"/>
  <c r="I647" i="4"/>
  <c r="H647" i="4"/>
  <c r="F647" i="4"/>
  <c r="E647" i="4"/>
  <c r="M647" i="4" s="1"/>
  <c r="I646" i="4"/>
  <c r="H646" i="4"/>
  <c r="F646" i="4"/>
  <c r="E646" i="4"/>
  <c r="M646" i="4" s="1"/>
  <c r="I645" i="4"/>
  <c r="H645" i="4"/>
  <c r="F645" i="4"/>
  <c r="E645" i="4"/>
  <c r="M645" i="4" s="1"/>
  <c r="I644" i="4"/>
  <c r="H644" i="4"/>
  <c r="F644" i="4"/>
  <c r="E644" i="4"/>
  <c r="M644" i="4" s="1"/>
  <c r="I643" i="4"/>
  <c r="H643" i="4"/>
  <c r="F643" i="4"/>
  <c r="E643" i="4"/>
  <c r="M643" i="4" s="1"/>
  <c r="I642" i="4"/>
  <c r="H642" i="4"/>
  <c r="F642" i="4"/>
  <c r="E642" i="4"/>
  <c r="M642" i="4" s="1"/>
  <c r="I641" i="4"/>
  <c r="H641" i="4"/>
  <c r="F641" i="4"/>
  <c r="E641" i="4"/>
  <c r="M641" i="4" s="1"/>
  <c r="I640" i="4"/>
  <c r="H640" i="4"/>
  <c r="F640" i="4"/>
  <c r="E640" i="4"/>
  <c r="M640" i="4" s="1"/>
  <c r="I639" i="4"/>
  <c r="H639" i="4"/>
  <c r="F639" i="4"/>
  <c r="E639" i="4"/>
  <c r="M639" i="4" s="1"/>
  <c r="I638" i="4"/>
  <c r="H638" i="4"/>
  <c r="F638" i="4"/>
  <c r="E638" i="4"/>
  <c r="M638" i="4" s="1"/>
  <c r="I637" i="4"/>
  <c r="H637" i="4"/>
  <c r="F637" i="4"/>
  <c r="E637" i="4"/>
  <c r="M637" i="4" s="1"/>
  <c r="I636" i="4"/>
  <c r="H636" i="4"/>
  <c r="F636" i="4"/>
  <c r="E636" i="4"/>
  <c r="M636" i="4" s="1"/>
  <c r="I635" i="4"/>
  <c r="H635" i="4"/>
  <c r="F635" i="4"/>
  <c r="E635" i="4"/>
  <c r="M635" i="4" s="1"/>
  <c r="I634" i="4"/>
  <c r="H634" i="4"/>
  <c r="F634" i="4"/>
  <c r="E634" i="4"/>
  <c r="M634" i="4" s="1"/>
  <c r="I633" i="4"/>
  <c r="H633" i="4"/>
  <c r="F633" i="4"/>
  <c r="E633" i="4"/>
  <c r="M633" i="4" s="1"/>
  <c r="I632" i="4"/>
  <c r="H632" i="4"/>
  <c r="F632" i="4"/>
  <c r="E632" i="4"/>
  <c r="M632" i="4" s="1"/>
  <c r="I631" i="4"/>
  <c r="H631" i="4"/>
  <c r="F631" i="4"/>
  <c r="E631" i="4"/>
  <c r="M631" i="4" s="1"/>
  <c r="I630" i="4"/>
  <c r="H630" i="4"/>
  <c r="F630" i="4"/>
  <c r="E630" i="4"/>
  <c r="M630" i="4" s="1"/>
  <c r="I629" i="4"/>
  <c r="H629" i="4"/>
  <c r="F629" i="4"/>
  <c r="E629" i="4"/>
  <c r="M629" i="4" s="1"/>
  <c r="I628" i="4"/>
  <c r="H628" i="4"/>
  <c r="F628" i="4"/>
  <c r="E628" i="4"/>
  <c r="M628" i="4" s="1"/>
  <c r="I627" i="4"/>
  <c r="H627" i="4"/>
  <c r="F627" i="4"/>
  <c r="E627" i="4"/>
  <c r="M627" i="4" s="1"/>
  <c r="I626" i="4"/>
  <c r="H626" i="4"/>
  <c r="F626" i="4"/>
  <c r="E626" i="4"/>
  <c r="M626" i="4" s="1"/>
  <c r="I625" i="4"/>
  <c r="H625" i="4"/>
  <c r="F625" i="4"/>
  <c r="E625" i="4"/>
  <c r="M625" i="4" s="1"/>
  <c r="I624" i="4"/>
  <c r="H624" i="4"/>
  <c r="F624" i="4"/>
  <c r="E624" i="4"/>
  <c r="M624" i="4" s="1"/>
  <c r="I623" i="4"/>
  <c r="H623" i="4"/>
  <c r="F623" i="4"/>
  <c r="E623" i="4"/>
  <c r="M623" i="4" s="1"/>
  <c r="I622" i="4"/>
  <c r="H622" i="4"/>
  <c r="F622" i="4"/>
  <c r="E622" i="4"/>
  <c r="M622" i="4" s="1"/>
  <c r="I621" i="4"/>
  <c r="H621" i="4"/>
  <c r="F621" i="4"/>
  <c r="E621" i="4"/>
  <c r="M621" i="4" s="1"/>
  <c r="I620" i="4"/>
  <c r="H620" i="4"/>
  <c r="F620" i="4"/>
  <c r="E620" i="4"/>
  <c r="M620" i="4" s="1"/>
  <c r="I619" i="4"/>
  <c r="H619" i="4"/>
  <c r="F619" i="4"/>
  <c r="E619" i="4"/>
  <c r="M619" i="4" s="1"/>
  <c r="I618" i="4"/>
  <c r="H618" i="4"/>
  <c r="F618" i="4"/>
  <c r="E618" i="4"/>
  <c r="M618" i="4" s="1"/>
  <c r="I617" i="4"/>
  <c r="H617" i="4"/>
  <c r="F617" i="4"/>
  <c r="E617" i="4"/>
  <c r="M617" i="4" s="1"/>
  <c r="I616" i="4"/>
  <c r="H616" i="4"/>
  <c r="F616" i="4"/>
  <c r="E616" i="4"/>
  <c r="M616" i="4" s="1"/>
  <c r="I615" i="4"/>
  <c r="H615" i="4"/>
  <c r="F615" i="4"/>
  <c r="E615" i="4"/>
  <c r="M615" i="4" s="1"/>
  <c r="I614" i="4"/>
  <c r="H614" i="4"/>
  <c r="F614" i="4"/>
  <c r="E614" i="4"/>
  <c r="M614" i="4" s="1"/>
  <c r="I613" i="4"/>
  <c r="H613" i="4"/>
  <c r="F613" i="4"/>
  <c r="E613" i="4"/>
  <c r="M613" i="4" s="1"/>
  <c r="I612" i="4"/>
  <c r="H612" i="4"/>
  <c r="F612" i="4"/>
  <c r="E612" i="4"/>
  <c r="M612" i="4" s="1"/>
  <c r="I611" i="4"/>
  <c r="H611" i="4"/>
  <c r="F611" i="4"/>
  <c r="E611" i="4"/>
  <c r="M611" i="4" s="1"/>
  <c r="I610" i="4"/>
  <c r="H610" i="4"/>
  <c r="F610" i="4"/>
  <c r="E610" i="4"/>
  <c r="M610" i="4" s="1"/>
  <c r="I609" i="4"/>
  <c r="H609" i="4"/>
  <c r="F609" i="4"/>
  <c r="E609" i="4"/>
  <c r="M609" i="4" s="1"/>
  <c r="I608" i="4"/>
  <c r="H608" i="4"/>
  <c r="F608" i="4"/>
  <c r="E608" i="4"/>
  <c r="M608" i="4" s="1"/>
  <c r="I607" i="4"/>
  <c r="H607" i="4"/>
  <c r="F607" i="4"/>
  <c r="E607" i="4"/>
  <c r="M607" i="4" s="1"/>
  <c r="I606" i="4"/>
  <c r="H606" i="4"/>
  <c r="F606" i="4"/>
  <c r="E606" i="4"/>
  <c r="M606" i="4" s="1"/>
  <c r="I605" i="4"/>
  <c r="H605" i="4"/>
  <c r="F605" i="4"/>
  <c r="E605" i="4"/>
  <c r="M605" i="4" s="1"/>
  <c r="I604" i="4"/>
  <c r="H604" i="4"/>
  <c r="F604" i="4"/>
  <c r="E604" i="4"/>
  <c r="M604" i="4" s="1"/>
  <c r="I603" i="4"/>
  <c r="H603" i="4"/>
  <c r="F603" i="4"/>
  <c r="E603" i="4"/>
  <c r="M603" i="4" s="1"/>
  <c r="I602" i="4"/>
  <c r="H602" i="4"/>
  <c r="F602" i="4"/>
  <c r="E602" i="4"/>
  <c r="M602" i="4" s="1"/>
  <c r="I601" i="4"/>
  <c r="H601" i="4"/>
  <c r="F601" i="4"/>
  <c r="E601" i="4"/>
  <c r="M601" i="4" s="1"/>
  <c r="I600" i="4"/>
  <c r="H600" i="4"/>
  <c r="F600" i="4"/>
  <c r="E600" i="4"/>
  <c r="M600" i="4" s="1"/>
  <c r="I599" i="4"/>
  <c r="H599" i="4"/>
  <c r="F599" i="4"/>
  <c r="E599" i="4"/>
  <c r="M599" i="4" s="1"/>
  <c r="I598" i="4"/>
  <c r="H598" i="4"/>
  <c r="F598" i="4"/>
  <c r="E598" i="4"/>
  <c r="M598" i="4" s="1"/>
  <c r="I597" i="4"/>
  <c r="H597" i="4"/>
  <c r="F597" i="4"/>
  <c r="E597" i="4"/>
  <c r="M597" i="4" s="1"/>
  <c r="I596" i="4"/>
  <c r="H596" i="4"/>
  <c r="F596" i="4"/>
  <c r="E596" i="4"/>
  <c r="M596" i="4" s="1"/>
  <c r="I595" i="4"/>
  <c r="H595" i="4"/>
  <c r="F595" i="4"/>
  <c r="E595" i="4"/>
  <c r="M595" i="4" s="1"/>
  <c r="I594" i="4"/>
  <c r="H594" i="4"/>
  <c r="F594" i="4"/>
  <c r="E594" i="4"/>
  <c r="M594" i="4" s="1"/>
  <c r="I593" i="4"/>
  <c r="H593" i="4"/>
  <c r="F593" i="4"/>
  <c r="E593" i="4"/>
  <c r="M593" i="4" s="1"/>
  <c r="I592" i="4"/>
  <c r="H592" i="4"/>
  <c r="F592" i="4"/>
  <c r="E592" i="4"/>
  <c r="M592" i="4" s="1"/>
  <c r="I591" i="4"/>
  <c r="H591" i="4"/>
  <c r="F591" i="4"/>
  <c r="E591" i="4"/>
  <c r="M591" i="4" s="1"/>
  <c r="I590" i="4"/>
  <c r="H590" i="4"/>
  <c r="F590" i="4"/>
  <c r="E590" i="4"/>
  <c r="M590" i="4" s="1"/>
  <c r="I589" i="4"/>
  <c r="H589" i="4"/>
  <c r="F589" i="4"/>
  <c r="E589" i="4"/>
  <c r="M589" i="4" s="1"/>
  <c r="I588" i="4"/>
  <c r="H588" i="4"/>
  <c r="F588" i="4"/>
  <c r="E588" i="4"/>
  <c r="M588" i="4" s="1"/>
  <c r="I587" i="4"/>
  <c r="H587" i="4"/>
  <c r="F587" i="4"/>
  <c r="E587" i="4"/>
  <c r="M587" i="4" s="1"/>
  <c r="I586" i="4"/>
  <c r="H586" i="4"/>
  <c r="F586" i="4"/>
  <c r="E586" i="4"/>
  <c r="M586" i="4" s="1"/>
  <c r="I585" i="4"/>
  <c r="H585" i="4"/>
  <c r="F585" i="4"/>
  <c r="E585" i="4"/>
  <c r="M585" i="4" s="1"/>
  <c r="I584" i="4"/>
  <c r="H584" i="4"/>
  <c r="F584" i="4"/>
  <c r="E584" i="4"/>
  <c r="M584" i="4" s="1"/>
  <c r="I583" i="4"/>
  <c r="H583" i="4"/>
  <c r="F583" i="4"/>
  <c r="E583" i="4"/>
  <c r="M583" i="4" s="1"/>
  <c r="I582" i="4"/>
  <c r="H582" i="4"/>
  <c r="F582" i="4"/>
  <c r="E582" i="4"/>
  <c r="M582" i="4" s="1"/>
  <c r="I581" i="4"/>
  <c r="H581" i="4"/>
  <c r="F581" i="4"/>
  <c r="E581" i="4"/>
  <c r="M581" i="4" s="1"/>
  <c r="I580" i="4"/>
  <c r="H580" i="4"/>
  <c r="F580" i="4"/>
  <c r="E580" i="4"/>
  <c r="M580" i="4" s="1"/>
  <c r="I579" i="4"/>
  <c r="H579" i="4"/>
  <c r="F579" i="4"/>
  <c r="E579" i="4"/>
  <c r="M579" i="4" s="1"/>
  <c r="I578" i="4"/>
  <c r="H578" i="4"/>
  <c r="F578" i="4"/>
  <c r="E578" i="4"/>
  <c r="M578" i="4" s="1"/>
  <c r="I577" i="4"/>
  <c r="H577" i="4"/>
  <c r="F577" i="4"/>
  <c r="E577" i="4"/>
  <c r="M577" i="4" s="1"/>
  <c r="I576" i="4"/>
  <c r="H576" i="4"/>
  <c r="F576" i="4"/>
  <c r="E576" i="4"/>
  <c r="M576" i="4" s="1"/>
  <c r="I575" i="4"/>
  <c r="H575" i="4"/>
  <c r="F575" i="4"/>
  <c r="E575" i="4"/>
  <c r="M575" i="4" s="1"/>
  <c r="I574" i="4"/>
  <c r="H574" i="4"/>
  <c r="F574" i="4"/>
  <c r="E574" i="4"/>
  <c r="M574" i="4" s="1"/>
  <c r="I573" i="4"/>
  <c r="H573" i="4"/>
  <c r="F573" i="4"/>
  <c r="E573" i="4"/>
  <c r="M573" i="4" s="1"/>
  <c r="I572" i="4"/>
  <c r="H572" i="4"/>
  <c r="F572" i="4"/>
  <c r="E572" i="4"/>
  <c r="M572" i="4" s="1"/>
  <c r="I571" i="4"/>
  <c r="H571" i="4"/>
  <c r="F571" i="4"/>
  <c r="E571" i="4"/>
  <c r="M571" i="4" s="1"/>
  <c r="I570" i="4"/>
  <c r="H570" i="4"/>
  <c r="F570" i="4"/>
  <c r="E570" i="4"/>
  <c r="M570" i="4" s="1"/>
  <c r="I569" i="4"/>
  <c r="H569" i="4"/>
  <c r="F569" i="4"/>
  <c r="E569" i="4"/>
  <c r="M569" i="4" s="1"/>
  <c r="I568" i="4"/>
  <c r="H568" i="4"/>
  <c r="F568" i="4"/>
  <c r="E568" i="4"/>
  <c r="M568" i="4" s="1"/>
  <c r="I567" i="4"/>
  <c r="H567" i="4"/>
  <c r="F567" i="4"/>
  <c r="E567" i="4"/>
  <c r="M567" i="4" s="1"/>
  <c r="I566" i="4"/>
  <c r="H566" i="4"/>
  <c r="F566" i="4"/>
  <c r="E566" i="4"/>
  <c r="M566" i="4" s="1"/>
  <c r="I565" i="4"/>
  <c r="H565" i="4"/>
  <c r="F565" i="4"/>
  <c r="E565" i="4"/>
  <c r="M565" i="4" s="1"/>
  <c r="I564" i="4"/>
  <c r="H564" i="4"/>
  <c r="F564" i="4"/>
  <c r="E564" i="4"/>
  <c r="M564" i="4" s="1"/>
  <c r="I563" i="4"/>
  <c r="H563" i="4"/>
  <c r="F563" i="4"/>
  <c r="E563" i="4"/>
  <c r="M563" i="4" s="1"/>
  <c r="I562" i="4"/>
  <c r="H562" i="4"/>
  <c r="F562" i="4"/>
  <c r="E562" i="4"/>
  <c r="M562" i="4" s="1"/>
  <c r="I561" i="4"/>
  <c r="H561" i="4"/>
  <c r="F561" i="4"/>
  <c r="E561" i="4"/>
  <c r="M561" i="4" s="1"/>
  <c r="I560" i="4"/>
  <c r="H560" i="4"/>
  <c r="F560" i="4"/>
  <c r="E560" i="4"/>
  <c r="M560" i="4" s="1"/>
  <c r="I559" i="4"/>
  <c r="H559" i="4"/>
  <c r="F559" i="4"/>
  <c r="E559" i="4"/>
  <c r="M559" i="4" s="1"/>
  <c r="I558" i="4"/>
  <c r="H558" i="4"/>
  <c r="F558" i="4"/>
  <c r="E558" i="4"/>
  <c r="M558" i="4" s="1"/>
  <c r="I557" i="4"/>
  <c r="H557" i="4"/>
  <c r="F557" i="4"/>
  <c r="E557" i="4"/>
  <c r="M557" i="4" s="1"/>
  <c r="I556" i="4"/>
  <c r="H556" i="4"/>
  <c r="F556" i="4"/>
  <c r="E556" i="4"/>
  <c r="M556" i="4" s="1"/>
  <c r="I555" i="4"/>
  <c r="H555" i="4"/>
  <c r="F555" i="4"/>
  <c r="E555" i="4"/>
  <c r="M555" i="4" s="1"/>
  <c r="I554" i="4"/>
  <c r="H554" i="4"/>
  <c r="F554" i="4"/>
  <c r="E554" i="4"/>
  <c r="M554" i="4" s="1"/>
  <c r="I553" i="4"/>
  <c r="H553" i="4"/>
  <c r="F553" i="4"/>
  <c r="E553" i="4"/>
  <c r="M553" i="4" s="1"/>
  <c r="I552" i="4"/>
  <c r="H552" i="4"/>
  <c r="F552" i="4"/>
  <c r="E552" i="4"/>
  <c r="M552" i="4" s="1"/>
  <c r="I551" i="4"/>
  <c r="H551" i="4"/>
  <c r="F551" i="4"/>
  <c r="E551" i="4"/>
  <c r="M551" i="4" s="1"/>
  <c r="I550" i="4"/>
  <c r="H550" i="4"/>
  <c r="F550" i="4"/>
  <c r="E550" i="4"/>
  <c r="M550" i="4" s="1"/>
  <c r="I549" i="4"/>
  <c r="H549" i="4"/>
  <c r="F549" i="4"/>
  <c r="E549" i="4"/>
  <c r="M549" i="4" s="1"/>
  <c r="I548" i="4"/>
  <c r="H548" i="4"/>
  <c r="F548" i="4"/>
  <c r="E548" i="4"/>
  <c r="M548" i="4" s="1"/>
  <c r="I547" i="4"/>
  <c r="H547" i="4"/>
  <c r="F547" i="4"/>
  <c r="E547" i="4"/>
  <c r="M547" i="4" s="1"/>
  <c r="I546" i="4"/>
  <c r="H546" i="4"/>
  <c r="F546" i="4"/>
  <c r="E546" i="4"/>
  <c r="M546" i="4" s="1"/>
  <c r="I545" i="4"/>
  <c r="H545" i="4"/>
  <c r="F545" i="4"/>
  <c r="E545" i="4"/>
  <c r="M545" i="4" s="1"/>
  <c r="I544" i="4"/>
  <c r="H544" i="4"/>
  <c r="F544" i="4"/>
  <c r="E544" i="4"/>
  <c r="M544" i="4" s="1"/>
  <c r="I543" i="4"/>
  <c r="H543" i="4"/>
  <c r="F543" i="4"/>
  <c r="E543" i="4"/>
  <c r="M543" i="4" s="1"/>
  <c r="I542" i="4"/>
  <c r="H542" i="4"/>
  <c r="F542" i="4"/>
  <c r="E542" i="4"/>
  <c r="M542" i="4" s="1"/>
  <c r="I541" i="4"/>
  <c r="H541" i="4"/>
  <c r="F541" i="4"/>
  <c r="E541" i="4"/>
  <c r="M541" i="4" s="1"/>
  <c r="I540" i="4"/>
  <c r="H540" i="4"/>
  <c r="F540" i="4"/>
  <c r="E540" i="4"/>
  <c r="M540" i="4" s="1"/>
  <c r="I539" i="4"/>
  <c r="H539" i="4"/>
  <c r="F539" i="4"/>
  <c r="E539" i="4"/>
  <c r="M539" i="4" s="1"/>
  <c r="I538" i="4"/>
  <c r="H538" i="4"/>
  <c r="F538" i="4"/>
  <c r="E538" i="4"/>
  <c r="M538" i="4" s="1"/>
  <c r="I537" i="4"/>
  <c r="H537" i="4"/>
  <c r="F537" i="4"/>
  <c r="E537" i="4"/>
  <c r="M537" i="4" s="1"/>
  <c r="I536" i="4"/>
  <c r="H536" i="4"/>
  <c r="F536" i="4"/>
  <c r="E536" i="4"/>
  <c r="M536" i="4" s="1"/>
  <c r="I535" i="4"/>
  <c r="H535" i="4"/>
  <c r="F535" i="4"/>
  <c r="E535" i="4"/>
  <c r="M535" i="4" s="1"/>
  <c r="I534" i="4"/>
  <c r="H534" i="4"/>
  <c r="F534" i="4"/>
  <c r="E534" i="4"/>
  <c r="M534" i="4" s="1"/>
  <c r="I533" i="4"/>
  <c r="H533" i="4"/>
  <c r="F533" i="4"/>
  <c r="E533" i="4"/>
  <c r="M533" i="4" s="1"/>
  <c r="I532" i="4"/>
  <c r="H532" i="4"/>
  <c r="F532" i="4"/>
  <c r="E532" i="4"/>
  <c r="M532" i="4" s="1"/>
  <c r="I531" i="4"/>
  <c r="H531" i="4"/>
  <c r="F531" i="4"/>
  <c r="E531" i="4"/>
  <c r="M531" i="4" s="1"/>
  <c r="I530" i="4"/>
  <c r="H530" i="4"/>
  <c r="F530" i="4"/>
  <c r="E530" i="4"/>
  <c r="M530" i="4" s="1"/>
  <c r="I529" i="4"/>
  <c r="H529" i="4"/>
  <c r="F529" i="4"/>
  <c r="E529" i="4"/>
  <c r="M529" i="4" s="1"/>
  <c r="I528" i="4"/>
  <c r="H528" i="4"/>
  <c r="F528" i="4"/>
  <c r="E528" i="4"/>
  <c r="M528" i="4" s="1"/>
  <c r="I527" i="4"/>
  <c r="H527" i="4"/>
  <c r="F527" i="4"/>
  <c r="E527" i="4"/>
  <c r="M527" i="4" s="1"/>
  <c r="I526" i="4"/>
  <c r="H526" i="4"/>
  <c r="F526" i="4"/>
  <c r="E526" i="4"/>
  <c r="M526" i="4" s="1"/>
  <c r="I525" i="4"/>
  <c r="H525" i="4"/>
  <c r="F525" i="4"/>
  <c r="E525" i="4"/>
  <c r="M525" i="4" s="1"/>
  <c r="I524" i="4"/>
  <c r="H524" i="4"/>
  <c r="F524" i="4"/>
  <c r="E524" i="4"/>
  <c r="M524" i="4" s="1"/>
  <c r="I523" i="4"/>
  <c r="H523" i="4"/>
  <c r="F523" i="4"/>
  <c r="E523" i="4"/>
  <c r="M523" i="4" s="1"/>
  <c r="I522" i="4"/>
  <c r="H522" i="4"/>
  <c r="F522" i="4"/>
  <c r="E522" i="4"/>
  <c r="M522" i="4" s="1"/>
  <c r="I521" i="4"/>
  <c r="H521" i="4"/>
  <c r="F521" i="4"/>
  <c r="E521" i="4"/>
  <c r="M521" i="4" s="1"/>
  <c r="I520" i="4"/>
  <c r="H520" i="4"/>
  <c r="F520" i="4"/>
  <c r="E520" i="4"/>
  <c r="M520" i="4" s="1"/>
  <c r="I519" i="4"/>
  <c r="H519" i="4"/>
  <c r="F519" i="4"/>
  <c r="E519" i="4"/>
  <c r="M519" i="4" s="1"/>
  <c r="I518" i="4"/>
  <c r="H518" i="4"/>
  <c r="F518" i="4"/>
  <c r="E518" i="4"/>
  <c r="M518" i="4" s="1"/>
  <c r="I517" i="4"/>
  <c r="H517" i="4"/>
  <c r="F517" i="4"/>
  <c r="E517" i="4"/>
  <c r="M517" i="4" s="1"/>
  <c r="I516" i="4"/>
  <c r="H516" i="4"/>
  <c r="F516" i="4"/>
  <c r="E516" i="4"/>
  <c r="M516" i="4" s="1"/>
  <c r="I515" i="4"/>
  <c r="H515" i="4"/>
  <c r="F515" i="4"/>
  <c r="E515" i="4"/>
  <c r="M515" i="4" s="1"/>
  <c r="I514" i="4"/>
  <c r="H514" i="4"/>
  <c r="F514" i="4"/>
  <c r="E514" i="4"/>
  <c r="M514" i="4" s="1"/>
  <c r="I513" i="4"/>
  <c r="H513" i="4"/>
  <c r="F513" i="4"/>
  <c r="E513" i="4"/>
  <c r="M513" i="4" s="1"/>
  <c r="I512" i="4"/>
  <c r="H512" i="4"/>
  <c r="F512" i="4"/>
  <c r="E512" i="4"/>
  <c r="M512" i="4" s="1"/>
  <c r="I511" i="4"/>
  <c r="H511" i="4"/>
  <c r="F511" i="4"/>
  <c r="E511" i="4"/>
  <c r="M511" i="4" s="1"/>
  <c r="I510" i="4"/>
  <c r="H510" i="4"/>
  <c r="F510" i="4"/>
  <c r="E510" i="4"/>
  <c r="M510" i="4" s="1"/>
  <c r="I509" i="4"/>
  <c r="H509" i="4"/>
  <c r="F509" i="4"/>
  <c r="E509" i="4"/>
  <c r="M509" i="4" s="1"/>
  <c r="I508" i="4"/>
  <c r="H508" i="4"/>
  <c r="F508" i="4"/>
  <c r="E508" i="4"/>
  <c r="M508" i="4" s="1"/>
  <c r="I507" i="4"/>
  <c r="H507" i="4"/>
  <c r="F507" i="4"/>
  <c r="E507" i="4"/>
  <c r="M507" i="4" s="1"/>
  <c r="I506" i="4"/>
  <c r="H506" i="4"/>
  <c r="F506" i="4"/>
  <c r="E506" i="4"/>
  <c r="M506" i="4" s="1"/>
  <c r="I505" i="4"/>
  <c r="H505" i="4"/>
  <c r="F505" i="4"/>
  <c r="E505" i="4"/>
  <c r="M505" i="4" s="1"/>
  <c r="I504" i="4"/>
  <c r="H504" i="4"/>
  <c r="F504" i="4"/>
  <c r="E504" i="4"/>
  <c r="M504" i="4" s="1"/>
  <c r="I503" i="4"/>
  <c r="H503" i="4"/>
  <c r="F503" i="4"/>
  <c r="E503" i="4"/>
  <c r="M503" i="4" s="1"/>
  <c r="I502" i="4"/>
  <c r="H502" i="4"/>
  <c r="F502" i="4"/>
  <c r="E502" i="4"/>
  <c r="M502" i="4" s="1"/>
  <c r="I501" i="4"/>
  <c r="H501" i="4"/>
  <c r="F501" i="4"/>
  <c r="E501" i="4"/>
  <c r="M501" i="4" s="1"/>
  <c r="I500" i="4"/>
  <c r="H500" i="4"/>
  <c r="F500" i="4"/>
  <c r="E500" i="4"/>
  <c r="M500" i="4" s="1"/>
  <c r="I499" i="4"/>
  <c r="H499" i="4"/>
  <c r="F499" i="4"/>
  <c r="E499" i="4"/>
  <c r="M499" i="4" s="1"/>
  <c r="I498" i="4"/>
  <c r="H498" i="4"/>
  <c r="F498" i="4"/>
  <c r="E498" i="4"/>
  <c r="M498" i="4" s="1"/>
  <c r="I497" i="4"/>
  <c r="H497" i="4"/>
  <c r="F497" i="4"/>
  <c r="E497" i="4"/>
  <c r="M497" i="4" s="1"/>
  <c r="I496" i="4"/>
  <c r="H496" i="4"/>
  <c r="F496" i="4"/>
  <c r="E496" i="4"/>
  <c r="M496" i="4" s="1"/>
  <c r="I495" i="4"/>
  <c r="H495" i="4"/>
  <c r="F495" i="4"/>
  <c r="E495" i="4"/>
  <c r="M495" i="4" s="1"/>
  <c r="I494" i="4"/>
  <c r="H494" i="4"/>
  <c r="F494" i="4"/>
  <c r="E494" i="4"/>
  <c r="M494" i="4" s="1"/>
  <c r="I493" i="4"/>
  <c r="H493" i="4"/>
  <c r="F493" i="4"/>
  <c r="E493" i="4"/>
  <c r="M493" i="4" s="1"/>
  <c r="I492" i="4"/>
  <c r="H492" i="4"/>
  <c r="F492" i="4"/>
  <c r="E492" i="4"/>
  <c r="M492" i="4" s="1"/>
  <c r="I491" i="4"/>
  <c r="H491" i="4"/>
  <c r="F491" i="4"/>
  <c r="E491" i="4"/>
  <c r="M491" i="4" s="1"/>
  <c r="I490" i="4"/>
  <c r="H490" i="4"/>
  <c r="F490" i="4"/>
  <c r="E490" i="4"/>
  <c r="M490" i="4" s="1"/>
  <c r="I489" i="4"/>
  <c r="H489" i="4"/>
  <c r="F489" i="4"/>
  <c r="E489" i="4"/>
  <c r="M489" i="4" s="1"/>
  <c r="I488" i="4"/>
  <c r="H488" i="4"/>
  <c r="F488" i="4"/>
  <c r="E488" i="4"/>
  <c r="M488" i="4" s="1"/>
  <c r="I487" i="4"/>
  <c r="H487" i="4"/>
  <c r="F487" i="4"/>
  <c r="E487" i="4"/>
  <c r="M487" i="4" s="1"/>
  <c r="I486" i="4"/>
  <c r="H486" i="4"/>
  <c r="F486" i="4"/>
  <c r="E486" i="4"/>
  <c r="M486" i="4" s="1"/>
  <c r="I485" i="4"/>
  <c r="H485" i="4"/>
  <c r="F485" i="4"/>
  <c r="E485" i="4"/>
  <c r="M485" i="4" s="1"/>
  <c r="I484" i="4"/>
  <c r="H484" i="4"/>
  <c r="F484" i="4"/>
  <c r="E484" i="4"/>
  <c r="M484" i="4" s="1"/>
  <c r="I483" i="4"/>
  <c r="H483" i="4"/>
  <c r="F483" i="4"/>
  <c r="E483" i="4"/>
  <c r="M483" i="4" s="1"/>
  <c r="I482" i="4"/>
  <c r="H482" i="4"/>
  <c r="F482" i="4"/>
  <c r="E482" i="4"/>
  <c r="M482" i="4" s="1"/>
  <c r="I481" i="4"/>
  <c r="H481" i="4"/>
  <c r="F481" i="4"/>
  <c r="E481" i="4"/>
  <c r="M481" i="4" s="1"/>
  <c r="I480" i="4"/>
  <c r="H480" i="4"/>
  <c r="F480" i="4"/>
  <c r="E480" i="4"/>
  <c r="M480" i="4" s="1"/>
  <c r="I479" i="4"/>
  <c r="H479" i="4"/>
  <c r="F479" i="4"/>
  <c r="E479" i="4"/>
  <c r="M479" i="4" s="1"/>
  <c r="I478" i="4"/>
  <c r="H478" i="4"/>
  <c r="F478" i="4"/>
  <c r="E478" i="4"/>
  <c r="M478" i="4" s="1"/>
  <c r="I477" i="4"/>
  <c r="H477" i="4"/>
  <c r="F477" i="4"/>
  <c r="E477" i="4"/>
  <c r="M477" i="4" s="1"/>
  <c r="I476" i="4"/>
  <c r="H476" i="4"/>
  <c r="F476" i="4"/>
  <c r="E476" i="4"/>
  <c r="M476" i="4" s="1"/>
  <c r="I475" i="4"/>
  <c r="H475" i="4"/>
  <c r="F475" i="4"/>
  <c r="E475" i="4"/>
  <c r="M475" i="4" s="1"/>
  <c r="I474" i="4"/>
  <c r="H474" i="4"/>
  <c r="F474" i="4"/>
  <c r="E474" i="4"/>
  <c r="M474" i="4" s="1"/>
  <c r="I473" i="4"/>
  <c r="H473" i="4"/>
  <c r="F473" i="4"/>
  <c r="E473" i="4"/>
  <c r="M473" i="4" s="1"/>
  <c r="I472" i="4"/>
  <c r="H472" i="4"/>
  <c r="F472" i="4"/>
  <c r="E472" i="4"/>
  <c r="M472" i="4" s="1"/>
  <c r="I471" i="4"/>
  <c r="H471" i="4"/>
  <c r="F471" i="4"/>
  <c r="E471" i="4"/>
  <c r="M471" i="4" s="1"/>
  <c r="I470" i="4"/>
  <c r="H470" i="4"/>
  <c r="F470" i="4"/>
  <c r="E470" i="4"/>
  <c r="M470" i="4" s="1"/>
  <c r="I469" i="4"/>
  <c r="H469" i="4"/>
  <c r="F469" i="4"/>
  <c r="E469" i="4"/>
  <c r="M469" i="4" s="1"/>
  <c r="I468" i="4"/>
  <c r="H468" i="4"/>
  <c r="F468" i="4"/>
  <c r="E468" i="4"/>
  <c r="M468" i="4" s="1"/>
  <c r="I467" i="4"/>
  <c r="H467" i="4"/>
  <c r="F467" i="4"/>
  <c r="E467" i="4"/>
  <c r="M467" i="4" s="1"/>
  <c r="I466" i="4"/>
  <c r="H466" i="4"/>
  <c r="F466" i="4"/>
  <c r="E466" i="4"/>
  <c r="M466" i="4" s="1"/>
  <c r="I465" i="4"/>
  <c r="H465" i="4"/>
  <c r="F465" i="4"/>
  <c r="E465" i="4"/>
  <c r="M465" i="4" s="1"/>
  <c r="I464" i="4"/>
  <c r="H464" i="4"/>
  <c r="F464" i="4"/>
  <c r="E464" i="4"/>
  <c r="M464" i="4" s="1"/>
  <c r="I463" i="4"/>
  <c r="H463" i="4"/>
  <c r="F463" i="4"/>
  <c r="E463" i="4"/>
  <c r="M463" i="4" s="1"/>
  <c r="I462" i="4"/>
  <c r="H462" i="4"/>
  <c r="F462" i="4"/>
  <c r="E462" i="4"/>
  <c r="M462" i="4" s="1"/>
  <c r="I461" i="4"/>
  <c r="H461" i="4"/>
  <c r="F461" i="4"/>
  <c r="E461" i="4"/>
  <c r="M461" i="4" s="1"/>
  <c r="I460" i="4"/>
  <c r="H460" i="4"/>
  <c r="F460" i="4"/>
  <c r="E460" i="4"/>
  <c r="M460" i="4" s="1"/>
  <c r="I459" i="4"/>
  <c r="H459" i="4"/>
  <c r="F459" i="4"/>
  <c r="E459" i="4"/>
  <c r="M459" i="4" s="1"/>
  <c r="I458" i="4"/>
  <c r="H458" i="4"/>
  <c r="F458" i="4"/>
  <c r="E458" i="4"/>
  <c r="M458" i="4" s="1"/>
  <c r="I457" i="4"/>
  <c r="H457" i="4"/>
  <c r="F457" i="4"/>
  <c r="E457" i="4"/>
  <c r="M457" i="4" s="1"/>
  <c r="I456" i="4"/>
  <c r="H456" i="4"/>
  <c r="F456" i="4"/>
  <c r="E456" i="4"/>
  <c r="M456" i="4" s="1"/>
  <c r="I455" i="4"/>
  <c r="H455" i="4"/>
  <c r="F455" i="4"/>
  <c r="E455" i="4"/>
  <c r="M455" i="4" s="1"/>
  <c r="I454" i="4"/>
  <c r="H454" i="4"/>
  <c r="F454" i="4"/>
  <c r="E454" i="4"/>
  <c r="M454" i="4" s="1"/>
  <c r="I453" i="4"/>
  <c r="H453" i="4"/>
  <c r="F453" i="4"/>
  <c r="E453" i="4"/>
  <c r="M453" i="4" s="1"/>
  <c r="I452" i="4"/>
  <c r="H452" i="4"/>
  <c r="F452" i="4"/>
  <c r="E452" i="4"/>
  <c r="M452" i="4" s="1"/>
  <c r="I451" i="4"/>
  <c r="H451" i="4"/>
  <c r="F451" i="4"/>
  <c r="E451" i="4"/>
  <c r="M451" i="4" s="1"/>
  <c r="I450" i="4"/>
  <c r="H450" i="4"/>
  <c r="F450" i="4"/>
  <c r="E450" i="4"/>
  <c r="M450" i="4" s="1"/>
  <c r="I449" i="4"/>
  <c r="H449" i="4"/>
  <c r="F449" i="4"/>
  <c r="E449" i="4"/>
  <c r="M449" i="4" s="1"/>
  <c r="I448" i="4"/>
  <c r="H448" i="4"/>
  <c r="F448" i="4"/>
  <c r="E448" i="4"/>
  <c r="M448" i="4" s="1"/>
  <c r="I447" i="4"/>
  <c r="H447" i="4"/>
  <c r="F447" i="4"/>
  <c r="E447" i="4"/>
  <c r="M447" i="4" s="1"/>
  <c r="I446" i="4"/>
  <c r="H446" i="4"/>
  <c r="F446" i="4"/>
  <c r="E446" i="4"/>
  <c r="M446" i="4" s="1"/>
  <c r="I445" i="4"/>
  <c r="H445" i="4"/>
  <c r="F445" i="4"/>
  <c r="E445" i="4"/>
  <c r="M445" i="4" s="1"/>
  <c r="I444" i="4"/>
  <c r="H444" i="4"/>
  <c r="F444" i="4"/>
  <c r="E444" i="4"/>
  <c r="M444" i="4" s="1"/>
  <c r="I443" i="4"/>
  <c r="H443" i="4"/>
  <c r="F443" i="4"/>
  <c r="E443" i="4"/>
  <c r="M443" i="4" s="1"/>
  <c r="I442" i="4"/>
  <c r="H442" i="4"/>
  <c r="F442" i="4"/>
  <c r="E442" i="4"/>
  <c r="M442" i="4" s="1"/>
  <c r="I441" i="4"/>
  <c r="H441" i="4"/>
  <c r="F441" i="4"/>
  <c r="E441" i="4"/>
  <c r="M441" i="4" s="1"/>
  <c r="I440" i="4"/>
  <c r="H440" i="4"/>
  <c r="F440" i="4"/>
  <c r="E440" i="4"/>
  <c r="M440" i="4" s="1"/>
  <c r="I439" i="4"/>
  <c r="H439" i="4"/>
  <c r="F439" i="4"/>
  <c r="E439" i="4"/>
  <c r="M439" i="4" s="1"/>
  <c r="I438" i="4"/>
  <c r="H438" i="4"/>
  <c r="F438" i="4"/>
  <c r="E438" i="4"/>
  <c r="M438" i="4" s="1"/>
  <c r="I437" i="4"/>
  <c r="H437" i="4"/>
  <c r="F437" i="4"/>
  <c r="E437" i="4"/>
  <c r="M437" i="4" s="1"/>
  <c r="I436" i="4"/>
  <c r="H436" i="4"/>
  <c r="F436" i="4"/>
  <c r="E436" i="4"/>
  <c r="M436" i="4" s="1"/>
  <c r="I435" i="4"/>
  <c r="H435" i="4"/>
  <c r="F435" i="4"/>
  <c r="E435" i="4"/>
  <c r="M435" i="4" s="1"/>
  <c r="I434" i="4"/>
  <c r="H434" i="4"/>
  <c r="F434" i="4"/>
  <c r="E434" i="4"/>
  <c r="M434" i="4" s="1"/>
  <c r="I433" i="4"/>
  <c r="H433" i="4"/>
  <c r="F433" i="4"/>
  <c r="E433" i="4"/>
  <c r="M433" i="4" s="1"/>
  <c r="I432" i="4"/>
  <c r="H432" i="4"/>
  <c r="F432" i="4"/>
  <c r="E432" i="4"/>
  <c r="M432" i="4" s="1"/>
  <c r="I431" i="4"/>
  <c r="H431" i="4"/>
  <c r="F431" i="4"/>
  <c r="E431" i="4"/>
  <c r="M431" i="4" s="1"/>
  <c r="I430" i="4"/>
  <c r="H430" i="4"/>
  <c r="F430" i="4"/>
  <c r="E430" i="4"/>
  <c r="M430" i="4" s="1"/>
  <c r="I429" i="4"/>
  <c r="H429" i="4"/>
  <c r="F429" i="4"/>
  <c r="E429" i="4"/>
  <c r="M429" i="4" s="1"/>
  <c r="I428" i="4"/>
  <c r="H428" i="4"/>
  <c r="F428" i="4"/>
  <c r="E428" i="4"/>
  <c r="M428" i="4" s="1"/>
  <c r="I427" i="4"/>
  <c r="H427" i="4"/>
  <c r="F427" i="4"/>
  <c r="E427" i="4"/>
  <c r="M427" i="4" s="1"/>
  <c r="I426" i="4"/>
  <c r="H426" i="4"/>
  <c r="F426" i="4"/>
  <c r="E426" i="4"/>
  <c r="M426" i="4" s="1"/>
  <c r="I425" i="4"/>
  <c r="H425" i="4"/>
  <c r="F425" i="4"/>
  <c r="E425" i="4"/>
  <c r="M425" i="4" s="1"/>
  <c r="I424" i="4"/>
  <c r="H424" i="4"/>
  <c r="F424" i="4"/>
  <c r="E424" i="4"/>
  <c r="M424" i="4" s="1"/>
  <c r="I423" i="4"/>
  <c r="H423" i="4"/>
  <c r="F423" i="4"/>
  <c r="E423" i="4"/>
  <c r="M423" i="4" s="1"/>
  <c r="I422" i="4"/>
  <c r="H422" i="4"/>
  <c r="F422" i="4"/>
  <c r="E422" i="4"/>
  <c r="M422" i="4" s="1"/>
  <c r="I421" i="4"/>
  <c r="H421" i="4"/>
  <c r="F421" i="4"/>
  <c r="E421" i="4"/>
  <c r="M421" i="4" s="1"/>
  <c r="I420" i="4"/>
  <c r="H420" i="4"/>
  <c r="F420" i="4"/>
  <c r="E420" i="4"/>
  <c r="M420" i="4" s="1"/>
  <c r="I419" i="4"/>
  <c r="H419" i="4"/>
  <c r="F419" i="4"/>
  <c r="E419" i="4"/>
  <c r="M419" i="4" s="1"/>
  <c r="I418" i="4"/>
  <c r="H418" i="4"/>
  <c r="F418" i="4"/>
  <c r="E418" i="4"/>
  <c r="M418" i="4" s="1"/>
  <c r="I417" i="4"/>
  <c r="H417" i="4"/>
  <c r="F417" i="4"/>
  <c r="E417" i="4"/>
  <c r="M417" i="4" s="1"/>
  <c r="I416" i="4"/>
  <c r="H416" i="4"/>
  <c r="F416" i="4"/>
  <c r="E416" i="4"/>
  <c r="M416" i="4" s="1"/>
  <c r="I415" i="4"/>
  <c r="H415" i="4"/>
  <c r="F415" i="4"/>
  <c r="E415" i="4"/>
  <c r="M415" i="4" s="1"/>
  <c r="I414" i="4"/>
  <c r="H414" i="4"/>
  <c r="F414" i="4"/>
  <c r="E414" i="4"/>
  <c r="M414" i="4" s="1"/>
  <c r="I413" i="4"/>
  <c r="H413" i="4"/>
  <c r="F413" i="4"/>
  <c r="E413" i="4"/>
  <c r="M413" i="4" s="1"/>
  <c r="I412" i="4"/>
  <c r="H412" i="4"/>
  <c r="F412" i="4"/>
  <c r="E412" i="4"/>
  <c r="M412" i="4" s="1"/>
  <c r="I411" i="4"/>
  <c r="H411" i="4"/>
  <c r="F411" i="4"/>
  <c r="E411" i="4"/>
  <c r="M411" i="4" s="1"/>
  <c r="I410" i="4"/>
  <c r="H410" i="4"/>
  <c r="F410" i="4"/>
  <c r="E410" i="4"/>
  <c r="M410" i="4" s="1"/>
  <c r="I409" i="4"/>
  <c r="H409" i="4"/>
  <c r="F409" i="4"/>
  <c r="E409" i="4"/>
  <c r="M409" i="4" s="1"/>
  <c r="I408" i="4"/>
  <c r="H408" i="4"/>
  <c r="F408" i="4"/>
  <c r="E408" i="4"/>
  <c r="M408" i="4" s="1"/>
  <c r="I407" i="4"/>
  <c r="H407" i="4"/>
  <c r="F407" i="4"/>
  <c r="E407" i="4"/>
  <c r="M407" i="4" s="1"/>
  <c r="I406" i="4"/>
  <c r="H406" i="4"/>
  <c r="F406" i="4"/>
  <c r="E406" i="4"/>
  <c r="M406" i="4" s="1"/>
  <c r="I405" i="4"/>
  <c r="H405" i="4"/>
  <c r="F405" i="4"/>
  <c r="E405" i="4"/>
  <c r="M405" i="4" s="1"/>
  <c r="I404" i="4"/>
  <c r="H404" i="4"/>
  <c r="F404" i="4"/>
  <c r="E404" i="4"/>
  <c r="M404" i="4" s="1"/>
  <c r="I403" i="4"/>
  <c r="H403" i="4"/>
  <c r="F403" i="4"/>
  <c r="E403" i="4"/>
  <c r="M403" i="4" s="1"/>
  <c r="I402" i="4"/>
  <c r="H402" i="4"/>
  <c r="F402" i="4"/>
  <c r="E402" i="4"/>
  <c r="M402" i="4" s="1"/>
  <c r="I401" i="4"/>
  <c r="H401" i="4"/>
  <c r="F401" i="4"/>
  <c r="E401" i="4"/>
  <c r="M401" i="4" s="1"/>
  <c r="I400" i="4"/>
  <c r="H400" i="4"/>
  <c r="F400" i="4"/>
  <c r="E400" i="4"/>
  <c r="M400" i="4" s="1"/>
  <c r="I399" i="4"/>
  <c r="H399" i="4"/>
  <c r="F399" i="4"/>
  <c r="E399" i="4"/>
  <c r="M399" i="4" s="1"/>
  <c r="I398" i="4"/>
  <c r="H398" i="4"/>
  <c r="F398" i="4"/>
  <c r="E398" i="4"/>
  <c r="M398" i="4" s="1"/>
  <c r="I397" i="4"/>
  <c r="H397" i="4"/>
  <c r="F397" i="4"/>
  <c r="E397" i="4"/>
  <c r="M397" i="4" s="1"/>
  <c r="I396" i="4"/>
  <c r="H396" i="4"/>
  <c r="F396" i="4"/>
  <c r="E396" i="4"/>
  <c r="M396" i="4" s="1"/>
  <c r="I395" i="4"/>
  <c r="H395" i="4"/>
  <c r="F395" i="4"/>
  <c r="E395" i="4"/>
  <c r="M395" i="4" s="1"/>
  <c r="I394" i="4"/>
  <c r="H394" i="4"/>
  <c r="F394" i="4"/>
  <c r="E394" i="4"/>
  <c r="M394" i="4" s="1"/>
  <c r="I393" i="4"/>
  <c r="H393" i="4"/>
  <c r="F393" i="4"/>
  <c r="E393" i="4"/>
  <c r="M393" i="4" s="1"/>
  <c r="I392" i="4"/>
  <c r="H392" i="4"/>
  <c r="F392" i="4"/>
  <c r="E392" i="4"/>
  <c r="M392" i="4" s="1"/>
  <c r="I391" i="4"/>
  <c r="H391" i="4"/>
  <c r="F391" i="4"/>
  <c r="E391" i="4"/>
  <c r="M391" i="4" s="1"/>
  <c r="I390" i="4"/>
  <c r="H390" i="4"/>
  <c r="F390" i="4"/>
  <c r="E390" i="4"/>
  <c r="M390" i="4" s="1"/>
  <c r="I389" i="4"/>
  <c r="H389" i="4"/>
  <c r="F389" i="4"/>
  <c r="E389" i="4"/>
  <c r="M389" i="4" s="1"/>
  <c r="I388" i="4"/>
  <c r="H388" i="4"/>
  <c r="F388" i="4"/>
  <c r="E388" i="4"/>
  <c r="M388" i="4" s="1"/>
  <c r="I387" i="4"/>
  <c r="H387" i="4"/>
  <c r="F387" i="4"/>
  <c r="E387" i="4"/>
  <c r="M387" i="4" s="1"/>
  <c r="I386" i="4"/>
  <c r="H386" i="4"/>
  <c r="F386" i="4"/>
  <c r="E386" i="4"/>
  <c r="M386" i="4" s="1"/>
  <c r="I385" i="4"/>
  <c r="H385" i="4"/>
  <c r="F385" i="4"/>
  <c r="E385" i="4"/>
  <c r="M385" i="4" s="1"/>
  <c r="I384" i="4"/>
  <c r="H384" i="4"/>
  <c r="F384" i="4"/>
  <c r="E384" i="4"/>
  <c r="M384" i="4" s="1"/>
  <c r="I383" i="4"/>
  <c r="H383" i="4"/>
  <c r="F383" i="4"/>
  <c r="E383" i="4"/>
  <c r="M383" i="4" s="1"/>
  <c r="I382" i="4"/>
  <c r="H382" i="4"/>
  <c r="F382" i="4"/>
  <c r="E382" i="4"/>
  <c r="M382" i="4" s="1"/>
  <c r="I381" i="4"/>
  <c r="H381" i="4"/>
  <c r="F381" i="4"/>
  <c r="E381" i="4"/>
  <c r="M381" i="4" s="1"/>
  <c r="I380" i="4"/>
  <c r="H380" i="4"/>
  <c r="F380" i="4"/>
  <c r="E380" i="4"/>
  <c r="M380" i="4" s="1"/>
  <c r="I379" i="4"/>
  <c r="H379" i="4"/>
  <c r="F379" i="4"/>
  <c r="E379" i="4"/>
  <c r="M379" i="4" s="1"/>
  <c r="I378" i="4"/>
  <c r="H378" i="4"/>
  <c r="F378" i="4"/>
  <c r="E378" i="4"/>
  <c r="M378" i="4" s="1"/>
  <c r="I377" i="4"/>
  <c r="H377" i="4"/>
  <c r="F377" i="4"/>
  <c r="E377" i="4"/>
  <c r="M377" i="4" s="1"/>
  <c r="I376" i="4"/>
  <c r="H376" i="4"/>
  <c r="F376" i="4"/>
  <c r="E376" i="4"/>
  <c r="M376" i="4" s="1"/>
  <c r="I375" i="4"/>
  <c r="H375" i="4"/>
  <c r="F375" i="4"/>
  <c r="E375" i="4"/>
  <c r="M375" i="4" s="1"/>
  <c r="I374" i="4"/>
  <c r="H374" i="4"/>
  <c r="F374" i="4"/>
  <c r="E374" i="4"/>
  <c r="M374" i="4" s="1"/>
  <c r="I373" i="4"/>
  <c r="H373" i="4"/>
  <c r="F373" i="4"/>
  <c r="E373" i="4"/>
  <c r="M373" i="4" s="1"/>
  <c r="I372" i="4"/>
  <c r="H372" i="4"/>
  <c r="F372" i="4"/>
  <c r="E372" i="4"/>
  <c r="M372" i="4" s="1"/>
  <c r="I371" i="4"/>
  <c r="H371" i="4"/>
  <c r="F371" i="4"/>
  <c r="E371" i="4"/>
  <c r="M371" i="4" s="1"/>
  <c r="I370" i="4"/>
  <c r="H370" i="4"/>
  <c r="F370" i="4"/>
  <c r="E370" i="4"/>
  <c r="M370" i="4" s="1"/>
  <c r="I369" i="4"/>
  <c r="H369" i="4"/>
  <c r="F369" i="4"/>
  <c r="E369" i="4"/>
  <c r="M369" i="4" s="1"/>
  <c r="I368" i="4"/>
  <c r="H368" i="4"/>
  <c r="F368" i="4"/>
  <c r="E368" i="4"/>
  <c r="M368" i="4" s="1"/>
  <c r="I367" i="4"/>
  <c r="H367" i="4"/>
  <c r="F367" i="4"/>
  <c r="E367" i="4"/>
  <c r="M367" i="4" s="1"/>
  <c r="I366" i="4"/>
  <c r="H366" i="4"/>
  <c r="F366" i="4"/>
  <c r="E366" i="4"/>
  <c r="M366" i="4" s="1"/>
  <c r="I365" i="4"/>
  <c r="H365" i="4"/>
  <c r="F365" i="4"/>
  <c r="E365" i="4"/>
  <c r="M365" i="4" s="1"/>
  <c r="I364" i="4"/>
  <c r="H364" i="4"/>
  <c r="F364" i="4"/>
  <c r="E364" i="4"/>
  <c r="M364" i="4" s="1"/>
  <c r="I363" i="4"/>
  <c r="H363" i="4"/>
  <c r="F363" i="4"/>
  <c r="E363" i="4"/>
  <c r="M363" i="4" s="1"/>
  <c r="I362" i="4"/>
  <c r="H362" i="4"/>
  <c r="F362" i="4"/>
  <c r="E362" i="4"/>
  <c r="M362" i="4" s="1"/>
  <c r="I361" i="4"/>
  <c r="H361" i="4"/>
  <c r="F361" i="4"/>
  <c r="E361" i="4"/>
  <c r="M361" i="4" s="1"/>
  <c r="I360" i="4"/>
  <c r="H360" i="4"/>
  <c r="F360" i="4"/>
  <c r="E360" i="4"/>
  <c r="M360" i="4" s="1"/>
  <c r="I359" i="4"/>
  <c r="H359" i="4"/>
  <c r="F359" i="4"/>
  <c r="E359" i="4"/>
  <c r="M359" i="4" s="1"/>
  <c r="I358" i="4"/>
  <c r="H358" i="4"/>
  <c r="F358" i="4"/>
  <c r="E358" i="4"/>
  <c r="M358" i="4" s="1"/>
  <c r="I357" i="4"/>
  <c r="H357" i="4"/>
  <c r="F357" i="4"/>
  <c r="E357" i="4"/>
  <c r="M357" i="4" s="1"/>
  <c r="I356" i="4"/>
  <c r="H356" i="4"/>
  <c r="F356" i="4"/>
  <c r="E356" i="4"/>
  <c r="M356" i="4" s="1"/>
  <c r="I355" i="4"/>
  <c r="H355" i="4"/>
  <c r="F355" i="4"/>
  <c r="E355" i="4"/>
  <c r="M355" i="4" s="1"/>
  <c r="I354" i="4"/>
  <c r="H354" i="4"/>
  <c r="F354" i="4"/>
  <c r="E354" i="4"/>
  <c r="M354" i="4" s="1"/>
  <c r="I353" i="4"/>
  <c r="H353" i="4"/>
  <c r="F353" i="4"/>
  <c r="E353" i="4"/>
  <c r="M353" i="4" s="1"/>
  <c r="I352" i="4"/>
  <c r="H352" i="4"/>
  <c r="F352" i="4"/>
  <c r="E352" i="4"/>
  <c r="M352" i="4" s="1"/>
  <c r="I351" i="4"/>
  <c r="H351" i="4"/>
  <c r="F351" i="4"/>
  <c r="E351" i="4"/>
  <c r="M351" i="4" s="1"/>
  <c r="I350" i="4"/>
  <c r="H350" i="4"/>
  <c r="F350" i="4"/>
  <c r="E350" i="4"/>
  <c r="M350" i="4" s="1"/>
  <c r="I349" i="4"/>
  <c r="H349" i="4"/>
  <c r="F349" i="4"/>
  <c r="E349" i="4"/>
  <c r="M349" i="4" s="1"/>
  <c r="I348" i="4"/>
  <c r="H348" i="4"/>
  <c r="F348" i="4"/>
  <c r="E348" i="4"/>
  <c r="M348" i="4" s="1"/>
  <c r="I347" i="4"/>
  <c r="H347" i="4"/>
  <c r="F347" i="4"/>
  <c r="E347" i="4"/>
  <c r="M347" i="4" s="1"/>
  <c r="I346" i="4"/>
  <c r="H346" i="4"/>
  <c r="F346" i="4"/>
  <c r="E346" i="4"/>
  <c r="M346" i="4" s="1"/>
  <c r="I345" i="4"/>
  <c r="H345" i="4"/>
  <c r="F345" i="4"/>
  <c r="E345" i="4"/>
  <c r="M345" i="4" s="1"/>
  <c r="I344" i="4"/>
  <c r="H344" i="4"/>
  <c r="F344" i="4"/>
  <c r="E344" i="4"/>
  <c r="M344" i="4" s="1"/>
  <c r="I343" i="4"/>
  <c r="H343" i="4"/>
  <c r="F343" i="4"/>
  <c r="E343" i="4"/>
  <c r="M343" i="4" s="1"/>
  <c r="I342" i="4"/>
  <c r="H342" i="4"/>
  <c r="F342" i="4"/>
  <c r="E342" i="4"/>
  <c r="M342" i="4" s="1"/>
  <c r="I341" i="4"/>
  <c r="H341" i="4"/>
  <c r="F341" i="4"/>
  <c r="E341" i="4"/>
  <c r="M341" i="4" s="1"/>
  <c r="I340" i="4"/>
  <c r="H340" i="4"/>
  <c r="F340" i="4"/>
  <c r="E340" i="4"/>
  <c r="M340" i="4" s="1"/>
  <c r="I339" i="4"/>
  <c r="H339" i="4"/>
  <c r="F339" i="4"/>
  <c r="E339" i="4"/>
  <c r="M339" i="4" s="1"/>
  <c r="I338" i="4"/>
  <c r="H338" i="4"/>
  <c r="F338" i="4"/>
  <c r="E338" i="4"/>
  <c r="M338" i="4" s="1"/>
  <c r="I337" i="4"/>
  <c r="H337" i="4"/>
  <c r="F337" i="4"/>
  <c r="E337" i="4"/>
  <c r="M337" i="4" s="1"/>
  <c r="I336" i="4"/>
  <c r="H336" i="4"/>
  <c r="F336" i="4"/>
  <c r="E336" i="4"/>
  <c r="M336" i="4" s="1"/>
  <c r="I335" i="4"/>
  <c r="H335" i="4"/>
  <c r="F335" i="4"/>
  <c r="E335" i="4"/>
  <c r="M335" i="4" s="1"/>
  <c r="I334" i="4"/>
  <c r="H334" i="4"/>
  <c r="F334" i="4"/>
  <c r="E334" i="4"/>
  <c r="M334" i="4" s="1"/>
  <c r="I333" i="4"/>
  <c r="H333" i="4"/>
  <c r="F333" i="4"/>
  <c r="E333" i="4"/>
  <c r="M333" i="4" s="1"/>
  <c r="I332" i="4"/>
  <c r="H332" i="4"/>
  <c r="F332" i="4"/>
  <c r="E332" i="4"/>
  <c r="M332" i="4" s="1"/>
  <c r="I331" i="4"/>
  <c r="H331" i="4"/>
  <c r="F331" i="4"/>
  <c r="E331" i="4"/>
  <c r="M331" i="4" s="1"/>
  <c r="I330" i="4"/>
  <c r="H330" i="4"/>
  <c r="F330" i="4"/>
  <c r="E330" i="4"/>
  <c r="M330" i="4" s="1"/>
  <c r="I329" i="4"/>
  <c r="H329" i="4"/>
  <c r="F329" i="4"/>
  <c r="E329" i="4"/>
  <c r="M329" i="4" s="1"/>
  <c r="I328" i="4"/>
  <c r="H328" i="4"/>
  <c r="F328" i="4"/>
  <c r="E328" i="4"/>
  <c r="M328" i="4" s="1"/>
  <c r="I327" i="4"/>
  <c r="H327" i="4"/>
  <c r="F327" i="4"/>
  <c r="E327" i="4"/>
  <c r="M327" i="4" s="1"/>
  <c r="I326" i="4"/>
  <c r="H326" i="4"/>
  <c r="F326" i="4"/>
  <c r="E326" i="4"/>
  <c r="M326" i="4" s="1"/>
  <c r="I325" i="4"/>
  <c r="H325" i="4"/>
  <c r="F325" i="4"/>
  <c r="E325" i="4"/>
  <c r="M325" i="4" s="1"/>
  <c r="I324" i="4"/>
  <c r="H324" i="4"/>
  <c r="F324" i="4"/>
  <c r="E324" i="4"/>
  <c r="M324" i="4" s="1"/>
  <c r="I323" i="4"/>
  <c r="H323" i="4"/>
  <c r="F323" i="4"/>
  <c r="E323" i="4"/>
  <c r="M323" i="4" s="1"/>
  <c r="I322" i="4"/>
  <c r="H322" i="4"/>
  <c r="F322" i="4"/>
  <c r="E322" i="4"/>
  <c r="M322" i="4" s="1"/>
  <c r="I321" i="4"/>
  <c r="H321" i="4"/>
  <c r="F321" i="4"/>
  <c r="E321" i="4"/>
  <c r="M321" i="4" s="1"/>
  <c r="I320" i="4"/>
  <c r="H320" i="4"/>
  <c r="F320" i="4"/>
  <c r="E320" i="4"/>
  <c r="M320" i="4" s="1"/>
  <c r="I319" i="4"/>
  <c r="H319" i="4"/>
  <c r="F319" i="4"/>
  <c r="E319" i="4"/>
  <c r="M319" i="4" s="1"/>
  <c r="I318" i="4"/>
  <c r="H318" i="4"/>
  <c r="F318" i="4"/>
  <c r="E318" i="4"/>
  <c r="M318" i="4" s="1"/>
  <c r="I317" i="4"/>
  <c r="H317" i="4"/>
  <c r="F317" i="4"/>
  <c r="E317" i="4"/>
  <c r="M317" i="4" s="1"/>
  <c r="I316" i="4"/>
  <c r="H316" i="4"/>
  <c r="F316" i="4"/>
  <c r="E316" i="4"/>
  <c r="M316" i="4" s="1"/>
  <c r="I315" i="4"/>
  <c r="H315" i="4"/>
  <c r="F315" i="4"/>
  <c r="E315" i="4"/>
  <c r="M315" i="4" s="1"/>
  <c r="I314" i="4"/>
  <c r="H314" i="4"/>
  <c r="F314" i="4"/>
  <c r="E314" i="4"/>
  <c r="M314" i="4" s="1"/>
  <c r="I313" i="4"/>
  <c r="H313" i="4"/>
  <c r="F313" i="4"/>
  <c r="E313" i="4"/>
  <c r="M313" i="4" s="1"/>
  <c r="I312" i="4"/>
  <c r="H312" i="4"/>
  <c r="F312" i="4"/>
  <c r="E312" i="4"/>
  <c r="M312" i="4" s="1"/>
  <c r="I311" i="4"/>
  <c r="H311" i="4"/>
  <c r="F311" i="4"/>
  <c r="E311" i="4"/>
  <c r="M311" i="4" s="1"/>
  <c r="I310" i="4"/>
  <c r="H310" i="4"/>
  <c r="F310" i="4"/>
  <c r="E310" i="4"/>
  <c r="M310" i="4" s="1"/>
  <c r="I309" i="4"/>
  <c r="H309" i="4"/>
  <c r="F309" i="4"/>
  <c r="E309" i="4"/>
  <c r="M309" i="4" s="1"/>
  <c r="I308" i="4"/>
  <c r="H308" i="4"/>
  <c r="F308" i="4"/>
  <c r="E308" i="4"/>
  <c r="M308" i="4" s="1"/>
  <c r="I307" i="4"/>
  <c r="H307" i="4"/>
  <c r="F307" i="4"/>
  <c r="E307" i="4"/>
  <c r="M307" i="4" s="1"/>
  <c r="I306" i="4"/>
  <c r="H306" i="4"/>
  <c r="F306" i="4"/>
  <c r="E306" i="4"/>
  <c r="M306" i="4" s="1"/>
  <c r="I305" i="4"/>
  <c r="H305" i="4"/>
  <c r="F305" i="4"/>
  <c r="E305" i="4"/>
  <c r="M305" i="4" s="1"/>
  <c r="I304" i="4"/>
  <c r="H304" i="4"/>
  <c r="F304" i="4"/>
  <c r="E304" i="4"/>
  <c r="M304" i="4" s="1"/>
  <c r="I303" i="4"/>
  <c r="H303" i="4"/>
  <c r="F303" i="4"/>
  <c r="E303" i="4"/>
  <c r="M303" i="4" s="1"/>
  <c r="I302" i="4"/>
  <c r="H302" i="4"/>
  <c r="F302" i="4"/>
  <c r="E302" i="4"/>
  <c r="M302" i="4" s="1"/>
  <c r="I301" i="4"/>
  <c r="H301" i="4"/>
  <c r="F301" i="4"/>
  <c r="E301" i="4"/>
  <c r="M301" i="4" s="1"/>
  <c r="I300" i="4"/>
  <c r="H300" i="4"/>
  <c r="F300" i="4"/>
  <c r="E300" i="4"/>
  <c r="M300" i="4" s="1"/>
  <c r="I299" i="4"/>
  <c r="H299" i="4"/>
  <c r="F299" i="4"/>
  <c r="E299" i="4"/>
  <c r="M299" i="4" s="1"/>
  <c r="I298" i="4"/>
  <c r="H298" i="4"/>
  <c r="F298" i="4"/>
  <c r="E298" i="4"/>
  <c r="M298" i="4" s="1"/>
  <c r="I297" i="4"/>
  <c r="H297" i="4"/>
  <c r="F297" i="4"/>
  <c r="E297" i="4"/>
  <c r="M297" i="4" s="1"/>
  <c r="I296" i="4"/>
  <c r="H296" i="4"/>
  <c r="F296" i="4"/>
  <c r="E296" i="4"/>
  <c r="M296" i="4" s="1"/>
  <c r="I295" i="4"/>
  <c r="H295" i="4"/>
  <c r="F295" i="4"/>
  <c r="E295" i="4"/>
  <c r="M295" i="4" s="1"/>
  <c r="I294" i="4"/>
  <c r="H294" i="4"/>
  <c r="F294" i="4"/>
  <c r="E294" i="4"/>
  <c r="M294" i="4" s="1"/>
  <c r="I293" i="4"/>
  <c r="H293" i="4"/>
  <c r="F293" i="4"/>
  <c r="E293" i="4"/>
  <c r="M293" i="4" s="1"/>
  <c r="I292" i="4"/>
  <c r="H292" i="4"/>
  <c r="F292" i="4"/>
  <c r="E292" i="4"/>
  <c r="M292" i="4" s="1"/>
  <c r="I291" i="4"/>
  <c r="H291" i="4"/>
  <c r="F291" i="4"/>
  <c r="E291" i="4"/>
  <c r="M291" i="4" s="1"/>
  <c r="I290" i="4"/>
  <c r="H290" i="4"/>
  <c r="F290" i="4"/>
  <c r="E290" i="4"/>
  <c r="M290" i="4" s="1"/>
  <c r="I289" i="4"/>
  <c r="H289" i="4"/>
  <c r="F289" i="4"/>
  <c r="E289" i="4"/>
  <c r="M289" i="4" s="1"/>
  <c r="I288" i="4"/>
  <c r="H288" i="4"/>
  <c r="F288" i="4"/>
  <c r="E288" i="4"/>
  <c r="M288" i="4" s="1"/>
  <c r="I287" i="4"/>
  <c r="H287" i="4"/>
  <c r="F287" i="4"/>
  <c r="E287" i="4"/>
  <c r="M287" i="4" s="1"/>
  <c r="I286" i="4"/>
  <c r="H286" i="4"/>
  <c r="F286" i="4"/>
  <c r="E286" i="4"/>
  <c r="M286" i="4" s="1"/>
  <c r="I285" i="4"/>
  <c r="H285" i="4"/>
  <c r="F285" i="4"/>
  <c r="E285" i="4"/>
  <c r="M285" i="4" s="1"/>
  <c r="I284" i="4"/>
  <c r="H284" i="4"/>
  <c r="F284" i="4"/>
  <c r="E284" i="4"/>
  <c r="M284" i="4" s="1"/>
  <c r="I283" i="4"/>
  <c r="H283" i="4"/>
  <c r="F283" i="4"/>
  <c r="E283" i="4"/>
  <c r="M283" i="4" s="1"/>
  <c r="I282" i="4"/>
  <c r="H282" i="4"/>
  <c r="F282" i="4"/>
  <c r="E282" i="4"/>
  <c r="M282" i="4" s="1"/>
  <c r="I281" i="4"/>
  <c r="H281" i="4"/>
  <c r="F281" i="4"/>
  <c r="E281" i="4"/>
  <c r="M281" i="4" s="1"/>
  <c r="I280" i="4"/>
  <c r="H280" i="4"/>
  <c r="F280" i="4"/>
  <c r="E280" i="4"/>
  <c r="M280" i="4" s="1"/>
  <c r="I279" i="4"/>
  <c r="H279" i="4"/>
  <c r="F279" i="4"/>
  <c r="E279" i="4"/>
  <c r="M279" i="4" s="1"/>
  <c r="I278" i="4"/>
  <c r="H278" i="4"/>
  <c r="F278" i="4"/>
  <c r="E278" i="4"/>
  <c r="M278" i="4" s="1"/>
  <c r="I277" i="4"/>
  <c r="H277" i="4"/>
  <c r="F277" i="4"/>
  <c r="E277" i="4"/>
  <c r="M277" i="4" s="1"/>
  <c r="I276" i="4"/>
  <c r="H276" i="4"/>
  <c r="F276" i="4"/>
  <c r="E276" i="4"/>
  <c r="M276" i="4" s="1"/>
  <c r="I275" i="4"/>
  <c r="H275" i="4"/>
  <c r="F275" i="4"/>
  <c r="E275" i="4"/>
  <c r="M275" i="4" s="1"/>
  <c r="I274" i="4"/>
  <c r="H274" i="4"/>
  <c r="F274" i="4"/>
  <c r="E274" i="4"/>
  <c r="M274" i="4" s="1"/>
  <c r="I273" i="4"/>
  <c r="H273" i="4"/>
  <c r="F273" i="4"/>
  <c r="E273" i="4"/>
  <c r="M273" i="4" s="1"/>
  <c r="I272" i="4"/>
  <c r="H272" i="4"/>
  <c r="F272" i="4"/>
  <c r="E272" i="4"/>
  <c r="M272" i="4" s="1"/>
  <c r="I271" i="4"/>
  <c r="H271" i="4"/>
  <c r="F271" i="4"/>
  <c r="E271" i="4"/>
  <c r="M271" i="4" s="1"/>
  <c r="I270" i="4"/>
  <c r="H270" i="4"/>
  <c r="F270" i="4"/>
  <c r="E270" i="4"/>
  <c r="M270" i="4" s="1"/>
  <c r="I269" i="4"/>
  <c r="H269" i="4"/>
  <c r="F269" i="4"/>
  <c r="E269" i="4"/>
  <c r="M269" i="4" s="1"/>
  <c r="I268" i="4"/>
  <c r="H268" i="4"/>
  <c r="F268" i="4"/>
  <c r="E268" i="4"/>
  <c r="M268" i="4" s="1"/>
  <c r="I267" i="4"/>
  <c r="H267" i="4"/>
  <c r="F267" i="4"/>
  <c r="E267" i="4"/>
  <c r="M267" i="4" s="1"/>
  <c r="I266" i="4"/>
  <c r="H266" i="4"/>
  <c r="F266" i="4"/>
  <c r="E266" i="4"/>
  <c r="M266" i="4" s="1"/>
  <c r="I265" i="4"/>
  <c r="H265" i="4"/>
  <c r="F265" i="4"/>
  <c r="E265" i="4"/>
  <c r="M265" i="4" s="1"/>
  <c r="I264" i="4"/>
  <c r="H264" i="4"/>
  <c r="F264" i="4"/>
  <c r="E264" i="4"/>
  <c r="M264" i="4" s="1"/>
  <c r="I263" i="4"/>
  <c r="H263" i="4"/>
  <c r="F263" i="4"/>
  <c r="E263" i="4"/>
  <c r="M263" i="4" s="1"/>
  <c r="I262" i="4"/>
  <c r="H262" i="4"/>
  <c r="F262" i="4"/>
  <c r="E262" i="4"/>
  <c r="M262" i="4" s="1"/>
  <c r="I261" i="4"/>
  <c r="H261" i="4"/>
  <c r="F261" i="4"/>
  <c r="E261" i="4"/>
  <c r="M261" i="4" s="1"/>
  <c r="I260" i="4"/>
  <c r="H260" i="4"/>
  <c r="F260" i="4"/>
  <c r="E260" i="4"/>
  <c r="M260" i="4" s="1"/>
  <c r="I259" i="4"/>
  <c r="H259" i="4"/>
  <c r="F259" i="4"/>
  <c r="E259" i="4"/>
  <c r="M259" i="4" s="1"/>
  <c r="I258" i="4"/>
  <c r="H258" i="4"/>
  <c r="F258" i="4"/>
  <c r="E258" i="4"/>
  <c r="M258" i="4" s="1"/>
  <c r="I257" i="4"/>
  <c r="H257" i="4"/>
  <c r="F257" i="4"/>
  <c r="E257" i="4"/>
  <c r="M257" i="4" s="1"/>
  <c r="I256" i="4"/>
  <c r="H256" i="4"/>
  <c r="F256" i="4"/>
  <c r="E256" i="4"/>
  <c r="M256" i="4" s="1"/>
  <c r="I255" i="4"/>
  <c r="H255" i="4"/>
  <c r="F255" i="4"/>
  <c r="E255" i="4"/>
  <c r="M255" i="4" s="1"/>
  <c r="I254" i="4"/>
  <c r="H254" i="4"/>
  <c r="F254" i="4"/>
  <c r="E254" i="4"/>
  <c r="M254" i="4" s="1"/>
  <c r="I253" i="4"/>
  <c r="H253" i="4"/>
  <c r="F253" i="4"/>
  <c r="E253" i="4"/>
  <c r="M253" i="4" s="1"/>
  <c r="I252" i="4"/>
  <c r="H252" i="4"/>
  <c r="F252" i="4"/>
  <c r="E252" i="4"/>
  <c r="M252" i="4" s="1"/>
  <c r="I251" i="4"/>
  <c r="H251" i="4"/>
  <c r="F251" i="4"/>
  <c r="E251" i="4"/>
  <c r="M251" i="4" s="1"/>
  <c r="I250" i="4"/>
  <c r="H250" i="4"/>
  <c r="F250" i="4"/>
  <c r="E250" i="4"/>
  <c r="M250" i="4" s="1"/>
  <c r="I249" i="4"/>
  <c r="H249" i="4"/>
  <c r="F249" i="4"/>
  <c r="E249" i="4"/>
  <c r="M249" i="4" s="1"/>
  <c r="I248" i="4"/>
  <c r="H248" i="4"/>
  <c r="F248" i="4"/>
  <c r="E248" i="4"/>
  <c r="M248" i="4" s="1"/>
  <c r="I247" i="4"/>
  <c r="H247" i="4"/>
  <c r="F247" i="4"/>
  <c r="E247" i="4"/>
  <c r="M247" i="4" s="1"/>
  <c r="I246" i="4"/>
  <c r="H246" i="4"/>
  <c r="F246" i="4"/>
  <c r="E246" i="4"/>
  <c r="M246" i="4" s="1"/>
  <c r="I245" i="4"/>
  <c r="H245" i="4"/>
  <c r="F245" i="4"/>
  <c r="E245" i="4"/>
  <c r="M245" i="4" s="1"/>
  <c r="I244" i="4"/>
  <c r="H244" i="4"/>
  <c r="F244" i="4"/>
  <c r="E244" i="4"/>
  <c r="M244" i="4" s="1"/>
  <c r="I243" i="4"/>
  <c r="H243" i="4"/>
  <c r="F243" i="4"/>
  <c r="E243" i="4"/>
  <c r="M243" i="4" s="1"/>
  <c r="I242" i="4"/>
  <c r="H242" i="4"/>
  <c r="F242" i="4"/>
  <c r="E242" i="4"/>
  <c r="M242" i="4" s="1"/>
  <c r="I241" i="4"/>
  <c r="H241" i="4"/>
  <c r="F241" i="4"/>
  <c r="E241" i="4"/>
  <c r="M241" i="4" s="1"/>
  <c r="I240" i="4"/>
  <c r="H240" i="4"/>
  <c r="F240" i="4"/>
  <c r="E240" i="4"/>
  <c r="M240" i="4" s="1"/>
  <c r="I239" i="4"/>
  <c r="H239" i="4"/>
  <c r="F239" i="4"/>
  <c r="E239" i="4"/>
  <c r="M239" i="4" s="1"/>
  <c r="I238" i="4"/>
  <c r="H238" i="4"/>
  <c r="F238" i="4"/>
  <c r="E238" i="4"/>
  <c r="M238" i="4" s="1"/>
  <c r="I237" i="4"/>
  <c r="H237" i="4"/>
  <c r="F237" i="4"/>
  <c r="E237" i="4"/>
  <c r="M237" i="4" s="1"/>
  <c r="I236" i="4"/>
  <c r="H236" i="4"/>
  <c r="F236" i="4"/>
  <c r="E236" i="4"/>
  <c r="M236" i="4" s="1"/>
  <c r="I235" i="4"/>
  <c r="H235" i="4"/>
  <c r="F235" i="4"/>
  <c r="E235" i="4"/>
  <c r="M235" i="4" s="1"/>
  <c r="I234" i="4"/>
  <c r="H234" i="4"/>
  <c r="F234" i="4"/>
  <c r="E234" i="4"/>
  <c r="M234" i="4" s="1"/>
  <c r="I233" i="4"/>
  <c r="H233" i="4"/>
  <c r="F233" i="4"/>
  <c r="E233" i="4"/>
  <c r="M233" i="4" s="1"/>
  <c r="I232" i="4"/>
  <c r="H232" i="4"/>
  <c r="F232" i="4"/>
  <c r="E232" i="4"/>
  <c r="M232" i="4" s="1"/>
  <c r="I231" i="4"/>
  <c r="H231" i="4"/>
  <c r="F231" i="4"/>
  <c r="E231" i="4"/>
  <c r="M231" i="4" s="1"/>
  <c r="I230" i="4"/>
  <c r="H230" i="4"/>
  <c r="F230" i="4"/>
  <c r="E230" i="4"/>
  <c r="M230" i="4" s="1"/>
  <c r="I229" i="4"/>
  <c r="H229" i="4"/>
  <c r="F229" i="4"/>
  <c r="E229" i="4"/>
  <c r="M229" i="4" s="1"/>
  <c r="I228" i="4"/>
  <c r="H228" i="4"/>
  <c r="F228" i="4"/>
  <c r="E228" i="4"/>
  <c r="M228" i="4" s="1"/>
  <c r="I227" i="4"/>
  <c r="H227" i="4"/>
  <c r="F227" i="4"/>
  <c r="E227" i="4"/>
  <c r="M227" i="4" s="1"/>
  <c r="I226" i="4"/>
  <c r="H226" i="4"/>
  <c r="F226" i="4"/>
  <c r="E226" i="4"/>
  <c r="M226" i="4" s="1"/>
  <c r="I225" i="4"/>
  <c r="H225" i="4"/>
  <c r="F225" i="4"/>
  <c r="E225" i="4"/>
  <c r="M225" i="4" s="1"/>
  <c r="I224" i="4"/>
  <c r="H224" i="4"/>
  <c r="F224" i="4"/>
  <c r="E224" i="4"/>
  <c r="M224" i="4" s="1"/>
  <c r="I223" i="4"/>
  <c r="H223" i="4"/>
  <c r="F223" i="4"/>
  <c r="E223" i="4"/>
  <c r="M223" i="4" s="1"/>
  <c r="I222" i="4"/>
  <c r="H222" i="4"/>
  <c r="F222" i="4"/>
  <c r="E222" i="4"/>
  <c r="M222" i="4" s="1"/>
  <c r="I221" i="4"/>
  <c r="H221" i="4"/>
  <c r="F221" i="4"/>
  <c r="E221" i="4"/>
  <c r="M221" i="4" s="1"/>
  <c r="I220" i="4"/>
  <c r="H220" i="4"/>
  <c r="F220" i="4"/>
  <c r="E220" i="4"/>
  <c r="M220" i="4" s="1"/>
  <c r="I219" i="4"/>
  <c r="H219" i="4"/>
  <c r="F219" i="4"/>
  <c r="E219" i="4"/>
  <c r="M219" i="4" s="1"/>
  <c r="I218" i="4"/>
  <c r="H218" i="4"/>
  <c r="F218" i="4"/>
  <c r="E218" i="4"/>
  <c r="M218" i="4" s="1"/>
  <c r="I217" i="4"/>
  <c r="H217" i="4"/>
  <c r="F217" i="4"/>
  <c r="E217" i="4"/>
  <c r="M217" i="4" s="1"/>
  <c r="I216" i="4"/>
  <c r="H216" i="4"/>
  <c r="F216" i="4"/>
  <c r="E216" i="4"/>
  <c r="M216" i="4" s="1"/>
  <c r="I215" i="4"/>
  <c r="H215" i="4"/>
  <c r="F215" i="4"/>
  <c r="E215" i="4"/>
  <c r="M215" i="4" s="1"/>
  <c r="I214" i="4"/>
  <c r="H214" i="4"/>
  <c r="F214" i="4"/>
  <c r="E214" i="4"/>
  <c r="M214" i="4" s="1"/>
  <c r="I213" i="4"/>
  <c r="H213" i="4"/>
  <c r="F213" i="4"/>
  <c r="E213" i="4"/>
  <c r="M213" i="4" s="1"/>
  <c r="I212" i="4"/>
  <c r="H212" i="4"/>
  <c r="F212" i="4"/>
  <c r="E212" i="4"/>
  <c r="M212" i="4" s="1"/>
  <c r="I211" i="4"/>
  <c r="H211" i="4"/>
  <c r="F211" i="4"/>
  <c r="E211" i="4"/>
  <c r="M211" i="4" s="1"/>
  <c r="I210" i="4"/>
  <c r="H210" i="4"/>
  <c r="F210" i="4"/>
  <c r="E210" i="4"/>
  <c r="M210" i="4" s="1"/>
  <c r="I209" i="4"/>
  <c r="H209" i="4"/>
  <c r="F209" i="4"/>
  <c r="E209" i="4"/>
  <c r="M209" i="4" s="1"/>
  <c r="I208" i="4"/>
  <c r="H208" i="4"/>
  <c r="F208" i="4"/>
  <c r="E208" i="4"/>
  <c r="M208" i="4" s="1"/>
  <c r="I207" i="4"/>
  <c r="H207" i="4"/>
  <c r="F207" i="4"/>
  <c r="E207" i="4"/>
  <c r="M207" i="4" s="1"/>
  <c r="I206" i="4"/>
  <c r="H206" i="4"/>
  <c r="F206" i="4"/>
  <c r="E206" i="4"/>
  <c r="M206" i="4" s="1"/>
  <c r="I205" i="4"/>
  <c r="H205" i="4"/>
  <c r="F205" i="4"/>
  <c r="E205" i="4"/>
  <c r="M205" i="4" s="1"/>
  <c r="I204" i="4"/>
  <c r="H204" i="4"/>
  <c r="F204" i="4"/>
  <c r="E204" i="4"/>
  <c r="M204" i="4" s="1"/>
  <c r="I203" i="4"/>
  <c r="H203" i="4"/>
  <c r="F203" i="4"/>
  <c r="E203" i="4"/>
  <c r="M203" i="4" s="1"/>
  <c r="I202" i="4"/>
  <c r="H202" i="4"/>
  <c r="F202" i="4"/>
  <c r="E202" i="4"/>
  <c r="M202" i="4" s="1"/>
  <c r="I201" i="4"/>
  <c r="H201" i="4"/>
  <c r="F201" i="4"/>
  <c r="E201" i="4"/>
  <c r="M201" i="4" s="1"/>
  <c r="I200" i="4"/>
  <c r="H200" i="4"/>
  <c r="F200" i="4"/>
  <c r="E200" i="4"/>
  <c r="M200" i="4" s="1"/>
  <c r="I199" i="4"/>
  <c r="H199" i="4"/>
  <c r="F199" i="4"/>
  <c r="E199" i="4"/>
  <c r="M199" i="4" s="1"/>
  <c r="I198" i="4"/>
  <c r="H198" i="4"/>
  <c r="F198" i="4"/>
  <c r="E198" i="4"/>
  <c r="M198" i="4" s="1"/>
  <c r="I197" i="4"/>
  <c r="H197" i="4"/>
  <c r="F197" i="4"/>
  <c r="E197" i="4"/>
  <c r="M197" i="4" s="1"/>
  <c r="I196" i="4"/>
  <c r="H196" i="4"/>
  <c r="F196" i="4"/>
  <c r="E196" i="4"/>
  <c r="M196" i="4" s="1"/>
  <c r="I195" i="4"/>
  <c r="H195" i="4"/>
  <c r="F195" i="4"/>
  <c r="E195" i="4"/>
  <c r="M195" i="4" s="1"/>
  <c r="I194" i="4"/>
  <c r="H194" i="4"/>
  <c r="F194" i="4"/>
  <c r="E194" i="4"/>
  <c r="M194" i="4" s="1"/>
  <c r="I193" i="4"/>
  <c r="H193" i="4"/>
  <c r="F193" i="4"/>
  <c r="E193" i="4"/>
  <c r="M193" i="4" s="1"/>
  <c r="I192" i="4"/>
  <c r="H192" i="4"/>
  <c r="F192" i="4"/>
  <c r="E192" i="4"/>
  <c r="M192" i="4" s="1"/>
  <c r="I191" i="4"/>
  <c r="H191" i="4"/>
  <c r="F191" i="4"/>
  <c r="E191" i="4"/>
  <c r="M191" i="4" s="1"/>
  <c r="I190" i="4"/>
  <c r="H190" i="4"/>
  <c r="F190" i="4"/>
  <c r="E190" i="4"/>
  <c r="M190" i="4" s="1"/>
  <c r="I189" i="4"/>
  <c r="H189" i="4"/>
  <c r="F189" i="4"/>
  <c r="E189" i="4"/>
  <c r="M189" i="4" s="1"/>
  <c r="I188" i="4"/>
  <c r="H188" i="4"/>
  <c r="F188" i="4"/>
  <c r="E188" i="4"/>
  <c r="M188" i="4" s="1"/>
  <c r="I187" i="4"/>
  <c r="H187" i="4"/>
  <c r="F187" i="4"/>
  <c r="E187" i="4"/>
  <c r="M187" i="4" s="1"/>
  <c r="I186" i="4"/>
  <c r="H186" i="4"/>
  <c r="F186" i="4"/>
  <c r="E186" i="4"/>
  <c r="M186" i="4" s="1"/>
  <c r="I185" i="4"/>
  <c r="H185" i="4"/>
  <c r="F185" i="4"/>
  <c r="E185" i="4"/>
  <c r="M185" i="4" s="1"/>
  <c r="I184" i="4"/>
  <c r="H184" i="4"/>
  <c r="F184" i="4"/>
  <c r="E184" i="4"/>
  <c r="M184" i="4" s="1"/>
  <c r="I183" i="4"/>
  <c r="H183" i="4"/>
  <c r="F183" i="4"/>
  <c r="E183" i="4"/>
  <c r="M183" i="4" s="1"/>
  <c r="I182" i="4"/>
  <c r="H182" i="4"/>
  <c r="F182" i="4"/>
  <c r="E182" i="4"/>
  <c r="M182" i="4" s="1"/>
  <c r="I181" i="4"/>
  <c r="H181" i="4"/>
  <c r="F181" i="4"/>
  <c r="E181" i="4"/>
  <c r="M181" i="4" s="1"/>
  <c r="I180" i="4"/>
  <c r="H180" i="4"/>
  <c r="F180" i="4"/>
  <c r="E180" i="4"/>
  <c r="M180" i="4" s="1"/>
  <c r="I179" i="4"/>
  <c r="H179" i="4"/>
  <c r="F179" i="4"/>
  <c r="E179" i="4"/>
  <c r="M179" i="4" s="1"/>
  <c r="I178" i="4"/>
  <c r="H178" i="4"/>
  <c r="F178" i="4"/>
  <c r="E178" i="4"/>
  <c r="M178" i="4" s="1"/>
  <c r="I177" i="4"/>
  <c r="H177" i="4"/>
  <c r="F177" i="4"/>
  <c r="E177" i="4"/>
  <c r="M177" i="4" s="1"/>
  <c r="I176" i="4"/>
  <c r="H176" i="4"/>
  <c r="F176" i="4"/>
  <c r="E176" i="4"/>
  <c r="M176" i="4" s="1"/>
  <c r="I175" i="4"/>
  <c r="H175" i="4"/>
  <c r="F175" i="4"/>
  <c r="E175" i="4"/>
  <c r="M175" i="4" s="1"/>
  <c r="I174" i="4"/>
  <c r="H174" i="4"/>
  <c r="F174" i="4"/>
  <c r="E174" i="4"/>
  <c r="M174" i="4" s="1"/>
  <c r="I173" i="4"/>
  <c r="H173" i="4"/>
  <c r="F173" i="4"/>
  <c r="E173" i="4"/>
  <c r="M173" i="4" s="1"/>
  <c r="I172" i="4"/>
  <c r="H172" i="4"/>
  <c r="F172" i="4"/>
  <c r="E172" i="4"/>
  <c r="M172" i="4" s="1"/>
  <c r="I171" i="4"/>
  <c r="H171" i="4"/>
  <c r="F171" i="4"/>
  <c r="E171" i="4"/>
  <c r="M171" i="4" s="1"/>
  <c r="I170" i="4"/>
  <c r="H170" i="4"/>
  <c r="F170" i="4"/>
  <c r="E170" i="4"/>
  <c r="M170" i="4" s="1"/>
  <c r="I169" i="4"/>
  <c r="H169" i="4"/>
  <c r="F169" i="4"/>
  <c r="E169" i="4"/>
  <c r="M169" i="4" s="1"/>
  <c r="I168" i="4"/>
  <c r="H168" i="4"/>
  <c r="F168" i="4"/>
  <c r="E168" i="4"/>
  <c r="M168" i="4" s="1"/>
  <c r="I167" i="4"/>
  <c r="H167" i="4"/>
  <c r="F167" i="4"/>
  <c r="E167" i="4"/>
  <c r="M167" i="4" s="1"/>
  <c r="I166" i="4"/>
  <c r="H166" i="4"/>
  <c r="F166" i="4"/>
  <c r="E166" i="4"/>
  <c r="M166" i="4" s="1"/>
  <c r="I165" i="4"/>
  <c r="H165" i="4"/>
  <c r="F165" i="4"/>
  <c r="E165" i="4"/>
  <c r="M165" i="4" s="1"/>
  <c r="I164" i="4"/>
  <c r="H164" i="4"/>
  <c r="F164" i="4"/>
  <c r="E164" i="4"/>
  <c r="M164" i="4" s="1"/>
  <c r="I163" i="4"/>
  <c r="H163" i="4"/>
  <c r="F163" i="4"/>
  <c r="E163" i="4"/>
  <c r="M163" i="4" s="1"/>
  <c r="I162" i="4"/>
  <c r="H162" i="4"/>
  <c r="F162" i="4"/>
  <c r="E162" i="4"/>
  <c r="M162" i="4" s="1"/>
  <c r="I161" i="4"/>
  <c r="H161" i="4"/>
  <c r="F161" i="4"/>
  <c r="E161" i="4"/>
  <c r="M161" i="4" s="1"/>
  <c r="I160" i="4"/>
  <c r="H160" i="4"/>
  <c r="F160" i="4"/>
  <c r="E160" i="4"/>
  <c r="M160" i="4" s="1"/>
  <c r="I159" i="4"/>
  <c r="H159" i="4"/>
  <c r="F159" i="4"/>
  <c r="E159" i="4"/>
  <c r="M159" i="4" s="1"/>
  <c r="I158" i="4"/>
  <c r="H158" i="4"/>
  <c r="F158" i="4"/>
  <c r="E158" i="4"/>
  <c r="M158" i="4" s="1"/>
  <c r="I157" i="4"/>
  <c r="H157" i="4"/>
  <c r="F157" i="4"/>
  <c r="E157" i="4"/>
  <c r="M157" i="4" s="1"/>
  <c r="I156" i="4"/>
  <c r="H156" i="4"/>
  <c r="F156" i="4"/>
  <c r="E156" i="4"/>
  <c r="M156" i="4" s="1"/>
  <c r="I155" i="4"/>
  <c r="H155" i="4"/>
  <c r="F155" i="4"/>
  <c r="E155" i="4"/>
  <c r="M155" i="4" s="1"/>
  <c r="I154" i="4"/>
  <c r="H154" i="4"/>
  <c r="F154" i="4"/>
  <c r="E154" i="4"/>
  <c r="M154" i="4" s="1"/>
  <c r="I153" i="4"/>
  <c r="H153" i="4"/>
  <c r="F153" i="4"/>
  <c r="E153" i="4"/>
  <c r="M153" i="4" s="1"/>
  <c r="I152" i="4"/>
  <c r="H152" i="4"/>
  <c r="F152" i="4"/>
  <c r="E152" i="4"/>
  <c r="M152" i="4" s="1"/>
  <c r="I151" i="4"/>
  <c r="H151" i="4"/>
  <c r="F151" i="4"/>
  <c r="E151" i="4"/>
  <c r="M151" i="4" s="1"/>
  <c r="I150" i="4"/>
  <c r="H150" i="4"/>
  <c r="F150" i="4"/>
  <c r="E150" i="4"/>
  <c r="M150" i="4" s="1"/>
  <c r="I149" i="4"/>
  <c r="H149" i="4"/>
  <c r="F149" i="4"/>
  <c r="E149" i="4"/>
  <c r="M149" i="4" s="1"/>
  <c r="I148" i="4"/>
  <c r="H148" i="4"/>
  <c r="F148" i="4"/>
  <c r="E148" i="4"/>
  <c r="M148" i="4" s="1"/>
  <c r="I147" i="4"/>
  <c r="H147" i="4"/>
  <c r="F147" i="4"/>
  <c r="E147" i="4"/>
  <c r="M147" i="4" s="1"/>
  <c r="I146" i="4"/>
  <c r="H146" i="4"/>
  <c r="F146" i="4"/>
  <c r="E146" i="4"/>
  <c r="M146" i="4" s="1"/>
  <c r="I145" i="4"/>
  <c r="H145" i="4"/>
  <c r="F145" i="4"/>
  <c r="E145" i="4"/>
  <c r="M145" i="4" s="1"/>
  <c r="I144" i="4"/>
  <c r="H144" i="4"/>
  <c r="F144" i="4"/>
  <c r="E144" i="4"/>
  <c r="M144" i="4" s="1"/>
  <c r="I143" i="4"/>
  <c r="H143" i="4"/>
  <c r="F143" i="4"/>
  <c r="E143" i="4"/>
  <c r="M143" i="4" s="1"/>
  <c r="I142" i="4"/>
  <c r="H142" i="4"/>
  <c r="F142" i="4"/>
  <c r="E142" i="4"/>
  <c r="M142" i="4" s="1"/>
  <c r="I141" i="4"/>
  <c r="H141" i="4"/>
  <c r="F141" i="4"/>
  <c r="E141" i="4"/>
  <c r="M141" i="4" s="1"/>
  <c r="I140" i="4"/>
  <c r="H140" i="4"/>
  <c r="F140" i="4"/>
  <c r="E140" i="4"/>
  <c r="M140" i="4" s="1"/>
  <c r="I139" i="4"/>
  <c r="H139" i="4"/>
  <c r="F139" i="4"/>
  <c r="E139" i="4"/>
  <c r="M139" i="4" s="1"/>
  <c r="I138" i="4"/>
  <c r="H138" i="4"/>
  <c r="F138" i="4"/>
  <c r="E138" i="4"/>
  <c r="M138" i="4" s="1"/>
  <c r="I137" i="4"/>
  <c r="H137" i="4"/>
  <c r="F137" i="4"/>
  <c r="E137" i="4"/>
  <c r="M137" i="4" s="1"/>
  <c r="I136" i="4"/>
  <c r="H136" i="4"/>
  <c r="F136" i="4"/>
  <c r="E136" i="4"/>
  <c r="M136" i="4" s="1"/>
  <c r="I135" i="4"/>
  <c r="H135" i="4"/>
  <c r="F135" i="4"/>
  <c r="E135" i="4"/>
  <c r="M135" i="4" s="1"/>
  <c r="I134" i="4"/>
  <c r="H134" i="4"/>
  <c r="F134" i="4"/>
  <c r="E134" i="4"/>
  <c r="M134" i="4" s="1"/>
  <c r="I133" i="4"/>
  <c r="H133" i="4"/>
  <c r="F133" i="4"/>
  <c r="E133" i="4"/>
  <c r="M133" i="4" s="1"/>
  <c r="I132" i="4"/>
  <c r="H132" i="4"/>
  <c r="F132" i="4"/>
  <c r="E132" i="4"/>
  <c r="M132" i="4" s="1"/>
  <c r="I131" i="4"/>
  <c r="H131" i="4"/>
  <c r="F131" i="4"/>
  <c r="E131" i="4"/>
  <c r="M131" i="4" s="1"/>
  <c r="I130" i="4"/>
  <c r="H130" i="4"/>
  <c r="F130" i="4"/>
  <c r="E130" i="4"/>
  <c r="M130" i="4" s="1"/>
  <c r="I129" i="4"/>
  <c r="H129" i="4"/>
  <c r="F129" i="4"/>
  <c r="E129" i="4"/>
  <c r="M129" i="4" s="1"/>
  <c r="I128" i="4"/>
  <c r="H128" i="4"/>
  <c r="F128" i="4"/>
  <c r="E128" i="4"/>
  <c r="M128" i="4" s="1"/>
  <c r="I127" i="4"/>
  <c r="H127" i="4"/>
  <c r="F127" i="4"/>
  <c r="E127" i="4"/>
  <c r="M127" i="4" s="1"/>
  <c r="I126" i="4"/>
  <c r="H126" i="4"/>
  <c r="F126" i="4"/>
  <c r="E126" i="4"/>
  <c r="M126" i="4" s="1"/>
  <c r="I125" i="4"/>
  <c r="H125" i="4"/>
  <c r="F125" i="4"/>
  <c r="E125" i="4"/>
  <c r="M125" i="4" s="1"/>
  <c r="I124" i="4"/>
  <c r="H124" i="4"/>
  <c r="F124" i="4"/>
  <c r="E124" i="4"/>
  <c r="M124" i="4" s="1"/>
  <c r="I123" i="4"/>
  <c r="H123" i="4"/>
  <c r="F123" i="4"/>
  <c r="E123" i="4"/>
  <c r="M123" i="4" s="1"/>
  <c r="I122" i="4"/>
  <c r="H122" i="4"/>
  <c r="F122" i="4"/>
  <c r="E122" i="4"/>
  <c r="M122" i="4" s="1"/>
  <c r="I121" i="4"/>
  <c r="H121" i="4"/>
  <c r="F121" i="4"/>
  <c r="E121" i="4"/>
  <c r="M121" i="4" s="1"/>
  <c r="I120" i="4"/>
  <c r="H120" i="4"/>
  <c r="F120" i="4"/>
  <c r="E120" i="4"/>
  <c r="M120" i="4" s="1"/>
  <c r="I119" i="4"/>
  <c r="H119" i="4"/>
  <c r="F119" i="4"/>
  <c r="E119" i="4"/>
  <c r="M119" i="4" s="1"/>
  <c r="I118" i="4"/>
  <c r="H118" i="4"/>
  <c r="F118" i="4"/>
  <c r="E118" i="4"/>
  <c r="M118" i="4" s="1"/>
  <c r="I117" i="4"/>
  <c r="H117" i="4"/>
  <c r="F117" i="4"/>
  <c r="E117" i="4"/>
  <c r="M117" i="4" s="1"/>
  <c r="I116" i="4"/>
  <c r="H116" i="4"/>
  <c r="F116" i="4"/>
  <c r="E116" i="4"/>
  <c r="M116" i="4" s="1"/>
  <c r="I115" i="4"/>
  <c r="H115" i="4"/>
  <c r="F115" i="4"/>
  <c r="E115" i="4"/>
  <c r="M115" i="4" s="1"/>
  <c r="I114" i="4"/>
  <c r="H114" i="4"/>
  <c r="F114" i="4"/>
  <c r="E114" i="4"/>
  <c r="M114" i="4" s="1"/>
  <c r="I113" i="4"/>
  <c r="H113" i="4"/>
  <c r="F113" i="4"/>
  <c r="E113" i="4"/>
  <c r="M113" i="4" s="1"/>
  <c r="I112" i="4"/>
  <c r="H112" i="4"/>
  <c r="F112" i="4"/>
  <c r="E112" i="4"/>
  <c r="M112" i="4" s="1"/>
  <c r="I111" i="4"/>
  <c r="H111" i="4"/>
  <c r="F111" i="4"/>
  <c r="E111" i="4"/>
  <c r="M111" i="4" s="1"/>
  <c r="I110" i="4"/>
  <c r="H110" i="4"/>
  <c r="F110" i="4"/>
  <c r="E110" i="4"/>
  <c r="M110" i="4" s="1"/>
  <c r="I109" i="4"/>
  <c r="H109" i="4"/>
  <c r="F109" i="4"/>
  <c r="E109" i="4"/>
  <c r="M109" i="4" s="1"/>
  <c r="I108" i="4"/>
  <c r="H108" i="4"/>
  <c r="F108" i="4"/>
  <c r="E108" i="4"/>
  <c r="M108" i="4" s="1"/>
  <c r="I107" i="4"/>
  <c r="H107" i="4"/>
  <c r="F107" i="4"/>
  <c r="E107" i="4"/>
  <c r="M107" i="4" s="1"/>
  <c r="I106" i="4"/>
  <c r="H106" i="4"/>
  <c r="F106" i="4"/>
  <c r="E106" i="4"/>
  <c r="M106" i="4" s="1"/>
  <c r="I105" i="4"/>
  <c r="H105" i="4"/>
  <c r="F105" i="4"/>
  <c r="E105" i="4"/>
  <c r="M105" i="4" s="1"/>
  <c r="I104" i="4"/>
  <c r="H104" i="4"/>
  <c r="F104" i="4"/>
  <c r="E104" i="4"/>
  <c r="M104" i="4" s="1"/>
  <c r="I103" i="4"/>
  <c r="H103" i="4"/>
  <c r="F103" i="4"/>
  <c r="E103" i="4"/>
  <c r="M103" i="4" s="1"/>
  <c r="I102" i="4"/>
  <c r="H102" i="4"/>
  <c r="F102" i="4"/>
  <c r="E102" i="4"/>
  <c r="M102" i="4" s="1"/>
  <c r="I101" i="4"/>
  <c r="H101" i="4"/>
  <c r="F101" i="4"/>
  <c r="E101" i="4"/>
  <c r="M101" i="4" s="1"/>
  <c r="I100" i="4"/>
  <c r="H100" i="4"/>
  <c r="F100" i="4"/>
  <c r="E100" i="4"/>
  <c r="M100" i="4" s="1"/>
  <c r="I99" i="4"/>
  <c r="H99" i="4"/>
  <c r="F99" i="4"/>
  <c r="E99" i="4"/>
  <c r="M99" i="4" s="1"/>
  <c r="I98" i="4"/>
  <c r="H98" i="4"/>
  <c r="F98" i="4"/>
  <c r="E98" i="4"/>
  <c r="M98" i="4" s="1"/>
  <c r="I97" i="4"/>
  <c r="H97" i="4"/>
  <c r="F97" i="4"/>
  <c r="E97" i="4"/>
  <c r="M97" i="4" s="1"/>
  <c r="I96" i="4"/>
  <c r="H96" i="4"/>
  <c r="F96" i="4"/>
  <c r="E96" i="4"/>
  <c r="M96" i="4" s="1"/>
  <c r="I95" i="4"/>
  <c r="H95" i="4"/>
  <c r="F95" i="4"/>
  <c r="E95" i="4"/>
  <c r="M95" i="4" s="1"/>
  <c r="I94" i="4"/>
  <c r="H94" i="4"/>
  <c r="F94" i="4"/>
  <c r="E94" i="4"/>
  <c r="M94" i="4" s="1"/>
  <c r="I93" i="4"/>
  <c r="H93" i="4"/>
  <c r="F93" i="4"/>
  <c r="E93" i="4"/>
  <c r="M93" i="4" s="1"/>
  <c r="I92" i="4"/>
  <c r="H92" i="4"/>
  <c r="F92" i="4"/>
  <c r="E92" i="4"/>
  <c r="M92" i="4" s="1"/>
  <c r="I91" i="4"/>
  <c r="H91" i="4"/>
  <c r="F91" i="4"/>
  <c r="E91" i="4"/>
  <c r="M91" i="4" s="1"/>
  <c r="I90" i="4"/>
  <c r="H90" i="4"/>
  <c r="F90" i="4"/>
  <c r="E90" i="4"/>
  <c r="M90" i="4" s="1"/>
  <c r="I89" i="4"/>
  <c r="H89" i="4"/>
  <c r="F89" i="4"/>
  <c r="E89" i="4"/>
  <c r="M89" i="4" s="1"/>
  <c r="I88" i="4"/>
  <c r="H88" i="4"/>
  <c r="F88" i="4"/>
  <c r="E88" i="4"/>
  <c r="M88" i="4" s="1"/>
  <c r="I87" i="4"/>
  <c r="H87" i="4"/>
  <c r="F87" i="4"/>
  <c r="E87" i="4"/>
  <c r="M87" i="4" s="1"/>
  <c r="I86" i="4"/>
  <c r="H86" i="4"/>
  <c r="F86" i="4"/>
  <c r="E86" i="4"/>
  <c r="M86" i="4" s="1"/>
  <c r="I85" i="4"/>
  <c r="H85" i="4"/>
  <c r="F85" i="4"/>
  <c r="E85" i="4"/>
  <c r="M85" i="4" s="1"/>
  <c r="I84" i="4"/>
  <c r="H84" i="4"/>
  <c r="F84" i="4"/>
  <c r="E84" i="4"/>
  <c r="M84" i="4" s="1"/>
  <c r="I83" i="4"/>
  <c r="H83" i="4"/>
  <c r="F83" i="4"/>
  <c r="E83" i="4"/>
  <c r="M83" i="4" s="1"/>
  <c r="I82" i="4"/>
  <c r="H82" i="4"/>
  <c r="F82" i="4"/>
  <c r="E82" i="4"/>
  <c r="M82" i="4" s="1"/>
  <c r="I81" i="4"/>
  <c r="H81" i="4"/>
  <c r="F81" i="4"/>
  <c r="E81" i="4"/>
  <c r="M81" i="4" s="1"/>
  <c r="I80" i="4"/>
  <c r="H80" i="4"/>
  <c r="F80" i="4"/>
  <c r="E80" i="4"/>
  <c r="M80" i="4" s="1"/>
  <c r="I79" i="4"/>
  <c r="H79" i="4"/>
  <c r="F79" i="4"/>
  <c r="E79" i="4"/>
  <c r="M79" i="4" s="1"/>
  <c r="I78" i="4"/>
  <c r="H78" i="4"/>
  <c r="F78" i="4"/>
  <c r="E78" i="4"/>
  <c r="M78" i="4" s="1"/>
  <c r="I77" i="4"/>
  <c r="H77" i="4"/>
  <c r="F77" i="4"/>
  <c r="E77" i="4"/>
  <c r="M77" i="4" s="1"/>
  <c r="I76" i="4"/>
  <c r="H76" i="4"/>
  <c r="F76" i="4"/>
  <c r="E76" i="4"/>
  <c r="M76" i="4" s="1"/>
  <c r="I75" i="4"/>
  <c r="H75" i="4"/>
  <c r="F75" i="4"/>
  <c r="E75" i="4"/>
  <c r="M75" i="4" s="1"/>
  <c r="I74" i="4"/>
  <c r="H74" i="4"/>
  <c r="F74" i="4"/>
  <c r="E74" i="4"/>
  <c r="M74" i="4" s="1"/>
  <c r="I73" i="4"/>
  <c r="H73" i="4"/>
  <c r="F73" i="4"/>
  <c r="E73" i="4"/>
  <c r="M73" i="4" s="1"/>
  <c r="I72" i="4"/>
  <c r="H72" i="4"/>
  <c r="F72" i="4"/>
  <c r="E72" i="4"/>
  <c r="M72" i="4" s="1"/>
  <c r="I71" i="4"/>
  <c r="H71" i="4"/>
  <c r="F71" i="4"/>
  <c r="E71" i="4"/>
  <c r="M71" i="4" s="1"/>
  <c r="I70" i="4"/>
  <c r="H70" i="4"/>
  <c r="F70" i="4"/>
  <c r="E70" i="4"/>
  <c r="M70" i="4" s="1"/>
  <c r="I69" i="4"/>
  <c r="H69" i="4"/>
  <c r="F69" i="4"/>
  <c r="E69" i="4"/>
  <c r="M69" i="4" s="1"/>
  <c r="I68" i="4"/>
  <c r="H68" i="4"/>
  <c r="F68" i="4"/>
  <c r="E68" i="4"/>
  <c r="M68" i="4" s="1"/>
  <c r="I67" i="4"/>
  <c r="H67" i="4"/>
  <c r="F67" i="4"/>
  <c r="E67" i="4"/>
  <c r="M67" i="4" s="1"/>
  <c r="I66" i="4"/>
  <c r="H66" i="4"/>
  <c r="F66" i="4"/>
  <c r="E66" i="4"/>
  <c r="M66" i="4" s="1"/>
  <c r="I65" i="4"/>
  <c r="H65" i="4"/>
  <c r="F65" i="4"/>
  <c r="E65" i="4"/>
  <c r="M65" i="4" s="1"/>
  <c r="I64" i="4"/>
  <c r="H64" i="4"/>
  <c r="F64" i="4"/>
  <c r="E64" i="4"/>
  <c r="M64" i="4" s="1"/>
  <c r="I63" i="4"/>
  <c r="H63" i="4"/>
  <c r="F63" i="4"/>
  <c r="E63" i="4"/>
  <c r="M63" i="4" s="1"/>
  <c r="I62" i="4"/>
  <c r="H62" i="4"/>
  <c r="F62" i="4"/>
  <c r="E62" i="4"/>
  <c r="M62" i="4" s="1"/>
  <c r="I61" i="4"/>
  <c r="H61" i="4"/>
  <c r="F61" i="4"/>
  <c r="E61" i="4"/>
  <c r="M61" i="4" s="1"/>
  <c r="I60" i="4"/>
  <c r="H60" i="4"/>
  <c r="F60" i="4"/>
  <c r="E60" i="4"/>
  <c r="M60" i="4" s="1"/>
  <c r="I59" i="4"/>
  <c r="H59" i="4"/>
  <c r="F59" i="4"/>
  <c r="E59" i="4"/>
  <c r="M59" i="4" s="1"/>
  <c r="I58" i="4"/>
  <c r="H58" i="4"/>
  <c r="F58" i="4"/>
  <c r="E58" i="4"/>
  <c r="M58" i="4" s="1"/>
  <c r="I57" i="4"/>
  <c r="H57" i="4"/>
  <c r="F57" i="4"/>
  <c r="E57" i="4"/>
  <c r="M57" i="4" s="1"/>
  <c r="I56" i="4"/>
  <c r="H56" i="4"/>
  <c r="F56" i="4"/>
  <c r="E56" i="4"/>
  <c r="M56" i="4" s="1"/>
  <c r="I55" i="4"/>
  <c r="H55" i="4"/>
  <c r="F55" i="4"/>
  <c r="E55" i="4"/>
  <c r="M55" i="4" s="1"/>
  <c r="I54" i="4"/>
  <c r="H54" i="4"/>
  <c r="F54" i="4"/>
  <c r="E54" i="4"/>
  <c r="M54" i="4" s="1"/>
  <c r="I53" i="4"/>
  <c r="H53" i="4"/>
  <c r="F53" i="4"/>
  <c r="E53" i="4"/>
  <c r="M53" i="4" s="1"/>
  <c r="I52" i="4"/>
  <c r="H52" i="4"/>
  <c r="F52" i="4"/>
  <c r="E52" i="4"/>
  <c r="M52" i="4" s="1"/>
  <c r="I51" i="4"/>
  <c r="H51" i="4"/>
  <c r="F51" i="4"/>
  <c r="E51" i="4"/>
  <c r="M51" i="4" s="1"/>
  <c r="I50" i="4"/>
  <c r="H50" i="4"/>
  <c r="F50" i="4"/>
  <c r="E50" i="4"/>
  <c r="M50" i="4" s="1"/>
  <c r="I49" i="4"/>
  <c r="H49" i="4"/>
  <c r="F49" i="4"/>
  <c r="E49" i="4"/>
  <c r="M49" i="4" s="1"/>
  <c r="I48" i="4"/>
  <c r="H48" i="4"/>
  <c r="F48" i="4"/>
  <c r="E48" i="4"/>
  <c r="M48" i="4" s="1"/>
  <c r="I47" i="4"/>
  <c r="H47" i="4"/>
  <c r="F47" i="4"/>
  <c r="E47" i="4"/>
  <c r="M47" i="4" s="1"/>
  <c r="I46" i="4"/>
  <c r="H46" i="4"/>
  <c r="F46" i="4"/>
  <c r="E46" i="4"/>
  <c r="M46" i="4" s="1"/>
  <c r="I45" i="4"/>
  <c r="H45" i="4"/>
  <c r="F45" i="4"/>
  <c r="E45" i="4"/>
  <c r="M45" i="4" s="1"/>
  <c r="I44" i="4"/>
  <c r="H44" i="4"/>
  <c r="F44" i="4"/>
  <c r="E44" i="4"/>
  <c r="M44" i="4" s="1"/>
  <c r="I43" i="4"/>
  <c r="H43" i="4"/>
  <c r="F43" i="4"/>
  <c r="E43" i="4"/>
  <c r="M43" i="4" s="1"/>
  <c r="I42" i="4"/>
  <c r="H42" i="4"/>
  <c r="F42" i="4"/>
  <c r="E42" i="4"/>
  <c r="M42" i="4" s="1"/>
  <c r="I41" i="4"/>
  <c r="H41" i="4"/>
  <c r="F41" i="4"/>
  <c r="E41" i="4"/>
  <c r="M41" i="4" s="1"/>
  <c r="I40" i="4"/>
  <c r="H40" i="4"/>
  <c r="F40" i="4"/>
  <c r="E40" i="4"/>
  <c r="M40" i="4" s="1"/>
  <c r="I39" i="4"/>
  <c r="H39" i="4"/>
  <c r="F39" i="4"/>
  <c r="E39" i="4"/>
  <c r="M39" i="4" s="1"/>
  <c r="I38" i="4"/>
  <c r="H38" i="4"/>
  <c r="F38" i="4"/>
  <c r="E38" i="4"/>
  <c r="M38" i="4" s="1"/>
  <c r="I37" i="4"/>
  <c r="H37" i="4"/>
  <c r="F37" i="4"/>
  <c r="E37" i="4"/>
  <c r="M37" i="4" s="1"/>
  <c r="I36" i="4"/>
  <c r="H36" i="4"/>
  <c r="F36" i="4"/>
  <c r="E36" i="4"/>
  <c r="M36" i="4" s="1"/>
  <c r="I35" i="4"/>
  <c r="H35" i="4"/>
  <c r="F35" i="4"/>
  <c r="E35" i="4"/>
  <c r="M35" i="4" s="1"/>
  <c r="I34" i="4"/>
  <c r="H34" i="4"/>
  <c r="F34" i="4"/>
  <c r="E34" i="4"/>
  <c r="M34" i="4" s="1"/>
  <c r="I33" i="4"/>
  <c r="H33" i="4"/>
  <c r="F33" i="4"/>
  <c r="E33" i="4"/>
  <c r="M33" i="4" s="1"/>
  <c r="I32" i="4"/>
  <c r="H32" i="4"/>
  <c r="F32" i="4"/>
  <c r="E32" i="4"/>
  <c r="M32" i="4" s="1"/>
  <c r="I31" i="4"/>
  <c r="H31" i="4"/>
  <c r="F31" i="4"/>
  <c r="E31" i="4"/>
  <c r="M31" i="4" s="1"/>
  <c r="I30" i="4"/>
  <c r="H30" i="4"/>
  <c r="F30" i="4"/>
  <c r="E30" i="4"/>
  <c r="M30" i="4" s="1"/>
  <c r="I29" i="4"/>
  <c r="H29" i="4"/>
  <c r="F29" i="4"/>
  <c r="E29" i="4"/>
  <c r="M29" i="4" s="1"/>
  <c r="I28" i="4"/>
  <c r="H28" i="4"/>
  <c r="F28" i="4"/>
  <c r="E28" i="4"/>
  <c r="M28" i="4" s="1"/>
  <c r="I27" i="4"/>
  <c r="H27" i="4"/>
  <c r="F27" i="4"/>
  <c r="E27" i="4"/>
  <c r="M27" i="4" s="1"/>
  <c r="I26" i="4"/>
  <c r="H26" i="4"/>
  <c r="F26" i="4"/>
  <c r="E26" i="4"/>
  <c r="M26" i="4" s="1"/>
  <c r="I25" i="4"/>
  <c r="H25" i="4"/>
  <c r="F25" i="4"/>
  <c r="E25" i="4"/>
  <c r="M25" i="4" s="1"/>
  <c r="I24" i="4"/>
  <c r="H24" i="4"/>
  <c r="F24" i="4"/>
  <c r="E24" i="4"/>
  <c r="M24" i="4" s="1"/>
  <c r="I23" i="4"/>
  <c r="H23" i="4"/>
  <c r="F23" i="4"/>
  <c r="E23" i="4"/>
  <c r="M23" i="4" s="1"/>
  <c r="I22" i="4"/>
  <c r="H22" i="4"/>
  <c r="F22" i="4"/>
  <c r="E22" i="4"/>
  <c r="M22" i="4" s="1"/>
  <c r="I21" i="4"/>
  <c r="H21" i="4"/>
  <c r="F21" i="4"/>
  <c r="E21" i="4"/>
  <c r="M21" i="4" s="1"/>
  <c r="I20" i="4"/>
  <c r="H20" i="4"/>
  <c r="F20" i="4"/>
  <c r="E20" i="4"/>
  <c r="M20" i="4" s="1"/>
  <c r="I19" i="4"/>
  <c r="H19" i="4"/>
  <c r="F19" i="4"/>
  <c r="E19" i="4"/>
  <c r="M19" i="4" s="1"/>
  <c r="I18" i="4"/>
  <c r="H18" i="4"/>
  <c r="F18" i="4"/>
  <c r="E18" i="4"/>
  <c r="M18" i="4" s="1"/>
  <c r="F17" i="4"/>
  <c r="E17" i="4"/>
  <c r="M17" i="4" s="1"/>
  <c r="I16" i="4"/>
  <c r="H16" i="4"/>
  <c r="F16" i="4"/>
  <c r="E16" i="4"/>
  <c r="L982" i="4" l="1"/>
  <c r="M981" i="4"/>
  <c r="L976" i="4"/>
  <c r="L968" i="4"/>
  <c r="L960" i="4"/>
  <c r="L952" i="4"/>
  <c r="L944" i="4"/>
  <c r="L936" i="4"/>
  <c r="L20" i="4"/>
  <c r="N12" i="4"/>
  <c r="L975" i="4"/>
  <c r="L967" i="4"/>
  <c r="L959" i="4"/>
  <c r="L951" i="4"/>
  <c r="L943" i="4"/>
  <c r="L935" i="4"/>
  <c r="L927" i="4"/>
  <c r="L919" i="4"/>
  <c r="L911" i="4"/>
  <c r="L903" i="4"/>
  <c r="L895" i="4"/>
  <c r="L887" i="4"/>
  <c r="L879" i="4"/>
  <c r="L871" i="4"/>
  <c r="L863" i="4"/>
  <c r="L855" i="4"/>
  <c r="L847" i="4"/>
  <c r="L839" i="4"/>
  <c r="L831" i="4"/>
  <c r="L823" i="4"/>
  <c r="L815" i="4"/>
  <c r="L807" i="4"/>
  <c r="L799" i="4"/>
  <c r="L791" i="4"/>
  <c r="L783" i="4"/>
  <c r="L775" i="4"/>
  <c r="L767" i="4"/>
  <c r="L759" i="4"/>
  <c r="L751" i="4"/>
  <c r="L743" i="4"/>
  <c r="L735" i="4"/>
  <c r="L727" i="4"/>
  <c r="L719" i="4"/>
  <c r="L711" i="4"/>
  <c r="L703" i="4"/>
  <c r="L733" i="4"/>
  <c r="L757" i="4"/>
  <c r="L37" i="4"/>
  <c r="L695" i="4"/>
  <c r="L687" i="4"/>
  <c r="L679" i="4"/>
  <c r="L671" i="4"/>
  <c r="L663" i="4"/>
  <c r="L655" i="4"/>
  <c r="L647" i="4"/>
  <c r="L639" i="4"/>
  <c r="L631" i="4"/>
  <c r="L623" i="4"/>
  <c r="L615" i="4"/>
  <c r="L607" i="4"/>
  <c r="L599" i="4"/>
  <c r="L591" i="4"/>
  <c r="L583" i="4"/>
  <c r="L575" i="4"/>
  <c r="L567" i="4"/>
  <c r="L559" i="4"/>
  <c r="L551" i="4"/>
  <c r="L543" i="4"/>
  <c r="L535" i="4"/>
  <c r="L527" i="4"/>
  <c r="L519" i="4"/>
  <c r="L511" i="4"/>
  <c r="L503" i="4"/>
  <c r="L495" i="4"/>
  <c r="L487" i="4"/>
  <c r="L479" i="4"/>
  <c r="L471" i="4"/>
  <c r="L463" i="4"/>
  <c r="L455" i="4"/>
  <c r="L447" i="4"/>
  <c r="L439" i="4"/>
  <c r="L431" i="4"/>
  <c r="L423" i="4"/>
  <c r="L415" i="4"/>
  <c r="L407" i="4"/>
  <c r="L399" i="4"/>
  <c r="L391" i="4"/>
  <c r="L383" i="4"/>
  <c r="L375" i="4"/>
  <c r="L367" i="4"/>
  <c r="L359" i="4"/>
  <c r="L351" i="4"/>
  <c r="L343" i="4"/>
  <c r="L335" i="4"/>
  <c r="L327" i="4"/>
  <c r="L319" i="4"/>
  <c r="L311" i="4"/>
  <c r="L303" i="4"/>
  <c r="L295" i="4"/>
  <c r="L287" i="4"/>
  <c r="L279" i="4"/>
  <c r="L271" i="4"/>
  <c r="L263" i="4"/>
  <c r="L255" i="4"/>
  <c r="L247" i="4"/>
  <c r="L239" i="4"/>
  <c r="L231" i="4"/>
  <c r="L223" i="4"/>
  <c r="L215" i="4"/>
  <c r="L207" i="4"/>
  <c r="L199" i="4"/>
  <c r="L191" i="4"/>
  <c r="L183" i="4"/>
  <c r="L175" i="4"/>
  <c r="L167" i="4"/>
  <c r="L159" i="4"/>
  <c r="L151" i="4"/>
  <c r="L143" i="4"/>
  <c r="L135" i="4"/>
  <c r="L127" i="4"/>
  <c r="L119" i="4"/>
  <c r="L111" i="4"/>
  <c r="L103" i="4"/>
  <c r="L95" i="4"/>
  <c r="L87" i="4"/>
  <c r="L79" i="4"/>
  <c r="L71" i="4"/>
  <c r="L63" i="4"/>
  <c r="L55" i="4"/>
  <c r="L47" i="4"/>
  <c r="L39" i="4"/>
  <c r="L31" i="4"/>
  <c r="L23" i="4"/>
  <c r="L21" i="4"/>
  <c r="L973" i="4"/>
  <c r="L957" i="4"/>
  <c r="L941" i="4"/>
  <c r="L925" i="4"/>
  <c r="L909" i="4"/>
  <c r="L893" i="4"/>
  <c r="L877" i="4"/>
  <c r="L861" i="4"/>
  <c r="L845" i="4"/>
  <c r="L829" i="4"/>
  <c r="L813" i="4"/>
  <c r="L797" i="4"/>
  <c r="L773" i="4"/>
  <c r="L749" i="4"/>
  <c r="L53" i="4"/>
  <c r="L981" i="4"/>
  <c r="L965" i="4"/>
  <c r="L949" i="4"/>
  <c r="L933" i="4"/>
  <c r="L917" i="4"/>
  <c r="L901" i="4"/>
  <c r="L885" i="4"/>
  <c r="L869" i="4"/>
  <c r="L853" i="4"/>
  <c r="L837" i="4"/>
  <c r="L821" i="4"/>
  <c r="L805" i="4"/>
  <c r="L789" i="4"/>
  <c r="L781" i="4"/>
  <c r="L765" i="4"/>
  <c r="L741" i="4"/>
  <c r="L45" i="4"/>
  <c r="L928" i="4"/>
  <c r="L920" i="4"/>
  <c r="L912" i="4"/>
  <c r="L904" i="4"/>
  <c r="L896" i="4"/>
  <c r="L888" i="4"/>
  <c r="L880" i="4"/>
  <c r="L872" i="4"/>
  <c r="L864" i="4"/>
  <c r="L856" i="4"/>
  <c r="L848" i="4"/>
  <c r="L840" i="4"/>
  <c r="L832" i="4"/>
  <c r="L824" i="4"/>
  <c r="L816" i="4"/>
  <c r="L808" i="4"/>
  <c r="L800" i="4"/>
  <c r="L792" i="4"/>
  <c r="L784" i="4"/>
  <c r="L776" i="4"/>
  <c r="L768" i="4"/>
  <c r="L760" i="4"/>
  <c r="L752" i="4"/>
  <c r="L744" i="4"/>
  <c r="L736" i="4"/>
  <c r="L728" i="4"/>
  <c r="L720" i="4"/>
  <c r="L712" i="4"/>
  <c r="L704" i="4"/>
  <c r="L725" i="4"/>
  <c r="L717" i="4"/>
  <c r="L709" i="4"/>
  <c r="L701" i="4"/>
  <c r="L693" i="4"/>
  <c r="L685" i="4"/>
  <c r="L677" i="4"/>
  <c r="L669" i="4"/>
  <c r="L661" i="4"/>
  <c r="L653" i="4"/>
  <c r="L645" i="4"/>
  <c r="L637" i="4"/>
  <c r="L629" i="4"/>
  <c r="L621" i="4"/>
  <c r="L613" i="4"/>
  <c r="L605" i="4"/>
  <c r="L597" i="4"/>
  <c r="L589" i="4"/>
  <c r="L581" i="4"/>
  <c r="L573" i="4"/>
  <c r="L565" i="4"/>
  <c r="L557" i="4"/>
  <c r="L549" i="4"/>
  <c r="L541" i="4"/>
  <c r="L533" i="4"/>
  <c r="L525" i="4"/>
  <c r="L517" i="4"/>
  <c r="L509" i="4"/>
  <c r="L501" i="4"/>
  <c r="L493" i="4"/>
  <c r="L485" i="4"/>
  <c r="L477" i="4"/>
  <c r="L469" i="4"/>
  <c r="L461" i="4"/>
  <c r="L453" i="4"/>
  <c r="L445" i="4"/>
  <c r="L437" i="4"/>
  <c r="L429" i="4"/>
  <c r="L421" i="4"/>
  <c r="L413" i="4"/>
  <c r="L405" i="4"/>
  <c r="L397" i="4"/>
  <c r="L389" i="4"/>
  <c r="L381" i="4"/>
  <c r="L373" i="4"/>
  <c r="L365" i="4"/>
  <c r="L357" i="4"/>
  <c r="L349" i="4"/>
  <c r="L341" i="4"/>
  <c r="L333" i="4"/>
  <c r="L325" i="4"/>
  <c r="L317" i="4"/>
  <c r="L309" i="4"/>
  <c r="L301" i="4"/>
  <c r="L293" i="4"/>
  <c r="L285" i="4"/>
  <c r="L277" i="4"/>
  <c r="L269" i="4"/>
  <c r="L261" i="4"/>
  <c r="L253" i="4"/>
  <c r="L245" i="4"/>
  <c r="L237" i="4"/>
  <c r="L229" i="4"/>
  <c r="L221" i="4"/>
  <c r="L213" i="4"/>
  <c r="L205" i="4"/>
  <c r="L197" i="4"/>
  <c r="L189" i="4"/>
  <c r="L181" i="4"/>
  <c r="L173" i="4"/>
  <c r="L165" i="4"/>
  <c r="L157" i="4"/>
  <c r="L149" i="4"/>
  <c r="L141" i="4"/>
  <c r="L133" i="4"/>
  <c r="L125" i="4"/>
  <c r="L117" i="4"/>
  <c r="L109" i="4"/>
  <c r="L101" i="4"/>
  <c r="L93" i="4"/>
  <c r="L85" i="4"/>
  <c r="L77" i="4"/>
  <c r="L69" i="4"/>
  <c r="L61" i="4"/>
  <c r="L29" i="4"/>
  <c r="L696" i="4"/>
  <c r="L688" i="4"/>
  <c r="L680" i="4"/>
  <c r="L672" i="4"/>
  <c r="L664" i="4"/>
  <c r="L656" i="4"/>
  <c r="L648" i="4"/>
  <c r="L640" i="4"/>
  <c r="L632" i="4"/>
  <c r="L624" i="4"/>
  <c r="L616" i="4"/>
  <c r="L608" i="4"/>
  <c r="L600" i="4"/>
  <c r="L592" i="4"/>
  <c r="L584" i="4"/>
  <c r="L576" i="4"/>
  <c r="L568" i="4"/>
  <c r="L560" i="4"/>
  <c r="L552" i="4"/>
  <c r="L544" i="4"/>
  <c r="L536" i="4"/>
  <c r="L528" i="4"/>
  <c r="L520" i="4"/>
  <c r="L512" i="4"/>
  <c r="L504" i="4"/>
  <c r="L496" i="4"/>
  <c r="L488" i="4"/>
  <c r="L480" i="4"/>
  <c r="L472" i="4"/>
  <c r="L464" i="4"/>
  <c r="L456" i="4"/>
  <c r="L448" i="4"/>
  <c r="L440" i="4"/>
  <c r="L432" i="4"/>
  <c r="L424" i="4"/>
  <c r="L416" i="4"/>
  <c r="L408" i="4"/>
  <c r="L400" i="4"/>
  <c r="L392" i="4"/>
  <c r="L384" i="4"/>
  <c r="L376" i="4"/>
  <c r="L368" i="4"/>
  <c r="L360" i="4"/>
  <c r="L352" i="4"/>
  <c r="L344" i="4"/>
  <c r="L336" i="4"/>
  <c r="L328" i="4"/>
  <c r="L320" i="4"/>
  <c r="L312" i="4"/>
  <c r="L304" i="4"/>
  <c r="L296" i="4"/>
  <c r="L288" i="4"/>
  <c r="L280" i="4"/>
  <c r="L272" i="4"/>
  <c r="L264" i="4"/>
  <c r="L256" i="4"/>
  <c r="L248" i="4"/>
  <c r="L240" i="4"/>
  <c r="L232" i="4"/>
  <c r="L224" i="4"/>
  <c r="L216" i="4"/>
  <c r="L208" i="4"/>
  <c r="L200" i="4"/>
  <c r="L192" i="4"/>
  <c r="L184" i="4"/>
  <c r="L176" i="4"/>
  <c r="L168" i="4"/>
  <c r="L160" i="4"/>
  <c r="L152" i="4"/>
  <c r="L144" i="4"/>
  <c r="L136" i="4"/>
  <c r="L128" i="4"/>
  <c r="L120" i="4"/>
  <c r="L112" i="4"/>
  <c r="L104" i="4"/>
  <c r="L96" i="4"/>
  <c r="L88" i="4"/>
  <c r="L80" i="4"/>
  <c r="L72" i="4"/>
  <c r="L64" i="4"/>
  <c r="L56" i="4"/>
  <c r="L48" i="4"/>
  <c r="L40" i="4"/>
  <c r="L32" i="4"/>
  <c r="L24" i="4"/>
  <c r="L788" i="4"/>
  <c r="L980" i="4"/>
  <c r="L972" i="4"/>
  <c r="L964" i="4"/>
  <c r="L956" i="4"/>
  <c r="L948" i="4"/>
  <c r="L940" i="4"/>
  <c r="L932" i="4"/>
  <c r="L924" i="4"/>
  <c r="L916" i="4"/>
  <c r="L908" i="4"/>
  <c r="L900" i="4"/>
  <c r="L892" i="4"/>
  <c r="L884" i="4"/>
  <c r="L876" i="4"/>
  <c r="L868" i="4"/>
  <c r="L860" i="4"/>
  <c r="L852" i="4"/>
  <c r="L844" i="4"/>
  <c r="L836" i="4"/>
  <c r="L828" i="4"/>
  <c r="L820" i="4"/>
  <c r="L812" i="4"/>
  <c r="L804" i="4"/>
  <c r="L796" i="4"/>
  <c r="L974" i="4"/>
  <c r="L966" i="4"/>
  <c r="L958" i="4"/>
  <c r="L950" i="4"/>
  <c r="L942" i="4"/>
  <c r="L934" i="4"/>
  <c r="L926" i="4"/>
  <c r="L918" i="4"/>
  <c r="L910" i="4"/>
  <c r="L902" i="4"/>
  <c r="L894" i="4"/>
  <c r="L886" i="4"/>
  <c r="L878" i="4"/>
  <c r="L870" i="4"/>
  <c r="L862" i="4"/>
  <c r="L854" i="4"/>
  <c r="L846" i="4"/>
  <c r="L838" i="4"/>
  <c r="L830" i="4"/>
  <c r="L822" i="4"/>
  <c r="L814" i="4"/>
  <c r="L806" i="4"/>
  <c r="L798" i="4"/>
  <c r="L790" i="4"/>
  <c r="L782" i="4"/>
  <c r="L774" i="4"/>
  <c r="L766" i="4"/>
  <c r="L758" i="4"/>
  <c r="L750" i="4"/>
  <c r="L742" i="4"/>
  <c r="L734" i="4"/>
  <c r="L726" i="4"/>
  <c r="L718" i="4"/>
  <c r="L710" i="4"/>
  <c r="L702" i="4"/>
  <c r="L772" i="4"/>
  <c r="L756" i="4"/>
  <c r="L740" i="4"/>
  <c r="L724" i="4"/>
  <c r="L708" i="4"/>
  <c r="L692" i="4"/>
  <c r="L676" i="4"/>
  <c r="L660" i="4"/>
  <c r="L644" i="4"/>
  <c r="L628" i="4"/>
  <c r="L612" i="4"/>
  <c r="L596" i="4"/>
  <c r="L580" i="4"/>
  <c r="L564" i="4"/>
  <c r="L548" i="4"/>
  <c r="L532" i="4"/>
  <c r="L516" i="4"/>
  <c r="L500" i="4"/>
  <c r="L484" i="4"/>
  <c r="L468" i="4"/>
  <c r="L452" i="4"/>
  <c r="L436" i="4"/>
  <c r="L420" i="4"/>
  <c r="L404" i="4"/>
  <c r="L388" i="4"/>
  <c r="L372" i="4"/>
  <c r="L356" i="4"/>
  <c r="L340" i="4"/>
  <c r="L332" i="4"/>
  <c r="L316" i="4"/>
  <c r="L300" i="4"/>
  <c r="L284" i="4"/>
  <c r="L268" i="4"/>
  <c r="L252" i="4"/>
  <c r="L244" i="4"/>
  <c r="L228" i="4"/>
  <c r="L212" i="4"/>
  <c r="L204" i="4"/>
  <c r="L188" i="4"/>
  <c r="L172" i="4"/>
  <c r="L156" i="4"/>
  <c r="L148" i="4"/>
  <c r="L132" i="4"/>
  <c r="L116" i="4"/>
  <c r="L100" i="4"/>
  <c r="L84" i="4"/>
  <c r="L68" i="4"/>
  <c r="L52" i="4"/>
  <c r="L28" i="4"/>
  <c r="L979" i="4"/>
  <c r="L971" i="4"/>
  <c r="L963" i="4"/>
  <c r="L955" i="4"/>
  <c r="L947" i="4"/>
  <c r="L939" i="4"/>
  <c r="L931" i="4"/>
  <c r="L923" i="4"/>
  <c r="L915" i="4"/>
  <c r="L907" i="4"/>
  <c r="L899" i="4"/>
  <c r="L891" i="4"/>
  <c r="L883" i="4"/>
  <c r="L875" i="4"/>
  <c r="L867" i="4"/>
  <c r="L859" i="4"/>
  <c r="L851" i="4"/>
  <c r="L843" i="4"/>
  <c r="L835" i="4"/>
  <c r="L827" i="4"/>
  <c r="L819" i="4"/>
  <c r="L811" i="4"/>
  <c r="L803" i="4"/>
  <c r="L795" i="4"/>
  <c r="L787" i="4"/>
  <c r="L779" i="4"/>
  <c r="L771" i="4"/>
  <c r="L763" i="4"/>
  <c r="L755" i="4"/>
  <c r="L747" i="4"/>
  <c r="L739" i="4"/>
  <c r="L731" i="4"/>
  <c r="L723" i="4"/>
  <c r="L715" i="4"/>
  <c r="L707" i="4"/>
  <c r="L699" i="4"/>
  <c r="L780" i="4"/>
  <c r="L764" i="4"/>
  <c r="L748" i="4"/>
  <c r="L732" i="4"/>
  <c r="L716" i="4"/>
  <c r="L700" i="4"/>
  <c r="L684" i="4"/>
  <c r="L668" i="4"/>
  <c r="L652" i="4"/>
  <c r="L636" i="4"/>
  <c r="L620" i="4"/>
  <c r="L604" i="4"/>
  <c r="L588" i="4"/>
  <c r="L572" i="4"/>
  <c r="L556" i="4"/>
  <c r="L540" i="4"/>
  <c r="L524" i="4"/>
  <c r="L508" i="4"/>
  <c r="L492" i="4"/>
  <c r="L476" i="4"/>
  <c r="L460" i="4"/>
  <c r="L444" i="4"/>
  <c r="L428" i="4"/>
  <c r="L412" i="4"/>
  <c r="L396" i="4"/>
  <c r="L380" i="4"/>
  <c r="L364" i="4"/>
  <c r="L348" i="4"/>
  <c r="L324" i="4"/>
  <c r="L308" i="4"/>
  <c r="L292" i="4"/>
  <c r="L276" i="4"/>
  <c r="L260" i="4"/>
  <c r="L236" i="4"/>
  <c r="L220" i="4"/>
  <c r="L196" i="4"/>
  <c r="L180" i="4"/>
  <c r="L164" i="4"/>
  <c r="L140" i="4"/>
  <c r="L124" i="4"/>
  <c r="L108" i="4"/>
  <c r="L92" i="4"/>
  <c r="L76" i="4"/>
  <c r="L60" i="4"/>
  <c r="L44" i="4"/>
  <c r="L36" i="4"/>
  <c r="L978" i="4"/>
  <c r="L970" i="4"/>
  <c r="L962" i="4"/>
  <c r="L954" i="4"/>
  <c r="L946" i="4"/>
  <c r="L938" i="4"/>
  <c r="L930" i="4"/>
  <c r="L922" i="4"/>
  <c r="L914" i="4"/>
  <c r="L906" i="4"/>
  <c r="L898" i="4"/>
  <c r="L890" i="4"/>
  <c r="L882" i="4"/>
  <c r="L874" i="4"/>
  <c r="L866" i="4"/>
  <c r="L858" i="4"/>
  <c r="L850" i="4"/>
  <c r="L842" i="4"/>
  <c r="L834" i="4"/>
  <c r="L826" i="4"/>
  <c r="L818" i="4"/>
  <c r="L810" i="4"/>
  <c r="L802" i="4"/>
  <c r="L794" i="4"/>
  <c r="L786" i="4"/>
  <c r="L778" i="4"/>
  <c r="L770" i="4"/>
  <c r="L762" i="4"/>
  <c r="L754" i="4"/>
  <c r="L746" i="4"/>
  <c r="L738" i="4"/>
  <c r="L730" i="4"/>
  <c r="L722" i="4"/>
  <c r="L714" i="4"/>
  <c r="L706" i="4"/>
  <c r="L698" i="4"/>
  <c r="L977" i="4"/>
  <c r="L969" i="4"/>
  <c r="L961" i="4"/>
  <c r="L953" i="4"/>
  <c r="L945" i="4"/>
  <c r="L937" i="4"/>
  <c r="L929" i="4"/>
  <c r="L921" i="4"/>
  <c r="L913" i="4"/>
  <c r="L905" i="4"/>
  <c r="L897" i="4"/>
  <c r="L889" i="4"/>
  <c r="L881" i="4"/>
  <c r="L873" i="4"/>
  <c r="L865" i="4"/>
  <c r="L857" i="4"/>
  <c r="L849" i="4"/>
  <c r="L841" i="4"/>
  <c r="L833" i="4"/>
  <c r="L825" i="4"/>
  <c r="L817" i="4"/>
  <c r="L809" i="4"/>
  <c r="L801" i="4"/>
  <c r="L793" i="4"/>
  <c r="L785" i="4"/>
  <c r="L777" i="4"/>
  <c r="L769" i="4"/>
  <c r="L761" i="4"/>
  <c r="L753" i="4"/>
  <c r="L745" i="4"/>
  <c r="L737" i="4"/>
  <c r="L729" i="4"/>
  <c r="L721" i="4"/>
  <c r="L713" i="4"/>
  <c r="L705" i="4"/>
  <c r="L697" i="4"/>
  <c r="L694" i="4"/>
  <c r="L686" i="4"/>
  <c r="L678" i="4"/>
  <c r="L670" i="4"/>
  <c r="L662" i="4"/>
  <c r="L654" i="4"/>
  <c r="L646" i="4"/>
  <c r="L638" i="4"/>
  <c r="L630" i="4"/>
  <c r="L622" i="4"/>
  <c r="L614" i="4"/>
  <c r="L606" i="4"/>
  <c r="L598" i="4"/>
  <c r="L590" i="4"/>
  <c r="L582" i="4"/>
  <c r="L574" i="4"/>
  <c r="L566" i="4"/>
  <c r="L558" i="4"/>
  <c r="L550" i="4"/>
  <c r="L542" i="4"/>
  <c r="L534" i="4"/>
  <c r="L526" i="4"/>
  <c r="L518" i="4"/>
  <c r="L510" i="4"/>
  <c r="L502" i="4"/>
  <c r="L494" i="4"/>
  <c r="L486" i="4"/>
  <c r="L478" i="4"/>
  <c r="L470" i="4"/>
  <c r="L462" i="4"/>
  <c r="L454" i="4"/>
  <c r="L446" i="4"/>
  <c r="L438" i="4"/>
  <c r="L430" i="4"/>
  <c r="L422" i="4"/>
  <c r="L414" i="4"/>
  <c r="L406" i="4"/>
  <c r="L398" i="4"/>
  <c r="L390" i="4"/>
  <c r="L382" i="4"/>
  <c r="L374" i="4"/>
  <c r="L366" i="4"/>
  <c r="L358" i="4"/>
  <c r="L350" i="4"/>
  <c r="L342" i="4"/>
  <c r="L334" i="4"/>
  <c r="L326" i="4"/>
  <c r="L318" i="4"/>
  <c r="L310" i="4"/>
  <c r="L302" i="4"/>
  <c r="L294" i="4"/>
  <c r="L286" i="4"/>
  <c r="L278" i="4"/>
  <c r="L270" i="4"/>
  <c r="L262" i="4"/>
  <c r="L254" i="4"/>
  <c r="L246" i="4"/>
  <c r="L238" i="4"/>
  <c r="L230" i="4"/>
  <c r="L222" i="4"/>
  <c r="L214" i="4"/>
  <c r="L206" i="4"/>
  <c r="L198" i="4"/>
  <c r="L190" i="4"/>
  <c r="L182" i="4"/>
  <c r="L174" i="4"/>
  <c r="L166" i="4"/>
  <c r="L158" i="4"/>
  <c r="L150" i="4"/>
  <c r="L142" i="4"/>
  <c r="L134" i="4"/>
  <c r="L126" i="4"/>
  <c r="L118" i="4"/>
  <c r="L110" i="4"/>
  <c r="L102" i="4"/>
  <c r="L94" i="4"/>
  <c r="L86" i="4"/>
  <c r="L78" i="4"/>
  <c r="L70" i="4"/>
  <c r="L62" i="4"/>
  <c r="L54" i="4"/>
  <c r="L46" i="4"/>
  <c r="L38" i="4"/>
  <c r="L30" i="4"/>
  <c r="L22" i="4"/>
  <c r="L691" i="4"/>
  <c r="L683" i="4"/>
  <c r="L675" i="4"/>
  <c r="L667" i="4"/>
  <c r="L659" i="4"/>
  <c r="L651" i="4"/>
  <c r="L643" i="4"/>
  <c r="L635" i="4"/>
  <c r="L627" i="4"/>
  <c r="L619" i="4"/>
  <c r="L611" i="4"/>
  <c r="L603" i="4"/>
  <c r="L595" i="4"/>
  <c r="L587" i="4"/>
  <c r="L579" i="4"/>
  <c r="L571" i="4"/>
  <c r="L563" i="4"/>
  <c r="L555" i="4"/>
  <c r="L547" i="4"/>
  <c r="L539" i="4"/>
  <c r="L531" i="4"/>
  <c r="L523" i="4"/>
  <c r="L515" i="4"/>
  <c r="L507" i="4"/>
  <c r="L499" i="4"/>
  <c r="L491" i="4"/>
  <c r="L483" i="4"/>
  <c r="L475" i="4"/>
  <c r="L467" i="4"/>
  <c r="L459" i="4"/>
  <c r="L451" i="4"/>
  <c r="L443" i="4"/>
  <c r="L435" i="4"/>
  <c r="L427" i="4"/>
  <c r="L419" i="4"/>
  <c r="L411" i="4"/>
  <c r="L403" i="4"/>
  <c r="L395" i="4"/>
  <c r="L387" i="4"/>
  <c r="L379" i="4"/>
  <c r="L371" i="4"/>
  <c r="L363" i="4"/>
  <c r="L355" i="4"/>
  <c r="L347" i="4"/>
  <c r="L339" i="4"/>
  <c r="L331" i="4"/>
  <c r="L323" i="4"/>
  <c r="L315" i="4"/>
  <c r="L307" i="4"/>
  <c r="L299" i="4"/>
  <c r="L291" i="4"/>
  <c r="L283" i="4"/>
  <c r="L275" i="4"/>
  <c r="L267" i="4"/>
  <c r="L259" i="4"/>
  <c r="L251" i="4"/>
  <c r="L243" i="4"/>
  <c r="L235" i="4"/>
  <c r="L227" i="4"/>
  <c r="L219" i="4"/>
  <c r="L211" i="4"/>
  <c r="L203" i="4"/>
  <c r="L195" i="4"/>
  <c r="L187" i="4"/>
  <c r="L179" i="4"/>
  <c r="L171" i="4"/>
  <c r="L163" i="4"/>
  <c r="L155" i="4"/>
  <c r="L147" i="4"/>
  <c r="L139" i="4"/>
  <c r="L131" i="4"/>
  <c r="L123" i="4"/>
  <c r="L115" i="4"/>
  <c r="L107" i="4"/>
  <c r="L99" i="4"/>
  <c r="L91" i="4"/>
  <c r="L83" i="4"/>
  <c r="L75" i="4"/>
  <c r="L67" i="4"/>
  <c r="L59" i="4"/>
  <c r="L51" i="4"/>
  <c r="L43" i="4"/>
  <c r="L35" i="4"/>
  <c r="L27" i="4"/>
  <c r="L19" i="4"/>
  <c r="L690" i="4"/>
  <c r="L682" i="4"/>
  <c r="L674" i="4"/>
  <c r="L666" i="4"/>
  <c r="L658" i="4"/>
  <c r="L650" i="4"/>
  <c r="L642" i="4"/>
  <c r="L634" i="4"/>
  <c r="L626" i="4"/>
  <c r="L618" i="4"/>
  <c r="L610" i="4"/>
  <c r="L602" i="4"/>
  <c r="L594" i="4"/>
  <c r="L586" i="4"/>
  <c r="L578" i="4"/>
  <c r="L570" i="4"/>
  <c r="L562" i="4"/>
  <c r="L554" i="4"/>
  <c r="L546" i="4"/>
  <c r="L538" i="4"/>
  <c r="L530" i="4"/>
  <c r="L522" i="4"/>
  <c r="L514" i="4"/>
  <c r="L506" i="4"/>
  <c r="L498" i="4"/>
  <c r="L490" i="4"/>
  <c r="L482" i="4"/>
  <c r="L474" i="4"/>
  <c r="L466" i="4"/>
  <c r="L458" i="4"/>
  <c r="L450" i="4"/>
  <c r="L442" i="4"/>
  <c r="L434" i="4"/>
  <c r="L426" i="4"/>
  <c r="L418" i="4"/>
  <c r="L410" i="4"/>
  <c r="L402" i="4"/>
  <c r="L394" i="4"/>
  <c r="L386" i="4"/>
  <c r="L378" i="4"/>
  <c r="L370" i="4"/>
  <c r="L362" i="4"/>
  <c r="L354" i="4"/>
  <c r="L346" i="4"/>
  <c r="L338" i="4"/>
  <c r="L330" i="4"/>
  <c r="L322" i="4"/>
  <c r="L314" i="4"/>
  <c r="L306" i="4"/>
  <c r="L298" i="4"/>
  <c r="L290" i="4"/>
  <c r="L282" i="4"/>
  <c r="L274" i="4"/>
  <c r="L266" i="4"/>
  <c r="L258" i="4"/>
  <c r="L250" i="4"/>
  <c r="L242" i="4"/>
  <c r="L234" i="4"/>
  <c r="L226" i="4"/>
  <c r="L218" i="4"/>
  <c r="L210" i="4"/>
  <c r="L202" i="4"/>
  <c r="L194" i="4"/>
  <c r="L186" i="4"/>
  <c r="L178" i="4"/>
  <c r="L170" i="4"/>
  <c r="L162" i="4"/>
  <c r="L154" i="4"/>
  <c r="L146" i="4"/>
  <c r="L138" i="4"/>
  <c r="L130" i="4"/>
  <c r="L122" i="4"/>
  <c r="L114" i="4"/>
  <c r="L106" i="4"/>
  <c r="L98" i="4"/>
  <c r="L90" i="4"/>
  <c r="L82" i="4"/>
  <c r="L74" i="4"/>
  <c r="L66" i="4"/>
  <c r="L58" i="4"/>
  <c r="L50" i="4"/>
  <c r="L42" i="4"/>
  <c r="L34" i="4"/>
  <c r="L26" i="4"/>
  <c r="L18" i="4"/>
  <c r="L689" i="4"/>
  <c r="L681" i="4"/>
  <c r="L673" i="4"/>
  <c r="L665" i="4"/>
  <c r="L657" i="4"/>
  <c r="L649" i="4"/>
  <c r="L641" i="4"/>
  <c r="L633" i="4"/>
  <c r="L625" i="4"/>
  <c r="L617" i="4"/>
  <c r="L609" i="4"/>
  <c r="L601" i="4"/>
  <c r="L593" i="4"/>
  <c r="L585" i="4"/>
  <c r="L577" i="4"/>
  <c r="L569" i="4"/>
  <c r="L561" i="4"/>
  <c r="L553" i="4"/>
  <c r="L545" i="4"/>
  <c r="L537" i="4"/>
  <c r="L529" i="4"/>
  <c r="L521" i="4"/>
  <c r="L513" i="4"/>
  <c r="L505" i="4"/>
  <c r="L497" i="4"/>
  <c r="L489" i="4"/>
  <c r="L481" i="4"/>
  <c r="L473" i="4"/>
  <c r="L465" i="4"/>
  <c r="L457" i="4"/>
  <c r="L449" i="4"/>
  <c r="L441" i="4"/>
  <c r="L433" i="4"/>
  <c r="L425" i="4"/>
  <c r="L417" i="4"/>
  <c r="L409" i="4"/>
  <c r="L401" i="4"/>
  <c r="L393" i="4"/>
  <c r="L385" i="4"/>
  <c r="L377" i="4"/>
  <c r="L369" i="4"/>
  <c r="L361" i="4"/>
  <c r="L353" i="4"/>
  <c r="L345" i="4"/>
  <c r="L337" i="4"/>
  <c r="L329" i="4"/>
  <c r="L321" i="4"/>
  <c r="L313" i="4"/>
  <c r="L305" i="4"/>
  <c r="L297" i="4"/>
  <c r="L289" i="4"/>
  <c r="L281" i="4"/>
  <c r="L273" i="4"/>
  <c r="L265" i="4"/>
  <c r="L257" i="4"/>
  <c r="L249" i="4"/>
  <c r="L241" i="4"/>
  <c r="L233" i="4"/>
  <c r="L225" i="4"/>
  <c r="L217" i="4"/>
  <c r="L209" i="4"/>
  <c r="L201" i="4"/>
  <c r="L193" i="4"/>
  <c r="L185" i="4"/>
  <c r="L177" i="4"/>
  <c r="L169" i="4"/>
  <c r="L161" i="4"/>
  <c r="L153" i="4"/>
  <c r="L145" i="4"/>
  <c r="L137" i="4"/>
  <c r="L129" i="4"/>
  <c r="L121" i="4"/>
  <c r="L113" i="4"/>
  <c r="L105" i="4"/>
  <c r="L97" i="4"/>
  <c r="L89" i="4"/>
  <c r="L81" i="4"/>
  <c r="L73" i="4"/>
  <c r="L65" i="4"/>
  <c r="L57" i="4"/>
  <c r="L49" i="4"/>
  <c r="L41" i="4"/>
  <c r="L33" i="4"/>
  <c r="L25" i="4"/>
  <c r="L17" i="4"/>
  <c r="O16" i="4"/>
  <c r="O17" i="4" s="1"/>
  <c r="O18" i="4" s="1"/>
  <c r="O19" i="4" s="1"/>
  <c r="O20" i="4" s="1"/>
  <c r="O21" i="4" s="1"/>
  <c r="O22" i="4" s="1"/>
  <c r="O23" i="4" s="1"/>
  <c r="O24" i="4" s="1"/>
  <c r="O25" i="4" s="1"/>
  <c r="O26" i="4" s="1"/>
  <c r="O27" i="4" s="1"/>
  <c r="O28" i="4" s="1"/>
  <c r="O29" i="4" s="1"/>
  <c r="O30" i="4" s="1"/>
  <c r="O31" i="4" s="1"/>
  <c r="O32" i="4" s="1"/>
  <c r="O33" i="4" s="1"/>
  <c r="O34" i="4" s="1"/>
  <c r="O35" i="4" s="1"/>
  <c r="O36" i="4" s="1"/>
  <c r="O37" i="4" s="1"/>
  <c r="O38" i="4" s="1"/>
  <c r="O39" i="4" s="1"/>
  <c r="O40" i="4" s="1"/>
  <c r="O41" i="4" s="1"/>
  <c r="O42" i="4" s="1"/>
  <c r="O43" i="4" s="1"/>
  <c r="O44" i="4" s="1"/>
  <c r="O45" i="4" s="1"/>
  <c r="O46" i="4" s="1"/>
  <c r="O47" i="4" s="1"/>
  <c r="O48" i="4" s="1"/>
  <c r="O49" i="4" s="1"/>
  <c r="O50" i="4" s="1"/>
  <c r="O51" i="4" s="1"/>
  <c r="O52" i="4" s="1"/>
  <c r="O53" i="4" s="1"/>
  <c r="O54" i="4" s="1"/>
  <c r="O55" i="4" s="1"/>
  <c r="O56" i="4" s="1"/>
  <c r="O57" i="4" s="1"/>
  <c r="O58" i="4" s="1"/>
  <c r="O59" i="4" s="1"/>
  <c r="O60" i="4" s="1"/>
  <c r="O61" i="4" s="1"/>
  <c r="O62" i="4" s="1"/>
  <c r="O63" i="4" s="1"/>
  <c r="O64" i="4" s="1"/>
  <c r="O65" i="4" s="1"/>
  <c r="O66" i="4" s="1"/>
  <c r="O67" i="4" s="1"/>
  <c r="O68" i="4" s="1"/>
  <c r="O69" i="4" s="1"/>
  <c r="O70" i="4" s="1"/>
  <c r="O71" i="4" s="1"/>
  <c r="O72" i="4" s="1"/>
  <c r="O73" i="4" s="1"/>
  <c r="O74" i="4" s="1"/>
  <c r="O75" i="4" s="1"/>
  <c r="O76" i="4" s="1"/>
  <c r="O77" i="4" s="1"/>
  <c r="O78" i="4" s="1"/>
  <c r="O79" i="4" s="1"/>
  <c r="O80" i="4" s="1"/>
  <c r="O81" i="4" s="1"/>
  <c r="O82" i="4" s="1"/>
  <c r="O83" i="4" s="1"/>
  <c r="O84" i="4" s="1"/>
  <c r="O85" i="4" s="1"/>
  <c r="O86" i="4" s="1"/>
  <c r="O87" i="4" s="1"/>
  <c r="O88" i="4" s="1"/>
  <c r="O89" i="4" s="1"/>
  <c r="O90" i="4" s="1"/>
  <c r="O91" i="4" s="1"/>
  <c r="O92" i="4" s="1"/>
  <c r="O93" i="4" s="1"/>
  <c r="O94" i="4" s="1"/>
  <c r="O95" i="4" s="1"/>
  <c r="O96" i="4" s="1"/>
  <c r="O97" i="4" s="1"/>
  <c r="O98" i="4" s="1"/>
  <c r="O99" i="4" s="1"/>
  <c r="O100" i="4" s="1"/>
  <c r="O101" i="4" s="1"/>
  <c r="O102" i="4" s="1"/>
  <c r="O103" i="4" s="1"/>
  <c r="O104" i="4" s="1"/>
  <c r="O105" i="4" s="1"/>
  <c r="O106" i="4" s="1"/>
  <c r="O107" i="4" s="1"/>
  <c r="O108" i="4" s="1"/>
  <c r="O109" i="4" s="1"/>
  <c r="O110" i="4" s="1"/>
  <c r="O111" i="4" s="1"/>
  <c r="O112" i="4" s="1"/>
  <c r="O113" i="4" s="1"/>
  <c r="O114" i="4" s="1"/>
  <c r="O115" i="4" s="1"/>
  <c r="O116" i="4" s="1"/>
  <c r="O117" i="4" s="1"/>
  <c r="O118" i="4" s="1"/>
  <c r="O119" i="4" s="1"/>
  <c r="O120" i="4" s="1"/>
  <c r="O121" i="4" s="1"/>
  <c r="O122" i="4" s="1"/>
  <c r="O123" i="4" s="1"/>
  <c r="O124" i="4" s="1"/>
  <c r="O125" i="4" s="1"/>
  <c r="O126" i="4" s="1"/>
  <c r="O127" i="4" s="1"/>
  <c r="O128" i="4" s="1"/>
  <c r="O129" i="4" s="1"/>
  <c r="O130" i="4" s="1"/>
  <c r="O131" i="4" s="1"/>
  <c r="O132" i="4" s="1"/>
  <c r="O133" i="4" s="1"/>
  <c r="O134" i="4" s="1"/>
  <c r="O135" i="4" s="1"/>
  <c r="O136" i="4" s="1"/>
  <c r="O137" i="4" s="1"/>
  <c r="O138" i="4" s="1"/>
  <c r="O139" i="4" s="1"/>
  <c r="O140" i="4" s="1"/>
  <c r="O141" i="4" s="1"/>
  <c r="O142" i="4" s="1"/>
  <c r="O143" i="4" s="1"/>
  <c r="O144" i="4" s="1"/>
  <c r="O145" i="4" s="1"/>
  <c r="O146" i="4" s="1"/>
  <c r="O147" i="4" s="1"/>
  <c r="O148" i="4" s="1"/>
  <c r="O149" i="4" s="1"/>
  <c r="O150" i="4" s="1"/>
  <c r="O151" i="4" s="1"/>
  <c r="O152" i="4" s="1"/>
  <c r="O153" i="4" s="1"/>
  <c r="O154" i="4" s="1"/>
  <c r="O155" i="4" s="1"/>
  <c r="O156" i="4" s="1"/>
  <c r="O157" i="4" s="1"/>
  <c r="O158" i="4" s="1"/>
  <c r="O159" i="4" s="1"/>
  <c r="O160" i="4" s="1"/>
  <c r="O161" i="4" s="1"/>
  <c r="O162" i="4" s="1"/>
  <c r="O163" i="4" s="1"/>
  <c r="O164" i="4" s="1"/>
  <c r="O165" i="4" s="1"/>
  <c r="O166" i="4" s="1"/>
  <c r="O167" i="4" s="1"/>
  <c r="O168" i="4" s="1"/>
  <c r="O169" i="4" s="1"/>
  <c r="O170" i="4" s="1"/>
  <c r="O171" i="4" s="1"/>
  <c r="O172" i="4" s="1"/>
  <c r="O173" i="4" s="1"/>
  <c r="O174" i="4" s="1"/>
  <c r="O175" i="4" s="1"/>
  <c r="O176" i="4" s="1"/>
  <c r="O177" i="4" s="1"/>
  <c r="O178" i="4" s="1"/>
  <c r="O179" i="4" s="1"/>
  <c r="O180" i="4" s="1"/>
  <c r="O181" i="4" s="1"/>
  <c r="O182" i="4" s="1"/>
  <c r="O183" i="4" s="1"/>
  <c r="O184" i="4" s="1"/>
  <c r="O185" i="4" s="1"/>
  <c r="O186" i="4" s="1"/>
  <c r="O187" i="4" s="1"/>
  <c r="O188" i="4" s="1"/>
  <c r="O189" i="4" s="1"/>
  <c r="O190" i="4" s="1"/>
  <c r="O191" i="4" s="1"/>
  <c r="O192" i="4" s="1"/>
  <c r="O193" i="4" s="1"/>
  <c r="O194" i="4" s="1"/>
  <c r="O195" i="4" s="1"/>
  <c r="O196" i="4" s="1"/>
  <c r="O197" i="4" s="1"/>
  <c r="O198" i="4" s="1"/>
  <c r="O199" i="4" s="1"/>
  <c r="O200" i="4" s="1"/>
  <c r="O201" i="4" s="1"/>
  <c r="O202" i="4" s="1"/>
  <c r="O203" i="4" s="1"/>
  <c r="O204" i="4" s="1"/>
  <c r="O205" i="4" s="1"/>
  <c r="O206" i="4" s="1"/>
  <c r="O207" i="4" s="1"/>
  <c r="O208" i="4" s="1"/>
  <c r="O209" i="4" s="1"/>
  <c r="O210" i="4" s="1"/>
  <c r="O211" i="4" s="1"/>
  <c r="O212" i="4" s="1"/>
  <c r="O213" i="4" s="1"/>
  <c r="O214" i="4" s="1"/>
  <c r="O215" i="4" s="1"/>
  <c r="O216" i="4" s="1"/>
  <c r="O217" i="4" s="1"/>
  <c r="O218" i="4" s="1"/>
  <c r="O219" i="4" s="1"/>
  <c r="O220" i="4" s="1"/>
  <c r="O221" i="4" s="1"/>
  <c r="O222" i="4" s="1"/>
  <c r="O223" i="4" s="1"/>
  <c r="O224" i="4" s="1"/>
  <c r="O225" i="4" s="1"/>
  <c r="O226" i="4" s="1"/>
  <c r="O227" i="4" s="1"/>
  <c r="O228" i="4" s="1"/>
  <c r="O229" i="4" s="1"/>
  <c r="O230" i="4" s="1"/>
  <c r="O231" i="4" s="1"/>
  <c r="O232" i="4" s="1"/>
  <c r="O233" i="4" s="1"/>
  <c r="O234" i="4" s="1"/>
  <c r="O235" i="4" s="1"/>
  <c r="O236" i="4" s="1"/>
  <c r="O237" i="4" s="1"/>
  <c r="O238" i="4" s="1"/>
  <c r="O239" i="4" s="1"/>
  <c r="O240" i="4" s="1"/>
  <c r="O241" i="4" s="1"/>
  <c r="O242" i="4" s="1"/>
  <c r="O243" i="4" s="1"/>
  <c r="O244" i="4" s="1"/>
  <c r="O245" i="4" s="1"/>
  <c r="O246" i="4" s="1"/>
  <c r="O247" i="4" s="1"/>
  <c r="O248" i="4" s="1"/>
  <c r="O249" i="4" s="1"/>
  <c r="O250" i="4" s="1"/>
  <c r="O251" i="4" s="1"/>
  <c r="O252" i="4" s="1"/>
  <c r="O253" i="4" s="1"/>
  <c r="O254" i="4" s="1"/>
  <c r="O255" i="4" s="1"/>
  <c r="O256" i="4" s="1"/>
  <c r="O257" i="4" s="1"/>
  <c r="O258" i="4" s="1"/>
  <c r="O259" i="4" s="1"/>
  <c r="O260" i="4" s="1"/>
  <c r="O261" i="4" s="1"/>
  <c r="O262" i="4" s="1"/>
  <c r="O263" i="4" s="1"/>
  <c r="O264" i="4" s="1"/>
  <c r="O265" i="4" s="1"/>
  <c r="O266" i="4" s="1"/>
  <c r="O267" i="4" s="1"/>
  <c r="O268" i="4" s="1"/>
  <c r="O269" i="4" s="1"/>
  <c r="O270" i="4" s="1"/>
  <c r="O271" i="4" s="1"/>
  <c r="O272" i="4" s="1"/>
  <c r="O273" i="4" s="1"/>
  <c r="O274" i="4" s="1"/>
  <c r="O275" i="4" s="1"/>
  <c r="O276" i="4" s="1"/>
  <c r="O277" i="4" s="1"/>
  <c r="O278" i="4" s="1"/>
  <c r="O279" i="4" s="1"/>
  <c r="O280" i="4" s="1"/>
  <c r="O281" i="4" s="1"/>
  <c r="O282" i="4" s="1"/>
  <c r="O283" i="4" s="1"/>
  <c r="O284" i="4" s="1"/>
  <c r="O285" i="4" s="1"/>
  <c r="O286" i="4" s="1"/>
  <c r="O287" i="4" s="1"/>
  <c r="O288" i="4" s="1"/>
  <c r="O289" i="4" s="1"/>
  <c r="O290" i="4" s="1"/>
  <c r="O291" i="4" s="1"/>
  <c r="O292" i="4" s="1"/>
  <c r="O293" i="4" s="1"/>
  <c r="O294" i="4" s="1"/>
  <c r="O295" i="4" s="1"/>
  <c r="O296" i="4" s="1"/>
  <c r="O297" i="4" s="1"/>
  <c r="O298" i="4" s="1"/>
  <c r="O299" i="4" s="1"/>
  <c r="O300" i="4" s="1"/>
  <c r="O301" i="4" s="1"/>
  <c r="O302" i="4" s="1"/>
  <c r="O303" i="4" s="1"/>
  <c r="O304" i="4" s="1"/>
  <c r="O305" i="4" s="1"/>
  <c r="O306" i="4" s="1"/>
  <c r="O307" i="4" s="1"/>
  <c r="O308" i="4" s="1"/>
  <c r="O309" i="4" s="1"/>
  <c r="O310" i="4" s="1"/>
  <c r="O311" i="4" s="1"/>
  <c r="O312" i="4" s="1"/>
  <c r="O313" i="4" s="1"/>
  <c r="O314" i="4" s="1"/>
  <c r="O315" i="4" s="1"/>
  <c r="O316" i="4" s="1"/>
  <c r="O317" i="4" s="1"/>
  <c r="O318" i="4" s="1"/>
  <c r="O319" i="4" s="1"/>
  <c r="O320" i="4" s="1"/>
  <c r="O321" i="4" s="1"/>
  <c r="O322" i="4" s="1"/>
  <c r="O323" i="4" s="1"/>
  <c r="O324" i="4" s="1"/>
  <c r="O325" i="4" s="1"/>
  <c r="O326" i="4" s="1"/>
  <c r="O327" i="4" s="1"/>
  <c r="O328" i="4" s="1"/>
  <c r="O329" i="4" s="1"/>
  <c r="O330" i="4" s="1"/>
  <c r="O331" i="4" s="1"/>
  <c r="O332" i="4" s="1"/>
  <c r="O333" i="4" s="1"/>
  <c r="O334" i="4" s="1"/>
  <c r="O335" i="4" s="1"/>
  <c r="O336" i="4" s="1"/>
  <c r="O337" i="4" s="1"/>
  <c r="O338" i="4" s="1"/>
  <c r="O339" i="4" s="1"/>
  <c r="O340" i="4" s="1"/>
  <c r="O341" i="4" s="1"/>
  <c r="O342" i="4" s="1"/>
  <c r="O343" i="4" s="1"/>
  <c r="O344" i="4" s="1"/>
  <c r="O345" i="4" s="1"/>
  <c r="O346" i="4" s="1"/>
  <c r="O347" i="4" s="1"/>
  <c r="O348" i="4" s="1"/>
  <c r="O349" i="4" s="1"/>
  <c r="O350" i="4" s="1"/>
  <c r="O351" i="4" s="1"/>
  <c r="O352" i="4" s="1"/>
  <c r="O353" i="4" s="1"/>
  <c r="O354" i="4" s="1"/>
  <c r="O355" i="4" s="1"/>
  <c r="O356" i="4" s="1"/>
  <c r="O357" i="4" s="1"/>
  <c r="O358" i="4" s="1"/>
  <c r="O359" i="4" s="1"/>
  <c r="O360" i="4" s="1"/>
  <c r="O361" i="4" s="1"/>
  <c r="O362" i="4" s="1"/>
  <c r="O363" i="4" s="1"/>
  <c r="O364" i="4" s="1"/>
  <c r="O365" i="4" s="1"/>
  <c r="O366" i="4" s="1"/>
  <c r="O367" i="4" s="1"/>
  <c r="O368" i="4" s="1"/>
  <c r="O369" i="4" s="1"/>
  <c r="O370" i="4" s="1"/>
  <c r="O371" i="4" s="1"/>
  <c r="O372" i="4" s="1"/>
  <c r="O373" i="4" s="1"/>
  <c r="O374" i="4" s="1"/>
  <c r="O375" i="4" s="1"/>
  <c r="O376" i="4" s="1"/>
  <c r="O377" i="4" s="1"/>
  <c r="O378" i="4" s="1"/>
  <c r="O379" i="4" s="1"/>
  <c r="O380" i="4" s="1"/>
  <c r="O381" i="4" s="1"/>
  <c r="O382" i="4" s="1"/>
  <c r="O383" i="4" s="1"/>
  <c r="O384" i="4" s="1"/>
  <c r="O385" i="4" s="1"/>
  <c r="O386" i="4" s="1"/>
  <c r="O387" i="4" s="1"/>
  <c r="O388" i="4" s="1"/>
  <c r="O389" i="4" s="1"/>
  <c r="O390" i="4" s="1"/>
  <c r="O391" i="4" s="1"/>
  <c r="O392" i="4" s="1"/>
  <c r="O393" i="4" s="1"/>
  <c r="O394" i="4" s="1"/>
  <c r="O395" i="4" s="1"/>
  <c r="O396" i="4" s="1"/>
  <c r="O397" i="4" s="1"/>
  <c r="O398" i="4" s="1"/>
  <c r="O399" i="4" s="1"/>
  <c r="O400" i="4" s="1"/>
  <c r="O401" i="4" s="1"/>
  <c r="O402" i="4" s="1"/>
  <c r="O403" i="4" s="1"/>
  <c r="O404" i="4" s="1"/>
  <c r="O405" i="4" s="1"/>
  <c r="O406" i="4" s="1"/>
  <c r="O407" i="4" s="1"/>
  <c r="O408" i="4" s="1"/>
  <c r="O409" i="4" s="1"/>
  <c r="O410" i="4" s="1"/>
  <c r="O411" i="4" s="1"/>
  <c r="O412" i="4" s="1"/>
  <c r="O413" i="4" s="1"/>
  <c r="O414" i="4" s="1"/>
  <c r="O415" i="4" s="1"/>
  <c r="O416" i="4" s="1"/>
  <c r="O417" i="4" s="1"/>
  <c r="O418" i="4" s="1"/>
  <c r="O419" i="4" s="1"/>
  <c r="O420" i="4" s="1"/>
  <c r="O421" i="4" s="1"/>
  <c r="O422" i="4" s="1"/>
  <c r="O423" i="4" s="1"/>
  <c r="O424" i="4" s="1"/>
  <c r="O425" i="4" s="1"/>
  <c r="O426" i="4" s="1"/>
  <c r="O427" i="4" s="1"/>
  <c r="O428" i="4" s="1"/>
  <c r="O429" i="4" s="1"/>
  <c r="O430" i="4" s="1"/>
  <c r="O431" i="4" s="1"/>
  <c r="O432" i="4" s="1"/>
  <c r="O433" i="4" s="1"/>
  <c r="O434" i="4" s="1"/>
  <c r="O435" i="4" s="1"/>
  <c r="O436" i="4" s="1"/>
  <c r="O437" i="4" s="1"/>
  <c r="O438" i="4" s="1"/>
  <c r="O439" i="4" s="1"/>
  <c r="O440" i="4" s="1"/>
  <c r="O441" i="4" s="1"/>
  <c r="O442" i="4" s="1"/>
  <c r="O443" i="4" s="1"/>
  <c r="O444" i="4" s="1"/>
  <c r="O445" i="4" s="1"/>
  <c r="O446" i="4" s="1"/>
  <c r="O447" i="4" s="1"/>
  <c r="O448" i="4" s="1"/>
  <c r="O449" i="4" s="1"/>
  <c r="O450" i="4" s="1"/>
  <c r="O451" i="4" s="1"/>
  <c r="O452" i="4" s="1"/>
  <c r="O453" i="4" s="1"/>
  <c r="O454" i="4" s="1"/>
  <c r="O455" i="4" s="1"/>
  <c r="O456" i="4" s="1"/>
  <c r="O457" i="4" s="1"/>
  <c r="O458" i="4" s="1"/>
  <c r="O459" i="4" s="1"/>
  <c r="O460" i="4" s="1"/>
  <c r="O461" i="4" s="1"/>
  <c r="O462" i="4" s="1"/>
  <c r="O463" i="4" s="1"/>
  <c r="O464" i="4" s="1"/>
  <c r="O465" i="4" s="1"/>
  <c r="O466" i="4" s="1"/>
  <c r="O467" i="4" s="1"/>
  <c r="O468" i="4" s="1"/>
  <c r="O469" i="4" s="1"/>
  <c r="O470" i="4" s="1"/>
  <c r="O471" i="4" s="1"/>
  <c r="O472" i="4" s="1"/>
  <c r="O473" i="4" s="1"/>
  <c r="O474" i="4" s="1"/>
  <c r="O475" i="4" s="1"/>
  <c r="O476" i="4" s="1"/>
  <c r="O477" i="4" s="1"/>
  <c r="O478" i="4" s="1"/>
  <c r="O479" i="4" s="1"/>
  <c r="O480" i="4" s="1"/>
  <c r="O481" i="4" s="1"/>
  <c r="O482" i="4" s="1"/>
  <c r="O483" i="4" s="1"/>
  <c r="O484" i="4" s="1"/>
  <c r="O485" i="4" s="1"/>
  <c r="O486" i="4" s="1"/>
  <c r="O487" i="4" s="1"/>
  <c r="O488" i="4" s="1"/>
  <c r="O489" i="4" s="1"/>
  <c r="O490" i="4" s="1"/>
  <c r="O491" i="4" s="1"/>
  <c r="O492" i="4" s="1"/>
  <c r="O493" i="4" s="1"/>
  <c r="O494" i="4" s="1"/>
  <c r="O495" i="4" s="1"/>
  <c r="O496" i="4" s="1"/>
  <c r="O497" i="4" s="1"/>
  <c r="O498" i="4" s="1"/>
  <c r="O499" i="4" s="1"/>
  <c r="O500" i="4" s="1"/>
  <c r="O501" i="4" s="1"/>
  <c r="O502" i="4" s="1"/>
  <c r="O503" i="4" s="1"/>
  <c r="O504" i="4" s="1"/>
  <c r="O505" i="4" s="1"/>
  <c r="O506" i="4" s="1"/>
  <c r="O507" i="4" s="1"/>
  <c r="O508" i="4" s="1"/>
  <c r="O509" i="4" s="1"/>
  <c r="O510" i="4" s="1"/>
  <c r="O511" i="4" s="1"/>
  <c r="O512" i="4" s="1"/>
  <c r="O513" i="4" s="1"/>
  <c r="O514" i="4" s="1"/>
  <c r="O515" i="4" s="1"/>
  <c r="O516" i="4" s="1"/>
  <c r="O517" i="4" s="1"/>
  <c r="O518" i="4" s="1"/>
  <c r="O519" i="4" s="1"/>
  <c r="O520" i="4" s="1"/>
  <c r="O521" i="4" s="1"/>
  <c r="O522" i="4" s="1"/>
  <c r="O523" i="4" s="1"/>
  <c r="O524" i="4" s="1"/>
  <c r="O525" i="4" s="1"/>
  <c r="O526" i="4" s="1"/>
  <c r="O527" i="4" s="1"/>
  <c r="O528" i="4" s="1"/>
  <c r="O529" i="4" s="1"/>
  <c r="O530" i="4" s="1"/>
  <c r="O531" i="4" s="1"/>
  <c r="O532" i="4" s="1"/>
  <c r="O533" i="4" s="1"/>
  <c r="O534" i="4" s="1"/>
  <c r="O535" i="4" s="1"/>
  <c r="O536" i="4" s="1"/>
  <c r="O537" i="4" s="1"/>
  <c r="O538" i="4" s="1"/>
  <c r="O539" i="4" s="1"/>
  <c r="O540" i="4" s="1"/>
  <c r="O541" i="4" s="1"/>
  <c r="O542" i="4" s="1"/>
  <c r="O543" i="4" s="1"/>
  <c r="O544" i="4" s="1"/>
  <c r="O545" i="4" s="1"/>
  <c r="O546" i="4" s="1"/>
  <c r="O547" i="4" s="1"/>
  <c r="O548" i="4" s="1"/>
  <c r="O549" i="4" s="1"/>
  <c r="O550" i="4" s="1"/>
  <c r="O551" i="4" s="1"/>
  <c r="O552" i="4" s="1"/>
  <c r="O553" i="4" s="1"/>
  <c r="O554" i="4" s="1"/>
  <c r="O555" i="4" s="1"/>
  <c r="O556" i="4" s="1"/>
  <c r="O557" i="4" s="1"/>
  <c r="O558" i="4" s="1"/>
  <c r="O559" i="4" s="1"/>
  <c r="O560" i="4" s="1"/>
  <c r="O561" i="4" s="1"/>
  <c r="O562" i="4" s="1"/>
  <c r="O563" i="4" s="1"/>
  <c r="O564" i="4" s="1"/>
  <c r="O565" i="4" s="1"/>
  <c r="O566" i="4" s="1"/>
  <c r="O567" i="4" s="1"/>
  <c r="O568" i="4" s="1"/>
  <c r="O569" i="4" s="1"/>
  <c r="O570" i="4" s="1"/>
  <c r="O571" i="4" s="1"/>
  <c r="O572" i="4" s="1"/>
  <c r="O573" i="4" s="1"/>
  <c r="O574" i="4" s="1"/>
  <c r="O575" i="4" s="1"/>
  <c r="O576" i="4" s="1"/>
  <c r="O577" i="4" s="1"/>
  <c r="O578" i="4" s="1"/>
  <c r="O579" i="4" s="1"/>
  <c r="O580" i="4" s="1"/>
  <c r="O581" i="4" s="1"/>
  <c r="O582" i="4" s="1"/>
  <c r="O583" i="4" s="1"/>
  <c r="O584" i="4" s="1"/>
  <c r="O585" i="4" s="1"/>
  <c r="O586" i="4" s="1"/>
  <c r="O587" i="4" s="1"/>
  <c r="O588" i="4" s="1"/>
  <c r="O589" i="4" s="1"/>
  <c r="O590" i="4" s="1"/>
  <c r="O591" i="4" s="1"/>
  <c r="O592" i="4" s="1"/>
  <c r="O593" i="4" s="1"/>
  <c r="O594" i="4" s="1"/>
  <c r="O595" i="4" s="1"/>
  <c r="O596" i="4" s="1"/>
  <c r="O597" i="4" s="1"/>
  <c r="O598" i="4" s="1"/>
  <c r="O599" i="4" s="1"/>
  <c r="O600" i="4" s="1"/>
  <c r="O601" i="4" s="1"/>
  <c r="O602" i="4" s="1"/>
  <c r="O603" i="4" s="1"/>
  <c r="O604" i="4" s="1"/>
  <c r="O605" i="4" s="1"/>
  <c r="O606" i="4" s="1"/>
  <c r="O607" i="4" s="1"/>
  <c r="O608" i="4" s="1"/>
  <c r="O609" i="4" s="1"/>
  <c r="O610" i="4" s="1"/>
  <c r="O611" i="4" s="1"/>
  <c r="O612" i="4" s="1"/>
  <c r="O613" i="4" s="1"/>
  <c r="O614" i="4" s="1"/>
  <c r="O615" i="4" s="1"/>
  <c r="O616" i="4" s="1"/>
  <c r="O617" i="4" s="1"/>
  <c r="O618" i="4" s="1"/>
  <c r="O619" i="4" s="1"/>
  <c r="O620" i="4" s="1"/>
  <c r="O621" i="4" s="1"/>
  <c r="O622" i="4" s="1"/>
  <c r="O623" i="4" s="1"/>
  <c r="O624" i="4" s="1"/>
  <c r="O625" i="4" s="1"/>
  <c r="O626" i="4" s="1"/>
  <c r="O627" i="4" s="1"/>
  <c r="O628" i="4" s="1"/>
  <c r="O629" i="4" s="1"/>
  <c r="O630" i="4" s="1"/>
  <c r="O631" i="4" s="1"/>
  <c r="O632" i="4" s="1"/>
  <c r="O633" i="4" s="1"/>
  <c r="O634" i="4" s="1"/>
  <c r="O635" i="4" s="1"/>
  <c r="O636" i="4" s="1"/>
  <c r="O637" i="4" s="1"/>
  <c r="O638" i="4" s="1"/>
  <c r="O639" i="4" s="1"/>
  <c r="O640" i="4" s="1"/>
  <c r="O641" i="4" s="1"/>
  <c r="O642" i="4" s="1"/>
  <c r="O643" i="4" s="1"/>
  <c r="O644" i="4" s="1"/>
  <c r="O645" i="4" s="1"/>
  <c r="O646" i="4" s="1"/>
  <c r="O647" i="4" s="1"/>
  <c r="O648" i="4" s="1"/>
  <c r="O649" i="4" s="1"/>
  <c r="O650" i="4" s="1"/>
  <c r="O651" i="4" s="1"/>
  <c r="O652" i="4" s="1"/>
  <c r="O653" i="4" s="1"/>
  <c r="O654" i="4" s="1"/>
  <c r="O655" i="4" s="1"/>
  <c r="O656" i="4" s="1"/>
  <c r="O657" i="4" s="1"/>
  <c r="O658" i="4" s="1"/>
  <c r="O659" i="4" s="1"/>
  <c r="O660" i="4" s="1"/>
  <c r="O661" i="4" s="1"/>
  <c r="O662" i="4" s="1"/>
  <c r="O663" i="4" s="1"/>
  <c r="O664" i="4" s="1"/>
  <c r="O665" i="4" s="1"/>
  <c r="O666" i="4" s="1"/>
  <c r="O667" i="4" s="1"/>
  <c r="O668" i="4" s="1"/>
  <c r="O669" i="4" s="1"/>
  <c r="O670" i="4" s="1"/>
  <c r="O671" i="4" s="1"/>
  <c r="O672" i="4" s="1"/>
  <c r="O673" i="4" s="1"/>
  <c r="O674" i="4" s="1"/>
  <c r="O675" i="4" s="1"/>
  <c r="O676" i="4" s="1"/>
  <c r="O677" i="4" s="1"/>
  <c r="O678" i="4" s="1"/>
  <c r="O679" i="4" s="1"/>
  <c r="O680" i="4" s="1"/>
  <c r="O681" i="4" s="1"/>
  <c r="O682" i="4" s="1"/>
  <c r="O683" i="4" s="1"/>
  <c r="O684" i="4" s="1"/>
  <c r="O685" i="4" s="1"/>
  <c r="O686" i="4" s="1"/>
  <c r="O687" i="4" s="1"/>
  <c r="O688" i="4" s="1"/>
  <c r="O689" i="4" s="1"/>
  <c r="O690" i="4" s="1"/>
  <c r="O691" i="4" s="1"/>
  <c r="O692" i="4" s="1"/>
  <c r="O693" i="4" s="1"/>
  <c r="O694" i="4" s="1"/>
  <c r="O695" i="4" s="1"/>
  <c r="O696" i="4" s="1"/>
  <c r="O697" i="4" s="1"/>
  <c r="O698" i="4" s="1"/>
  <c r="O699" i="4" s="1"/>
  <c r="O700" i="4" s="1"/>
  <c r="O701" i="4" s="1"/>
  <c r="O702" i="4" s="1"/>
  <c r="O703" i="4" s="1"/>
  <c r="O704" i="4" s="1"/>
  <c r="O705" i="4" s="1"/>
  <c r="O706" i="4" s="1"/>
  <c r="O707" i="4" s="1"/>
  <c r="O708" i="4" s="1"/>
  <c r="O709" i="4" s="1"/>
  <c r="O710" i="4" s="1"/>
  <c r="O711" i="4" s="1"/>
  <c r="O712" i="4" s="1"/>
  <c r="O713" i="4" s="1"/>
  <c r="O714" i="4" s="1"/>
  <c r="O715" i="4" s="1"/>
  <c r="O716" i="4" s="1"/>
  <c r="O717" i="4" s="1"/>
  <c r="O718" i="4" s="1"/>
  <c r="O719" i="4" s="1"/>
  <c r="O720" i="4" s="1"/>
  <c r="O721" i="4" s="1"/>
  <c r="O722" i="4" s="1"/>
  <c r="O723" i="4" s="1"/>
  <c r="O724" i="4" s="1"/>
  <c r="O725" i="4" s="1"/>
  <c r="O726" i="4" s="1"/>
  <c r="O727" i="4" s="1"/>
  <c r="O728" i="4" s="1"/>
  <c r="O729" i="4" s="1"/>
  <c r="O730" i="4" s="1"/>
  <c r="O731" i="4" s="1"/>
  <c r="O732" i="4" s="1"/>
  <c r="O733" i="4" s="1"/>
  <c r="O734" i="4" s="1"/>
  <c r="O735" i="4" s="1"/>
  <c r="O736" i="4" s="1"/>
  <c r="O737" i="4" s="1"/>
  <c r="O738" i="4" s="1"/>
  <c r="O739" i="4" s="1"/>
  <c r="O740" i="4" s="1"/>
  <c r="O741" i="4" s="1"/>
  <c r="O742" i="4" s="1"/>
  <c r="O743" i="4" s="1"/>
  <c r="O744" i="4" s="1"/>
  <c r="O745" i="4" s="1"/>
  <c r="O746" i="4" s="1"/>
  <c r="O747" i="4" s="1"/>
  <c r="O748" i="4" s="1"/>
  <c r="O749" i="4" s="1"/>
  <c r="O750" i="4" s="1"/>
  <c r="O751" i="4" s="1"/>
  <c r="O752" i="4" s="1"/>
  <c r="O753" i="4" s="1"/>
  <c r="O754" i="4" s="1"/>
  <c r="O755" i="4" s="1"/>
  <c r="O756" i="4" s="1"/>
  <c r="O757" i="4" s="1"/>
  <c r="O758" i="4" s="1"/>
  <c r="O759" i="4" s="1"/>
  <c r="O760" i="4" s="1"/>
  <c r="O761" i="4" s="1"/>
  <c r="O762" i="4" s="1"/>
  <c r="O763" i="4" s="1"/>
  <c r="O764" i="4" s="1"/>
  <c r="O765" i="4" s="1"/>
  <c r="O766" i="4" s="1"/>
  <c r="O767" i="4" s="1"/>
  <c r="O768" i="4" s="1"/>
  <c r="O769" i="4" s="1"/>
  <c r="O770" i="4" s="1"/>
  <c r="O771" i="4" s="1"/>
  <c r="O772" i="4" s="1"/>
  <c r="O773" i="4" s="1"/>
  <c r="O774" i="4" s="1"/>
  <c r="O775" i="4" s="1"/>
  <c r="O776" i="4" s="1"/>
  <c r="O777" i="4" s="1"/>
  <c r="O778" i="4" s="1"/>
  <c r="O779" i="4" s="1"/>
  <c r="O780" i="4" s="1"/>
  <c r="O781" i="4" s="1"/>
  <c r="O782" i="4" s="1"/>
  <c r="O783" i="4" s="1"/>
  <c r="O784" i="4" s="1"/>
  <c r="O785" i="4" s="1"/>
  <c r="O786" i="4" s="1"/>
  <c r="O787" i="4" s="1"/>
  <c r="O788" i="4" s="1"/>
  <c r="O789" i="4" s="1"/>
  <c r="O790" i="4" s="1"/>
  <c r="O791" i="4" s="1"/>
  <c r="O792" i="4" s="1"/>
  <c r="O793" i="4" s="1"/>
  <c r="O794" i="4" s="1"/>
  <c r="O795" i="4" s="1"/>
  <c r="O796" i="4" s="1"/>
  <c r="O797" i="4" s="1"/>
  <c r="O798" i="4" s="1"/>
  <c r="O799" i="4" s="1"/>
  <c r="O800" i="4" s="1"/>
  <c r="O801" i="4" s="1"/>
  <c r="O802" i="4" s="1"/>
  <c r="O803" i="4" s="1"/>
  <c r="O804" i="4" s="1"/>
  <c r="O805" i="4" s="1"/>
  <c r="O806" i="4" s="1"/>
  <c r="O807" i="4" s="1"/>
  <c r="O808" i="4" s="1"/>
  <c r="O809" i="4" s="1"/>
  <c r="O810" i="4" s="1"/>
  <c r="O811" i="4" s="1"/>
  <c r="O812" i="4" s="1"/>
  <c r="O813" i="4" s="1"/>
  <c r="O814" i="4" s="1"/>
  <c r="O815" i="4" s="1"/>
  <c r="O816" i="4" s="1"/>
  <c r="O817" i="4" s="1"/>
  <c r="O818" i="4" s="1"/>
  <c r="O819" i="4" s="1"/>
  <c r="O820" i="4" s="1"/>
  <c r="O821" i="4" s="1"/>
  <c r="O822" i="4" s="1"/>
  <c r="O823" i="4" s="1"/>
  <c r="O824" i="4" s="1"/>
  <c r="O825" i="4" s="1"/>
  <c r="O826" i="4" s="1"/>
  <c r="O827" i="4" s="1"/>
  <c r="O828" i="4" s="1"/>
  <c r="O829" i="4" s="1"/>
  <c r="O830" i="4" s="1"/>
  <c r="O831" i="4" s="1"/>
  <c r="O832" i="4" s="1"/>
  <c r="O833" i="4" s="1"/>
  <c r="O834" i="4" s="1"/>
  <c r="O835" i="4" s="1"/>
  <c r="O836" i="4" s="1"/>
  <c r="O837" i="4" s="1"/>
  <c r="O838" i="4" s="1"/>
  <c r="O839" i="4" s="1"/>
  <c r="O840" i="4" s="1"/>
  <c r="O841" i="4" s="1"/>
  <c r="O842" i="4" s="1"/>
  <c r="O843" i="4" s="1"/>
  <c r="O844" i="4" s="1"/>
  <c r="O845" i="4" s="1"/>
  <c r="O846" i="4" s="1"/>
  <c r="O847" i="4" s="1"/>
  <c r="O848" i="4" s="1"/>
  <c r="O849" i="4" s="1"/>
  <c r="O850" i="4" s="1"/>
  <c r="O851" i="4" s="1"/>
  <c r="O852" i="4" s="1"/>
  <c r="O853" i="4" s="1"/>
  <c r="O854" i="4" s="1"/>
  <c r="O855" i="4" s="1"/>
  <c r="O856" i="4" s="1"/>
  <c r="O857" i="4" s="1"/>
  <c r="O858" i="4" s="1"/>
  <c r="O859" i="4" s="1"/>
  <c r="O860" i="4" s="1"/>
  <c r="O861" i="4" s="1"/>
  <c r="O862" i="4" s="1"/>
  <c r="O863" i="4" s="1"/>
  <c r="O864" i="4" s="1"/>
  <c r="O865" i="4" s="1"/>
  <c r="O866" i="4" s="1"/>
  <c r="O867" i="4" s="1"/>
  <c r="O868" i="4" s="1"/>
  <c r="O869" i="4" s="1"/>
  <c r="O870" i="4" s="1"/>
  <c r="O871" i="4" s="1"/>
  <c r="O872" i="4" s="1"/>
  <c r="O873" i="4" s="1"/>
  <c r="O874" i="4" s="1"/>
  <c r="O875" i="4" s="1"/>
  <c r="O876" i="4" s="1"/>
  <c r="O877" i="4" s="1"/>
  <c r="O878" i="4" s="1"/>
  <c r="O879" i="4" s="1"/>
  <c r="O880" i="4" s="1"/>
  <c r="O881" i="4" s="1"/>
  <c r="O882" i="4" s="1"/>
  <c r="O883" i="4" s="1"/>
  <c r="O884" i="4" s="1"/>
  <c r="O885" i="4" s="1"/>
  <c r="O886" i="4" s="1"/>
  <c r="O887" i="4" s="1"/>
  <c r="O888" i="4" s="1"/>
  <c r="O889" i="4" s="1"/>
  <c r="O890" i="4" s="1"/>
  <c r="O891" i="4" s="1"/>
  <c r="O892" i="4" s="1"/>
  <c r="O893" i="4" s="1"/>
  <c r="O894" i="4" s="1"/>
  <c r="O895" i="4" s="1"/>
  <c r="O896" i="4" s="1"/>
  <c r="O897" i="4" s="1"/>
  <c r="O898" i="4" s="1"/>
  <c r="O899" i="4" s="1"/>
  <c r="O900" i="4" s="1"/>
  <c r="O901" i="4" s="1"/>
  <c r="O902" i="4" s="1"/>
  <c r="O903" i="4" s="1"/>
  <c r="O904" i="4" s="1"/>
  <c r="O905" i="4" s="1"/>
  <c r="O906" i="4" s="1"/>
  <c r="O907" i="4" s="1"/>
  <c r="O908" i="4" s="1"/>
  <c r="O909" i="4" s="1"/>
  <c r="O910" i="4" s="1"/>
  <c r="O911" i="4" s="1"/>
  <c r="O912" i="4" s="1"/>
  <c r="O913" i="4" s="1"/>
  <c r="O914" i="4" s="1"/>
  <c r="O915" i="4" s="1"/>
  <c r="O916" i="4" s="1"/>
  <c r="O917" i="4" s="1"/>
  <c r="O918" i="4" s="1"/>
  <c r="O919" i="4" s="1"/>
  <c r="O920" i="4" s="1"/>
  <c r="O921" i="4" s="1"/>
  <c r="O922" i="4" s="1"/>
  <c r="O923" i="4" s="1"/>
  <c r="O924" i="4" s="1"/>
  <c r="O925" i="4" s="1"/>
  <c r="O926" i="4" s="1"/>
  <c r="O927" i="4" s="1"/>
  <c r="O928" i="4" s="1"/>
  <c r="O929" i="4" s="1"/>
  <c r="O930" i="4" s="1"/>
  <c r="O931" i="4" s="1"/>
  <c r="O932" i="4" s="1"/>
  <c r="O933" i="4" s="1"/>
  <c r="O934" i="4" s="1"/>
  <c r="O935" i="4" s="1"/>
  <c r="O936" i="4" s="1"/>
  <c r="O937" i="4" s="1"/>
  <c r="O938" i="4" s="1"/>
  <c r="O939" i="4" s="1"/>
  <c r="O940" i="4" s="1"/>
  <c r="O941" i="4" s="1"/>
  <c r="O942" i="4" s="1"/>
  <c r="O943" i="4" s="1"/>
  <c r="O944" i="4" s="1"/>
  <c r="O945" i="4" s="1"/>
  <c r="O946" i="4" s="1"/>
  <c r="O947" i="4" s="1"/>
  <c r="O948" i="4" s="1"/>
  <c r="O949" i="4" s="1"/>
  <c r="O950" i="4" s="1"/>
  <c r="O951" i="4" s="1"/>
  <c r="O952" i="4" s="1"/>
  <c r="O953" i="4" s="1"/>
  <c r="O954" i="4" s="1"/>
  <c r="O955" i="4" s="1"/>
  <c r="O956" i="4" s="1"/>
  <c r="O957" i="4" s="1"/>
  <c r="O958" i="4" s="1"/>
  <c r="O959" i="4" s="1"/>
  <c r="O960" i="4" s="1"/>
  <c r="O961" i="4" s="1"/>
  <c r="O962" i="4" s="1"/>
  <c r="O963" i="4" s="1"/>
  <c r="O964" i="4" s="1"/>
  <c r="O965" i="4" s="1"/>
  <c r="O966" i="4" s="1"/>
  <c r="O967" i="4" s="1"/>
  <c r="O968" i="4" s="1"/>
  <c r="O969" i="4" s="1"/>
  <c r="O970" i="4" s="1"/>
  <c r="O971" i="4" s="1"/>
  <c r="O972" i="4" s="1"/>
  <c r="O973" i="4" s="1"/>
  <c r="O974" i="4" s="1"/>
  <c r="O975" i="4" s="1"/>
  <c r="O976" i="4" s="1"/>
  <c r="O977" i="4" s="1"/>
  <c r="O978" i="4" s="1"/>
  <c r="O979" i="4" s="1"/>
  <c r="O980" i="4" s="1"/>
  <c r="O981" i="4" s="1"/>
  <c r="O982" i="4" s="1"/>
  <c r="O983" i="4" s="1"/>
  <c r="O984" i="4" s="1"/>
  <c r="O985" i="4" s="1"/>
  <c r="O986" i="4" s="1"/>
  <c r="O987" i="4" s="1"/>
  <c r="O988" i="4" s="1"/>
</calcChain>
</file>

<file path=xl/comments1.xml><?xml version="1.0" encoding="utf-8"?>
<comments xmlns="http://schemas.openxmlformats.org/spreadsheetml/2006/main">
  <authors>
    <author>Jim Sjoo Kwak</author>
  </authors>
  <commentList>
    <comment ref="C3" authorId="0" shapeId="0">
      <text>
        <r>
          <rPr>
            <sz val="8"/>
            <color indexed="54"/>
            <rFont val="Tahoma"/>
            <family val="2"/>
          </rPr>
          <t>Default</t>
        </r>
      </text>
    </comment>
    <comment ref="B5" authorId="0" shapeId="0">
      <text>
        <r>
          <rPr>
            <sz val="8"/>
            <color indexed="54"/>
            <rFont val="Tahoma"/>
            <family val="2"/>
          </rPr>
          <t>일간
주간
월간
분기간
년간</t>
        </r>
      </text>
    </comment>
    <comment ref="C5" authorId="0" shapeId="0">
      <text>
        <r>
          <rPr>
            <sz val="8"/>
            <color indexed="54"/>
            <rFont val="Tahoma"/>
            <family val="2"/>
          </rPr>
          <t>Local
KRW
USD</t>
        </r>
      </text>
    </comment>
    <comment ref="A6" authorId="0" shapeId="0">
      <text>
        <r>
          <rPr>
            <sz val="8"/>
            <color indexed="54"/>
            <rFont val="Tahoma"/>
            <family val="2"/>
          </rPr>
          <t>주간,월간,분기간,년간 : Exclusive 제외</t>
        </r>
      </text>
    </comment>
    <comment ref="B6" authorId="0" shapeId="0">
      <text>
        <r>
          <rPr>
            <sz val="8"/>
            <color indexed="54"/>
            <rFont val="Tahoma"/>
            <family val="2"/>
          </rPr>
          <t>Exclusive
N/A
NULL
Previous</t>
        </r>
      </text>
    </comment>
    <comment ref="C6" authorId="0" shapeId="0">
      <text>
        <r>
          <rPr>
            <sz val="8"/>
            <color indexed="54"/>
            <rFont val="Tahoma"/>
            <family val="2"/>
          </rPr>
          <t>Asc
Desc</t>
        </r>
      </text>
    </comment>
    <comment ref="A7" authorId="0" shapeId="0">
      <text>
        <r>
          <rPr>
            <sz val="8"/>
            <color indexed="54"/>
            <rFont val="Tahoma"/>
            <family val="2"/>
          </rPr>
          <t>주간,월간,분기간,년간 : SUN, SAT 제외</t>
        </r>
      </text>
    </comment>
    <comment ref="B7" authorId="0" shapeId="0">
      <text>
        <r>
          <rPr>
            <sz val="8"/>
            <color indexed="54"/>
            <rFont val="Tahoma"/>
            <family val="2"/>
          </rPr>
          <t>NONE
SUN
SAT
ALL</t>
        </r>
      </text>
    </comment>
    <comment ref="A8" authorId="0" shapeId="0">
      <text>
        <r>
          <rPr>
            <sz val="8"/>
            <color indexed="54"/>
            <rFont val="Tahoma"/>
            <family val="2"/>
          </rPr>
          <t>Ex) 
 YYYYMMDD 
 Or 
 Current(YYYYMMDD)</t>
        </r>
      </text>
    </comment>
    <comment ref="H14" authorId="0" shapeId="0">
      <text>
        <r>
          <rPr>
            <b/>
            <sz val="9"/>
            <color indexed="81"/>
            <rFont val="Tahoma"/>
            <family val="2"/>
          </rPr>
          <t>Jim Sjoo Kwak:</t>
        </r>
        <r>
          <rPr>
            <sz val="9"/>
            <color indexed="81"/>
            <rFont val="Tahoma"/>
            <family val="2"/>
          </rPr>
          <t xml:space="preserve">
전일KOSPI 수준에 따라 결정된 주식ETF에 대한 최소투자비중</t>
        </r>
      </text>
    </comment>
    <comment ref="I14" authorId="0" shapeId="0">
      <text>
        <r>
          <rPr>
            <b/>
            <sz val="9"/>
            <color indexed="81"/>
            <rFont val="Tahoma"/>
            <family val="2"/>
          </rPr>
          <t>Jim Sjoo Kwak:</t>
        </r>
        <r>
          <rPr>
            <sz val="9"/>
            <color indexed="81"/>
            <rFont val="Tahoma"/>
            <family val="2"/>
          </rPr>
          <t xml:space="preserve">
전일KOSPI수준에 따라 결정된 주식ETF에 대한 최대투자비중</t>
        </r>
      </text>
    </comment>
    <comment ref="L14" authorId="0" shapeId="0">
      <text>
        <r>
          <rPr>
            <b/>
            <sz val="9"/>
            <color indexed="81"/>
            <rFont val="Tahoma"/>
            <family val="2"/>
          </rPr>
          <t>Jim Sjoo Kwak:</t>
        </r>
        <r>
          <rPr>
            <sz val="9"/>
            <color indexed="81"/>
            <rFont val="Tahoma"/>
            <family val="2"/>
          </rPr>
          <t xml:space="preserve">
최적비중을 찾기위한 수익률, 전일의 수익률과 전일투자비중범위내에서 최적투자비중을 구하기 위한 수익률</t>
        </r>
      </text>
    </comment>
    <comment ref="M14" authorId="0" shapeId="0">
      <text>
        <r>
          <rPr>
            <b/>
            <sz val="9"/>
            <color indexed="81"/>
            <rFont val="Tahoma"/>
            <family val="2"/>
          </rPr>
          <t>Jim Sjoo Kwak:</t>
        </r>
        <r>
          <rPr>
            <sz val="9"/>
            <color indexed="81"/>
            <rFont val="Tahoma"/>
            <family val="2"/>
          </rPr>
          <t xml:space="preserve">
최적비중을 가지고 투자한 경우의 해당일의 수익률</t>
        </r>
      </text>
    </comment>
    <comment ref="J16" authorId="0" shapeId="0">
      <text>
        <r>
          <rPr>
            <b/>
            <sz val="9"/>
            <color indexed="81"/>
            <rFont val="Tahoma"/>
            <family val="2"/>
          </rPr>
          <t>Jim Sjoo Kwak:</t>
        </r>
        <r>
          <rPr>
            <sz val="9"/>
            <color indexed="81"/>
            <rFont val="Tahoma"/>
            <family val="2"/>
          </rPr>
          <t xml:space="preserve">
투자비중범위내에서 전일의 수익률을 가지고 구한 당일의 주식 최적의 ETF투자비중</t>
        </r>
      </text>
    </comment>
    <comment ref="K16" authorId="0" shapeId="0">
      <text>
        <r>
          <rPr>
            <b/>
            <sz val="9"/>
            <color indexed="81"/>
            <rFont val="Tahoma"/>
            <family val="2"/>
          </rPr>
          <t>Jim Sjoo Kwak:</t>
        </r>
        <r>
          <rPr>
            <sz val="9"/>
            <color indexed="81"/>
            <rFont val="Tahoma"/>
            <family val="2"/>
          </rPr>
          <t xml:space="preserve">
주식ETF투자비중을 제외한 나머지 채권ETF 투자비중</t>
        </r>
      </text>
    </comment>
  </commentList>
</comments>
</file>

<file path=xl/sharedStrings.xml><?xml version="1.0" encoding="utf-8"?>
<sst xmlns="http://schemas.openxmlformats.org/spreadsheetml/2006/main" count="58" uniqueCount="47">
  <si>
    <t>Calendar Basis</t>
  </si>
  <si>
    <t>Portfolio</t>
  </si>
  <si>
    <t xml:space="preserve"> </t>
  </si>
  <si>
    <t>Item</t>
  </si>
  <si>
    <t>Frequency</t>
  </si>
  <si>
    <t>Non-Trading Day</t>
  </si>
  <si>
    <t>Include Weekend</t>
  </si>
  <si>
    <t>Term</t>
  </si>
  <si>
    <t>Symbol</t>
  </si>
  <si>
    <t>Symbol Name</t>
  </si>
  <si>
    <t>Kind</t>
  </si>
  <si>
    <t>Item Name</t>
  </si>
  <si>
    <t>A069500</t>
  </si>
  <si>
    <t>KODEX 200</t>
  </si>
  <si>
    <t>SSC</t>
  </si>
  <si>
    <t>S41000060F</t>
  </si>
  <si>
    <t>종가(원)</t>
  </si>
  <si>
    <t>DAILY</t>
  </si>
  <si>
    <t>I.001</t>
  </si>
  <si>
    <t>종합주가지수</t>
  </si>
  <si>
    <t>IDX</t>
  </si>
  <si>
    <t>I31000040F</t>
  </si>
  <si>
    <t>종가지수(포인트)</t>
  </si>
  <si>
    <t>ALL</t>
  </si>
  <si>
    <t>일간</t>
  </si>
  <si>
    <t>Exclusive</t>
  </si>
  <si>
    <t>Local</t>
  </si>
  <si>
    <t>Asc</t>
  </si>
  <si>
    <t>Default</t>
  </si>
  <si>
    <t>투자비중</t>
  </si>
  <si>
    <t>Min</t>
  </si>
  <si>
    <t>Max</t>
  </si>
  <si>
    <t>일간수익률</t>
  </si>
  <si>
    <t>A114260</t>
  </si>
  <si>
    <t>KODEX 국고채</t>
  </si>
  <si>
    <t>일자</t>
  </si>
  <si>
    <t>KOSPI</t>
  </si>
  <si>
    <t>거래수</t>
  </si>
  <si>
    <t>누적수익률</t>
  </si>
  <si>
    <t>StepUP</t>
  </si>
  <si>
    <t>주식ETF</t>
  </si>
  <si>
    <t>전체투자</t>
  </si>
  <si>
    <t>비중</t>
  </si>
  <si>
    <t>Last Refresh: 2013-06-21 15:43:15</t>
  </si>
  <si>
    <t>Current(20130621)</t>
  </si>
  <si>
    <t>전일수익률</t>
  </si>
  <si>
    <t>당일수익률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</si>
</sst>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1" formatCode="_-* #,##0_-;\-* #,##0_-;_-* &quot;-&quot;_-;_-@_-"/>
    <numFmt numFmtId="176" formatCode="yyyy\-mm\-dd"/>
  </numFmts>
  <fonts count="11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9"/>
      <color theme="1"/>
      <name val="Arial"/>
      <family val="2"/>
    </font>
    <font>
      <b/>
      <sz val="9"/>
      <color rgb="FFFFFFFF"/>
      <name val="Arial"/>
      <family val="2"/>
    </font>
    <font>
      <sz val="9"/>
      <color rgb="FF325886"/>
      <name val="Arial"/>
      <family val="2"/>
    </font>
    <font>
      <sz val="9"/>
      <color rgb="FF000000"/>
      <name val="Arial"/>
      <family val="2"/>
    </font>
    <font>
      <sz val="8"/>
      <color indexed="54"/>
      <name val="Tahoma"/>
      <family val="2"/>
    </font>
    <font>
      <sz val="8"/>
      <color theme="1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8"/>
      <name val="맑은 고딕"/>
      <family val="2"/>
      <charset val="129"/>
      <scheme val="minor"/>
    </font>
  </fonts>
  <fills count="9">
    <fill>
      <patternFill patternType="none"/>
    </fill>
    <fill>
      <patternFill patternType="gray125"/>
    </fill>
    <fill>
      <patternFill patternType="solid">
        <fgColor rgb="FF01185F"/>
        <bgColor indexed="64"/>
      </patternFill>
    </fill>
    <fill>
      <patternFill patternType="solid">
        <fgColor rgb="FFE7EEFD"/>
        <bgColor indexed="64"/>
      </patternFill>
    </fill>
    <fill>
      <patternFill patternType="solid">
        <fgColor rgb="FFABC3D6"/>
        <bgColor indexed="64"/>
      </patternFill>
    </fill>
    <fill>
      <patternFill patternType="solid">
        <fgColor rgb="FF87AAC5"/>
        <bgColor indexed="64"/>
      </patternFill>
    </fill>
    <fill>
      <patternFill patternType="solid">
        <fgColor rgb="FFEBEBEB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</fills>
  <borders count="2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rgb="FFA6A6A6"/>
      </bottom>
      <diagonal/>
    </border>
    <border>
      <left style="thin">
        <color rgb="FF538DD5"/>
      </left>
      <right style="thin">
        <color rgb="FF538DD5"/>
      </right>
      <top style="thin">
        <color rgb="FF538DD5"/>
      </top>
      <bottom style="thin">
        <color rgb="FF538DD5"/>
      </bottom>
      <diagonal/>
    </border>
    <border>
      <left style="thin">
        <color rgb="FF538DD5"/>
      </left>
      <right style="thin">
        <color rgb="FF538DD5"/>
      </right>
      <top style="thin">
        <color rgb="FF538DD5"/>
      </top>
      <bottom/>
      <diagonal/>
    </border>
    <border>
      <left style="thin">
        <color rgb="FF538DD5"/>
      </left>
      <right style="thin">
        <color rgb="FF538DD5"/>
      </right>
      <top/>
      <bottom style="thin">
        <color rgb="FF538DD5"/>
      </bottom>
      <diagonal/>
    </border>
    <border>
      <left style="thin">
        <color rgb="FF538DD5"/>
      </left>
      <right/>
      <top style="thin">
        <color rgb="FF538DD5"/>
      </top>
      <bottom/>
      <diagonal/>
    </border>
    <border>
      <left style="thin">
        <color rgb="FF538DD5"/>
      </left>
      <right/>
      <top style="thin">
        <color rgb="FF538DD5"/>
      </top>
      <bottom style="thin">
        <color rgb="FF538DD5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rgb="FFA6A6A6"/>
      </bottom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rgb="FFA6A6A6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88">
    <xf numFmtId="0" fontId="0" fillId="0" borderId="0" xfId="0"/>
    <xf numFmtId="0" fontId="2" fillId="0" borderId="0" xfId="0" applyFont="1"/>
    <xf numFmtId="0" fontId="3" fillId="2" borderId="0" xfId="0" applyFont="1" applyFill="1"/>
    <xf numFmtId="0" fontId="4" fillId="3" borderId="0" xfId="0" applyNumberFormat="1" applyFont="1" applyFill="1" applyBorder="1"/>
    <xf numFmtId="0" fontId="4" fillId="3" borderId="1" xfId="0" applyNumberFormat="1" applyFont="1" applyFill="1" applyBorder="1"/>
    <xf numFmtId="0" fontId="4" fillId="3" borderId="0" xfId="0" applyFont="1" applyFill="1" applyBorder="1"/>
    <xf numFmtId="0" fontId="4" fillId="3" borderId="1" xfId="0" applyFont="1" applyFill="1" applyBorder="1"/>
    <xf numFmtId="0" fontId="5" fillId="5" borderId="3" xfId="0" applyFont="1" applyFill="1" applyBorder="1" applyAlignment="1">
      <alignment horizontal="center"/>
    </xf>
    <xf numFmtId="0" fontId="5" fillId="5" borderId="0" xfId="0" applyFont="1" applyFill="1" applyBorder="1" applyAlignment="1">
      <alignment horizontal="center"/>
    </xf>
    <xf numFmtId="0" fontId="5" fillId="5" borderId="1" xfId="0" applyFont="1" applyFill="1" applyBorder="1" applyAlignment="1">
      <alignment horizontal="center"/>
    </xf>
    <xf numFmtId="0" fontId="5" fillId="4" borderId="3" xfId="0" applyNumberFormat="1" applyFont="1" applyFill="1" applyBorder="1" applyAlignment="1">
      <alignment horizontal="right"/>
    </xf>
    <xf numFmtId="0" fontId="5" fillId="4" borderId="0" xfId="0" applyNumberFormat="1" applyFont="1" applyFill="1" applyBorder="1" applyAlignment="1">
      <alignment horizontal="right"/>
    </xf>
    <xf numFmtId="0" fontId="5" fillId="4" borderId="1" xfId="0" applyNumberFormat="1" applyFont="1" applyFill="1" applyBorder="1" applyAlignment="1">
      <alignment horizontal="right"/>
    </xf>
    <xf numFmtId="3" fontId="2" fillId="0" borderId="0" xfId="0" applyNumberFormat="1" applyFont="1" applyAlignment="1">
      <alignment horizontal="right"/>
    </xf>
    <xf numFmtId="4" fontId="2" fillId="0" borderId="0" xfId="0" applyNumberFormat="1" applyFont="1" applyAlignment="1">
      <alignment horizontal="right"/>
    </xf>
    <xf numFmtId="3" fontId="2" fillId="0" borderId="4" xfId="0" applyNumberFormat="1" applyFont="1" applyBorder="1" applyAlignment="1">
      <alignment horizontal="right"/>
    </xf>
    <xf numFmtId="4" fontId="2" fillId="0" borderId="4" xfId="0" applyNumberFormat="1" applyFont="1" applyBorder="1" applyAlignment="1">
      <alignment horizontal="right"/>
    </xf>
    <xf numFmtId="176" fontId="5" fillId="6" borderId="0" xfId="0" applyNumberFormat="1" applyFont="1" applyFill="1" applyAlignment="1">
      <alignment horizontal="center"/>
    </xf>
    <xf numFmtId="176" fontId="5" fillId="6" borderId="4" xfId="0" applyNumberFormat="1" applyFont="1" applyFill="1" applyBorder="1" applyAlignment="1">
      <alignment horizontal="center"/>
    </xf>
    <xf numFmtId="0" fontId="4" fillId="3" borderId="5" xfId="0" applyNumberFormat="1" applyFont="1" applyFill="1" applyBorder="1"/>
    <xf numFmtId="0" fontId="4" fillId="3" borderId="8" xfId="0" applyNumberFormat="1" applyFont="1" applyFill="1" applyBorder="1"/>
    <xf numFmtId="0" fontId="4" fillId="3" borderId="6" xfId="0" applyNumberFormat="1" applyFont="1" applyFill="1" applyBorder="1"/>
    <xf numFmtId="0" fontId="7" fillId="0" borderId="0" xfId="0" applyFont="1" applyAlignment="1">
      <alignment horizontal="left"/>
    </xf>
    <xf numFmtId="0" fontId="4" fillId="3" borderId="9" xfId="0" applyNumberFormat="1" applyFont="1" applyFill="1" applyBorder="1"/>
    <xf numFmtId="0" fontId="4" fillId="3" borderId="7" xfId="0" applyNumberFormat="1" applyFont="1" applyFill="1" applyBorder="1"/>
    <xf numFmtId="0" fontId="0" fillId="0" borderId="0" xfId="0" applyBorder="1"/>
    <xf numFmtId="0" fontId="0" fillId="0" borderId="14" xfId="0" applyBorder="1"/>
    <xf numFmtId="0" fontId="0" fillId="0" borderId="13" xfId="0" applyBorder="1"/>
    <xf numFmtId="10" fontId="0" fillId="0" borderId="13" xfId="1" applyNumberFormat="1" applyFont="1" applyBorder="1"/>
    <xf numFmtId="0" fontId="5" fillId="7" borderId="10" xfId="0" applyNumberFormat="1" applyFont="1" applyFill="1" applyBorder="1" applyAlignment="1">
      <alignment horizontal="right"/>
    </xf>
    <xf numFmtId="0" fontId="5" fillId="7" borderId="11" xfId="0" applyNumberFormat="1" applyFont="1" applyFill="1" applyBorder="1" applyAlignment="1">
      <alignment horizontal="right"/>
    </xf>
    <xf numFmtId="0" fontId="0" fillId="7" borderId="11" xfId="0" applyFill="1" applyBorder="1"/>
    <xf numFmtId="0" fontId="0" fillId="7" borderId="12" xfId="0" applyFill="1" applyBorder="1"/>
    <xf numFmtId="0" fontId="5" fillId="7" borderId="13" xfId="0" applyNumberFormat="1" applyFont="1" applyFill="1" applyBorder="1" applyAlignment="1">
      <alignment horizontal="right"/>
    </xf>
    <xf numFmtId="0" fontId="5" fillId="7" borderId="0" xfId="0" applyNumberFormat="1" applyFont="1" applyFill="1" applyBorder="1" applyAlignment="1">
      <alignment horizontal="right"/>
    </xf>
    <xf numFmtId="0" fontId="0" fillId="7" borderId="0" xfId="0" applyFill="1" applyBorder="1"/>
    <xf numFmtId="0" fontId="0" fillId="7" borderId="14" xfId="0" applyFill="1" applyBorder="1"/>
    <xf numFmtId="10" fontId="5" fillId="7" borderId="13" xfId="0" applyNumberFormat="1" applyFont="1" applyFill="1" applyBorder="1" applyAlignment="1">
      <alignment horizontal="right"/>
    </xf>
    <xf numFmtId="41" fontId="0" fillId="0" borderId="14" xfId="0" applyNumberFormat="1" applyBorder="1"/>
    <xf numFmtId="10" fontId="0" fillId="0" borderId="14" xfId="1" applyNumberFormat="1" applyFont="1" applyBorder="1"/>
    <xf numFmtId="0" fontId="0" fillId="8" borderId="10" xfId="0" applyFill="1" applyBorder="1"/>
    <xf numFmtId="0" fontId="0" fillId="8" borderId="12" xfId="0" applyFill="1" applyBorder="1"/>
    <xf numFmtId="0" fontId="5" fillId="8" borderId="13" xfId="0" applyNumberFormat="1" applyFont="1" applyFill="1" applyBorder="1" applyAlignment="1">
      <alignment horizontal="right"/>
    </xf>
    <xf numFmtId="0" fontId="5" fillId="8" borderId="14" xfId="0" applyNumberFormat="1" applyFont="1" applyFill="1" applyBorder="1" applyAlignment="1">
      <alignment horizontal="right"/>
    </xf>
    <xf numFmtId="0" fontId="0" fillId="8" borderId="13" xfId="0" applyFill="1" applyBorder="1"/>
    <xf numFmtId="0" fontId="0" fillId="8" borderId="14" xfId="0" applyFill="1" applyBorder="1"/>
    <xf numFmtId="0" fontId="5" fillId="8" borderId="15" xfId="0" applyNumberFormat="1" applyFont="1" applyFill="1" applyBorder="1" applyAlignment="1">
      <alignment horizontal="right"/>
    </xf>
    <xf numFmtId="0" fontId="5" fillId="8" borderId="16" xfId="0" applyNumberFormat="1" applyFont="1" applyFill="1" applyBorder="1" applyAlignment="1">
      <alignment horizontal="right"/>
    </xf>
    <xf numFmtId="0" fontId="5" fillId="7" borderId="2" xfId="0" applyNumberFormat="1" applyFont="1" applyFill="1" applyBorder="1" applyAlignment="1">
      <alignment horizontal="right"/>
    </xf>
    <xf numFmtId="176" fontId="5" fillId="6" borderId="19" xfId="0" applyNumberFormat="1" applyFont="1" applyFill="1" applyBorder="1" applyAlignment="1">
      <alignment horizontal="center"/>
    </xf>
    <xf numFmtId="176" fontId="5" fillId="6" borderId="20" xfId="0" applyNumberFormat="1" applyFont="1" applyFill="1" applyBorder="1" applyAlignment="1">
      <alignment horizontal="center"/>
    </xf>
    <xf numFmtId="176" fontId="5" fillId="6" borderId="21" xfId="0" applyNumberFormat="1" applyFont="1" applyFill="1" applyBorder="1" applyAlignment="1">
      <alignment horizontal="center"/>
    </xf>
    <xf numFmtId="0" fontId="5" fillId="4" borderId="13" xfId="0" applyNumberFormat="1" applyFont="1" applyFill="1" applyBorder="1" applyAlignment="1">
      <alignment horizontal="center"/>
    </xf>
    <xf numFmtId="0" fontId="5" fillId="4" borderId="15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0" fontId="5" fillId="4" borderId="10" xfId="0" applyNumberFormat="1" applyFont="1" applyFill="1" applyBorder="1" applyAlignment="1">
      <alignment horizontal="center"/>
    </xf>
    <xf numFmtId="0" fontId="0" fillId="0" borderId="13" xfId="0" applyBorder="1" applyAlignment="1">
      <alignment horizontal="center"/>
    </xf>
    <xf numFmtId="0" fontId="5" fillId="4" borderId="12" xfId="0" applyNumberFormat="1" applyFont="1" applyFill="1" applyBorder="1" applyAlignment="1">
      <alignment horizontal="center"/>
    </xf>
    <xf numFmtId="0" fontId="5" fillId="4" borderId="14" xfId="0" applyNumberFormat="1" applyFont="1" applyFill="1" applyBorder="1" applyAlignment="1">
      <alignment horizontal="center"/>
    </xf>
    <xf numFmtId="0" fontId="5" fillId="4" borderId="16" xfId="0" applyNumberFormat="1" applyFont="1" applyFill="1" applyBorder="1" applyAlignment="1">
      <alignment horizontal="center"/>
    </xf>
    <xf numFmtId="0" fontId="0" fillId="0" borderId="14" xfId="0" applyBorder="1" applyAlignment="1">
      <alignment horizontal="center"/>
    </xf>
    <xf numFmtId="10" fontId="5" fillId="7" borderId="0" xfId="0" applyNumberFormat="1" applyFont="1" applyFill="1" applyBorder="1" applyAlignment="1">
      <alignment horizontal="right"/>
    </xf>
    <xf numFmtId="0" fontId="5" fillId="7" borderId="18" xfId="0" applyNumberFormat="1" applyFont="1" applyFill="1" applyBorder="1" applyAlignment="1">
      <alignment horizontal="center"/>
    </xf>
    <xf numFmtId="0" fontId="5" fillId="7" borderId="17" xfId="0" applyNumberFormat="1" applyFont="1" applyFill="1" applyBorder="1" applyAlignment="1">
      <alignment horizontal="center"/>
    </xf>
    <xf numFmtId="9" fontId="0" fillId="0" borderId="13" xfId="1" applyNumberFormat="1" applyFont="1" applyBorder="1" applyAlignment="1">
      <alignment horizontal="center" vertical="center"/>
    </xf>
    <xf numFmtId="9" fontId="0" fillId="0" borderId="14" xfId="1" applyNumberFormat="1" applyFont="1" applyBorder="1" applyAlignment="1">
      <alignment horizontal="center" vertical="center"/>
    </xf>
    <xf numFmtId="9" fontId="0" fillId="0" borderId="0" xfId="1" applyNumberFormat="1" applyFont="1" applyBorder="1" applyAlignment="1">
      <alignment horizontal="center" vertical="center"/>
    </xf>
    <xf numFmtId="9" fontId="0" fillId="0" borderId="0" xfId="1" applyNumberFormat="1" applyFont="1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0" fontId="5" fillId="7" borderId="15" xfId="0" applyNumberFormat="1" applyFont="1" applyFill="1" applyBorder="1" applyAlignment="1">
      <alignment horizontal="center"/>
    </xf>
    <xf numFmtId="4" fontId="2" fillId="0" borderId="23" xfId="0" applyNumberFormat="1" applyFont="1" applyBorder="1" applyAlignment="1">
      <alignment horizontal="right"/>
    </xf>
    <xf numFmtId="10" fontId="0" fillId="0" borderId="0" xfId="1" applyNumberFormat="1" applyFont="1" applyBorder="1"/>
    <xf numFmtId="0" fontId="5" fillId="4" borderId="22" xfId="0" applyNumberFormat="1" applyFont="1" applyFill="1" applyBorder="1" applyAlignment="1">
      <alignment horizontal="right"/>
    </xf>
    <xf numFmtId="0" fontId="5" fillId="4" borderId="14" xfId="0" applyNumberFormat="1" applyFont="1" applyFill="1" applyBorder="1" applyAlignment="1">
      <alignment horizontal="right"/>
    </xf>
    <xf numFmtId="0" fontId="5" fillId="4" borderId="16" xfId="0" applyNumberFormat="1" applyFont="1" applyFill="1" applyBorder="1" applyAlignment="1">
      <alignment horizontal="right"/>
    </xf>
    <xf numFmtId="10" fontId="0" fillId="7" borderId="0" xfId="1" applyNumberFormat="1" applyFont="1" applyFill="1" applyBorder="1"/>
    <xf numFmtId="0" fontId="5" fillId="7" borderId="1" xfId="0" applyNumberFormat="1" applyFont="1" applyFill="1" applyBorder="1" applyAlignment="1">
      <alignment horizontal="center"/>
    </xf>
    <xf numFmtId="10" fontId="0" fillId="0" borderId="0" xfId="0" applyNumberFormat="1" applyBorder="1"/>
    <xf numFmtId="0" fontId="5" fillId="4" borderId="13" xfId="0" applyNumberFormat="1" applyFont="1" applyFill="1" applyBorder="1" applyAlignment="1">
      <alignment horizontal="center" vertical="center"/>
    </xf>
    <xf numFmtId="0" fontId="5" fillId="4" borderId="14" xfId="0" applyNumberFormat="1" applyFont="1" applyFill="1" applyBorder="1" applyAlignment="1">
      <alignment horizontal="center" vertical="center"/>
    </xf>
    <xf numFmtId="0" fontId="5" fillId="4" borderId="13" xfId="0" applyNumberFormat="1" applyFont="1" applyFill="1" applyBorder="1" applyAlignment="1">
      <alignment horizontal="center"/>
    </xf>
    <xf numFmtId="0" fontId="5" fillId="4" borderId="14" xfId="0" applyNumberFormat="1" applyFont="1" applyFill="1" applyBorder="1" applyAlignment="1">
      <alignment horizontal="center"/>
    </xf>
    <xf numFmtId="0" fontId="5" fillId="4" borderId="15" xfId="0" applyNumberFormat="1" applyFont="1" applyFill="1" applyBorder="1" applyAlignment="1">
      <alignment horizontal="center"/>
    </xf>
    <xf numFmtId="0" fontId="5" fillId="4" borderId="16" xfId="0" applyNumberFormat="1" applyFont="1" applyFill="1" applyBorder="1" applyAlignment="1">
      <alignment horizontal="center"/>
    </xf>
    <xf numFmtId="0" fontId="5" fillId="4" borderId="10" xfId="0" applyNumberFormat="1" applyFont="1" applyFill="1" applyBorder="1" applyAlignment="1">
      <alignment horizontal="center" textRotation="180"/>
    </xf>
    <xf numFmtId="0" fontId="5" fillId="4" borderId="13" xfId="0" applyNumberFormat="1" applyFont="1" applyFill="1" applyBorder="1" applyAlignment="1">
      <alignment horizontal="center" textRotation="180"/>
    </xf>
    <xf numFmtId="0" fontId="5" fillId="4" borderId="12" xfId="0" applyNumberFormat="1" applyFont="1" applyFill="1" applyBorder="1" applyAlignment="1">
      <alignment horizontal="center" textRotation="180"/>
    </xf>
    <xf numFmtId="0" fontId="5" fillId="4" borderId="14" xfId="0" applyNumberFormat="1" applyFont="1" applyFill="1" applyBorder="1" applyAlignment="1">
      <alignment horizontal="center" textRotation="180"/>
    </xf>
  </cellXfs>
  <cellStyles count="2">
    <cellStyle name="백분율" xfId="1" builtinId="5"/>
    <cellStyle name="표준" xfId="0" builtinId="0"/>
  </cellStyles>
  <dxfs count="1"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0FFC1A66-39DA-41BF-BB7C-43539A27D87C}" ax:persistence="persistPropertyBag">
  <ax:ocxPr ax:name="Selectedy" ax:value="False"/>
  <ax:ocxPr ax:name="AutoSizeMode" ax:value="GrowAndShrink"/>
  <ax:ocxPr ax:name="BackgroundImageLayout" ax:value="None"/>
  <ax:ocxPr ax:name="Font" ax:value="Arial, 7pt, style=Bold"/>
  <ax:ocxPr ax:name="Location" ax:value="26, 20"/>
  <ax:ocxPr ax:name="Margin" ax:value="0, 0, 0, 0"/>
  <ax:ocxPr ax:name="Name" ax:value="FnBtn"/>
  <ax:ocxPr ax:name="Size" ax:value="61, 17"/>
  <ax:ocxPr ax:name="TabIndex" ax:value="0"/>
</ax:ocx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9002405949256338E-2"/>
          <c:y val="5.1400554097404488E-2"/>
          <c:w val="0.88278871391076119"/>
          <c:h val="0.8040607850037722"/>
        </c:manualLayout>
      </c:layout>
      <c:lineChart>
        <c:grouping val="standard"/>
        <c:varyColors val="0"/>
        <c:ser>
          <c:idx val="0"/>
          <c:order val="0"/>
          <c:tx>
            <c:strRef>
              <c:f>'ETF StepUp'!$O$14</c:f>
              <c:strCache>
                <c:ptCount val="1"/>
                <c:pt idx="0">
                  <c:v>StepUP</c:v>
                </c:pt>
              </c:strCache>
            </c:strRef>
          </c:tx>
          <c:spPr>
            <a:ln w="12700"/>
          </c:spPr>
          <c:marker>
            <c:symbol val="none"/>
          </c:marker>
          <c:cat>
            <c:numRef>
              <c:f>'ETF StepUp'!$N$15:$N$988</c:f>
              <c:numCache>
                <c:formatCode>yyyy\-mm\-dd</c:formatCode>
                <c:ptCount val="974"/>
                <c:pt idx="0">
                  <c:v>40023</c:v>
                </c:pt>
                <c:pt idx="1">
                  <c:v>40024</c:v>
                </c:pt>
                <c:pt idx="2">
                  <c:v>40025</c:v>
                </c:pt>
                <c:pt idx="3">
                  <c:v>40028</c:v>
                </c:pt>
                <c:pt idx="4">
                  <c:v>40029</c:v>
                </c:pt>
                <c:pt idx="5">
                  <c:v>40030</c:v>
                </c:pt>
                <c:pt idx="6">
                  <c:v>40031</c:v>
                </c:pt>
                <c:pt idx="7">
                  <c:v>40032</c:v>
                </c:pt>
                <c:pt idx="8">
                  <c:v>40035</c:v>
                </c:pt>
                <c:pt idx="9">
                  <c:v>40036</c:v>
                </c:pt>
                <c:pt idx="10">
                  <c:v>40037</c:v>
                </c:pt>
                <c:pt idx="11">
                  <c:v>40038</c:v>
                </c:pt>
                <c:pt idx="12">
                  <c:v>40039</c:v>
                </c:pt>
                <c:pt idx="13">
                  <c:v>40042</c:v>
                </c:pt>
                <c:pt idx="14">
                  <c:v>40043</c:v>
                </c:pt>
                <c:pt idx="15">
                  <c:v>40044</c:v>
                </c:pt>
                <c:pt idx="16">
                  <c:v>40045</c:v>
                </c:pt>
                <c:pt idx="17">
                  <c:v>40046</c:v>
                </c:pt>
                <c:pt idx="18">
                  <c:v>40049</c:v>
                </c:pt>
                <c:pt idx="19">
                  <c:v>40050</c:v>
                </c:pt>
                <c:pt idx="20">
                  <c:v>40051</c:v>
                </c:pt>
                <c:pt idx="21">
                  <c:v>40052</c:v>
                </c:pt>
                <c:pt idx="22">
                  <c:v>40053</c:v>
                </c:pt>
                <c:pt idx="23">
                  <c:v>40056</c:v>
                </c:pt>
                <c:pt idx="24">
                  <c:v>40057</c:v>
                </c:pt>
                <c:pt idx="25">
                  <c:v>40058</c:v>
                </c:pt>
                <c:pt idx="26">
                  <c:v>40059</c:v>
                </c:pt>
                <c:pt idx="27">
                  <c:v>40060</c:v>
                </c:pt>
                <c:pt idx="28">
                  <c:v>40063</c:v>
                </c:pt>
                <c:pt idx="29">
                  <c:v>40064</c:v>
                </c:pt>
                <c:pt idx="30">
                  <c:v>40065</c:v>
                </c:pt>
                <c:pt idx="31">
                  <c:v>40066</c:v>
                </c:pt>
                <c:pt idx="32">
                  <c:v>40067</c:v>
                </c:pt>
                <c:pt idx="33">
                  <c:v>40070</c:v>
                </c:pt>
                <c:pt idx="34">
                  <c:v>40071</c:v>
                </c:pt>
                <c:pt idx="35">
                  <c:v>40072</c:v>
                </c:pt>
                <c:pt idx="36">
                  <c:v>40073</c:v>
                </c:pt>
                <c:pt idx="37">
                  <c:v>40074</c:v>
                </c:pt>
                <c:pt idx="38">
                  <c:v>40077</c:v>
                </c:pt>
                <c:pt idx="39">
                  <c:v>40078</c:v>
                </c:pt>
                <c:pt idx="40">
                  <c:v>40079</c:v>
                </c:pt>
                <c:pt idx="41">
                  <c:v>40080</c:v>
                </c:pt>
                <c:pt idx="42">
                  <c:v>40081</c:v>
                </c:pt>
                <c:pt idx="43">
                  <c:v>40084</c:v>
                </c:pt>
                <c:pt idx="44">
                  <c:v>40085</c:v>
                </c:pt>
                <c:pt idx="45">
                  <c:v>40086</c:v>
                </c:pt>
                <c:pt idx="46">
                  <c:v>40087</c:v>
                </c:pt>
                <c:pt idx="47">
                  <c:v>40091</c:v>
                </c:pt>
                <c:pt idx="48">
                  <c:v>40092</c:v>
                </c:pt>
                <c:pt idx="49">
                  <c:v>40093</c:v>
                </c:pt>
                <c:pt idx="50">
                  <c:v>40094</c:v>
                </c:pt>
                <c:pt idx="51">
                  <c:v>40095</c:v>
                </c:pt>
                <c:pt idx="52">
                  <c:v>40098</c:v>
                </c:pt>
                <c:pt idx="53">
                  <c:v>40099</c:v>
                </c:pt>
                <c:pt idx="54">
                  <c:v>40100</c:v>
                </c:pt>
                <c:pt idx="55">
                  <c:v>40101</c:v>
                </c:pt>
                <c:pt idx="56">
                  <c:v>40102</c:v>
                </c:pt>
                <c:pt idx="57">
                  <c:v>40105</c:v>
                </c:pt>
                <c:pt idx="58">
                  <c:v>40106</c:v>
                </c:pt>
                <c:pt idx="59">
                  <c:v>40107</c:v>
                </c:pt>
                <c:pt idx="60">
                  <c:v>40108</c:v>
                </c:pt>
                <c:pt idx="61">
                  <c:v>40109</c:v>
                </c:pt>
                <c:pt idx="62">
                  <c:v>40112</c:v>
                </c:pt>
                <c:pt idx="63">
                  <c:v>40113</c:v>
                </c:pt>
                <c:pt idx="64">
                  <c:v>40114</c:v>
                </c:pt>
                <c:pt idx="65">
                  <c:v>40115</c:v>
                </c:pt>
                <c:pt idx="66">
                  <c:v>40116</c:v>
                </c:pt>
                <c:pt idx="67">
                  <c:v>40119</c:v>
                </c:pt>
                <c:pt idx="68">
                  <c:v>40120</c:v>
                </c:pt>
                <c:pt idx="69">
                  <c:v>40121</c:v>
                </c:pt>
                <c:pt idx="70">
                  <c:v>40122</c:v>
                </c:pt>
                <c:pt idx="71">
                  <c:v>40123</c:v>
                </c:pt>
                <c:pt idx="72">
                  <c:v>40126</c:v>
                </c:pt>
                <c:pt idx="73">
                  <c:v>40127</c:v>
                </c:pt>
                <c:pt idx="74">
                  <c:v>40128</c:v>
                </c:pt>
                <c:pt idx="75">
                  <c:v>40129</c:v>
                </c:pt>
                <c:pt idx="76">
                  <c:v>40130</c:v>
                </c:pt>
                <c:pt idx="77">
                  <c:v>40133</c:v>
                </c:pt>
                <c:pt idx="78">
                  <c:v>40134</c:v>
                </c:pt>
                <c:pt idx="79">
                  <c:v>40135</c:v>
                </c:pt>
                <c:pt idx="80">
                  <c:v>40136</c:v>
                </c:pt>
                <c:pt idx="81">
                  <c:v>40137</c:v>
                </c:pt>
                <c:pt idx="82">
                  <c:v>40140</c:v>
                </c:pt>
                <c:pt idx="83">
                  <c:v>40141</c:v>
                </c:pt>
                <c:pt idx="84">
                  <c:v>40142</c:v>
                </c:pt>
                <c:pt idx="85">
                  <c:v>40143</c:v>
                </c:pt>
                <c:pt idx="86">
                  <c:v>40144</c:v>
                </c:pt>
                <c:pt idx="87">
                  <c:v>40147</c:v>
                </c:pt>
                <c:pt idx="88">
                  <c:v>40148</c:v>
                </c:pt>
                <c:pt idx="89">
                  <c:v>40149</c:v>
                </c:pt>
                <c:pt idx="90">
                  <c:v>40150</c:v>
                </c:pt>
                <c:pt idx="91">
                  <c:v>40151</c:v>
                </c:pt>
                <c:pt idx="92">
                  <c:v>40154</c:v>
                </c:pt>
                <c:pt idx="93">
                  <c:v>40155</c:v>
                </c:pt>
                <c:pt idx="94">
                  <c:v>40156</c:v>
                </c:pt>
                <c:pt idx="95">
                  <c:v>40157</c:v>
                </c:pt>
                <c:pt idx="96">
                  <c:v>40158</c:v>
                </c:pt>
                <c:pt idx="97">
                  <c:v>40161</c:v>
                </c:pt>
                <c:pt idx="98">
                  <c:v>40162</c:v>
                </c:pt>
                <c:pt idx="99">
                  <c:v>40163</c:v>
                </c:pt>
                <c:pt idx="100">
                  <c:v>40164</c:v>
                </c:pt>
                <c:pt idx="101">
                  <c:v>40165</c:v>
                </c:pt>
                <c:pt idx="102">
                  <c:v>40168</c:v>
                </c:pt>
                <c:pt idx="103">
                  <c:v>40169</c:v>
                </c:pt>
                <c:pt idx="104">
                  <c:v>40170</c:v>
                </c:pt>
                <c:pt idx="105">
                  <c:v>40171</c:v>
                </c:pt>
                <c:pt idx="106">
                  <c:v>40175</c:v>
                </c:pt>
                <c:pt idx="107">
                  <c:v>40176</c:v>
                </c:pt>
                <c:pt idx="108">
                  <c:v>40177</c:v>
                </c:pt>
                <c:pt idx="109">
                  <c:v>40182</c:v>
                </c:pt>
                <c:pt idx="110">
                  <c:v>40183</c:v>
                </c:pt>
                <c:pt idx="111">
                  <c:v>40184</c:v>
                </c:pt>
                <c:pt idx="112">
                  <c:v>40185</c:v>
                </c:pt>
                <c:pt idx="113">
                  <c:v>40186</c:v>
                </c:pt>
                <c:pt idx="114">
                  <c:v>40189</c:v>
                </c:pt>
                <c:pt idx="115">
                  <c:v>40190</c:v>
                </c:pt>
                <c:pt idx="116">
                  <c:v>40191</c:v>
                </c:pt>
                <c:pt idx="117">
                  <c:v>40192</c:v>
                </c:pt>
                <c:pt idx="118">
                  <c:v>40193</c:v>
                </c:pt>
                <c:pt idx="119">
                  <c:v>40196</c:v>
                </c:pt>
                <c:pt idx="120">
                  <c:v>40197</c:v>
                </c:pt>
                <c:pt idx="121">
                  <c:v>40198</c:v>
                </c:pt>
                <c:pt idx="122">
                  <c:v>40199</c:v>
                </c:pt>
                <c:pt idx="123">
                  <c:v>40200</c:v>
                </c:pt>
                <c:pt idx="124">
                  <c:v>40203</c:v>
                </c:pt>
                <c:pt idx="125">
                  <c:v>40204</c:v>
                </c:pt>
                <c:pt idx="126">
                  <c:v>40205</c:v>
                </c:pt>
                <c:pt idx="127">
                  <c:v>40206</c:v>
                </c:pt>
                <c:pt idx="128">
                  <c:v>40207</c:v>
                </c:pt>
                <c:pt idx="129">
                  <c:v>40210</c:v>
                </c:pt>
                <c:pt idx="130">
                  <c:v>40211</c:v>
                </c:pt>
                <c:pt idx="131">
                  <c:v>40212</c:v>
                </c:pt>
                <c:pt idx="132">
                  <c:v>40213</c:v>
                </c:pt>
                <c:pt idx="133">
                  <c:v>40214</c:v>
                </c:pt>
                <c:pt idx="134">
                  <c:v>40217</c:v>
                </c:pt>
                <c:pt idx="135">
                  <c:v>40218</c:v>
                </c:pt>
                <c:pt idx="136">
                  <c:v>40219</c:v>
                </c:pt>
                <c:pt idx="137">
                  <c:v>40220</c:v>
                </c:pt>
                <c:pt idx="138">
                  <c:v>40221</c:v>
                </c:pt>
                <c:pt idx="139">
                  <c:v>40225</c:v>
                </c:pt>
                <c:pt idx="140">
                  <c:v>40226</c:v>
                </c:pt>
                <c:pt idx="141">
                  <c:v>40227</c:v>
                </c:pt>
                <c:pt idx="142">
                  <c:v>40228</c:v>
                </c:pt>
                <c:pt idx="143">
                  <c:v>40231</c:v>
                </c:pt>
                <c:pt idx="144">
                  <c:v>40232</c:v>
                </c:pt>
                <c:pt idx="145">
                  <c:v>40233</c:v>
                </c:pt>
                <c:pt idx="146">
                  <c:v>40234</c:v>
                </c:pt>
                <c:pt idx="147">
                  <c:v>40235</c:v>
                </c:pt>
                <c:pt idx="148">
                  <c:v>40239</c:v>
                </c:pt>
                <c:pt idx="149">
                  <c:v>40240</c:v>
                </c:pt>
                <c:pt idx="150">
                  <c:v>40241</c:v>
                </c:pt>
                <c:pt idx="151">
                  <c:v>40242</c:v>
                </c:pt>
                <c:pt idx="152">
                  <c:v>40245</c:v>
                </c:pt>
                <c:pt idx="153">
                  <c:v>40246</c:v>
                </c:pt>
                <c:pt idx="154">
                  <c:v>40247</c:v>
                </c:pt>
                <c:pt idx="155">
                  <c:v>40248</c:v>
                </c:pt>
                <c:pt idx="156">
                  <c:v>40249</c:v>
                </c:pt>
                <c:pt idx="157">
                  <c:v>40252</c:v>
                </c:pt>
                <c:pt idx="158">
                  <c:v>40253</c:v>
                </c:pt>
                <c:pt idx="159">
                  <c:v>40254</c:v>
                </c:pt>
                <c:pt idx="160">
                  <c:v>40255</c:v>
                </c:pt>
                <c:pt idx="161">
                  <c:v>40256</c:v>
                </c:pt>
                <c:pt idx="162">
                  <c:v>40259</c:v>
                </c:pt>
                <c:pt idx="163">
                  <c:v>40260</c:v>
                </c:pt>
                <c:pt idx="164">
                  <c:v>40261</c:v>
                </c:pt>
                <c:pt idx="165">
                  <c:v>40262</c:v>
                </c:pt>
                <c:pt idx="166">
                  <c:v>40263</c:v>
                </c:pt>
                <c:pt idx="167">
                  <c:v>40266</c:v>
                </c:pt>
                <c:pt idx="168">
                  <c:v>40267</c:v>
                </c:pt>
                <c:pt idx="169">
                  <c:v>40268</c:v>
                </c:pt>
                <c:pt idx="170">
                  <c:v>40269</c:v>
                </c:pt>
                <c:pt idx="171">
                  <c:v>40270</c:v>
                </c:pt>
                <c:pt idx="172">
                  <c:v>40273</c:v>
                </c:pt>
                <c:pt idx="173">
                  <c:v>40274</c:v>
                </c:pt>
                <c:pt idx="174">
                  <c:v>40275</c:v>
                </c:pt>
                <c:pt idx="175">
                  <c:v>40276</c:v>
                </c:pt>
                <c:pt idx="176">
                  <c:v>40277</c:v>
                </c:pt>
                <c:pt idx="177">
                  <c:v>40280</c:v>
                </c:pt>
                <c:pt idx="178">
                  <c:v>40281</c:v>
                </c:pt>
                <c:pt idx="179">
                  <c:v>40282</c:v>
                </c:pt>
                <c:pt idx="180">
                  <c:v>40283</c:v>
                </c:pt>
                <c:pt idx="181">
                  <c:v>40284</c:v>
                </c:pt>
                <c:pt idx="182">
                  <c:v>40287</c:v>
                </c:pt>
                <c:pt idx="183">
                  <c:v>40288</c:v>
                </c:pt>
                <c:pt idx="184">
                  <c:v>40289</c:v>
                </c:pt>
                <c:pt idx="185">
                  <c:v>40290</c:v>
                </c:pt>
                <c:pt idx="186">
                  <c:v>40291</c:v>
                </c:pt>
                <c:pt idx="187">
                  <c:v>40294</c:v>
                </c:pt>
                <c:pt idx="188">
                  <c:v>40295</c:v>
                </c:pt>
                <c:pt idx="189">
                  <c:v>40296</c:v>
                </c:pt>
                <c:pt idx="190">
                  <c:v>40297</c:v>
                </c:pt>
                <c:pt idx="191">
                  <c:v>40298</c:v>
                </c:pt>
                <c:pt idx="192">
                  <c:v>40301</c:v>
                </c:pt>
                <c:pt idx="193">
                  <c:v>40302</c:v>
                </c:pt>
                <c:pt idx="194">
                  <c:v>40304</c:v>
                </c:pt>
                <c:pt idx="195">
                  <c:v>40305</c:v>
                </c:pt>
                <c:pt idx="196">
                  <c:v>40308</c:v>
                </c:pt>
                <c:pt idx="197">
                  <c:v>40309</c:v>
                </c:pt>
                <c:pt idx="198">
                  <c:v>40310</c:v>
                </c:pt>
                <c:pt idx="199">
                  <c:v>40311</c:v>
                </c:pt>
                <c:pt idx="200">
                  <c:v>40312</c:v>
                </c:pt>
                <c:pt idx="201">
                  <c:v>40315</c:v>
                </c:pt>
                <c:pt idx="202">
                  <c:v>40316</c:v>
                </c:pt>
                <c:pt idx="203">
                  <c:v>40317</c:v>
                </c:pt>
                <c:pt idx="204">
                  <c:v>40318</c:v>
                </c:pt>
                <c:pt idx="205">
                  <c:v>40322</c:v>
                </c:pt>
                <c:pt idx="206">
                  <c:v>40323</c:v>
                </c:pt>
                <c:pt idx="207">
                  <c:v>40324</c:v>
                </c:pt>
                <c:pt idx="208">
                  <c:v>40325</c:v>
                </c:pt>
                <c:pt idx="209">
                  <c:v>40326</c:v>
                </c:pt>
                <c:pt idx="210">
                  <c:v>40329</c:v>
                </c:pt>
                <c:pt idx="211">
                  <c:v>40330</c:v>
                </c:pt>
                <c:pt idx="212">
                  <c:v>40332</c:v>
                </c:pt>
                <c:pt idx="213">
                  <c:v>40333</c:v>
                </c:pt>
                <c:pt idx="214">
                  <c:v>40336</c:v>
                </c:pt>
                <c:pt idx="215">
                  <c:v>40337</c:v>
                </c:pt>
                <c:pt idx="216">
                  <c:v>40338</c:v>
                </c:pt>
                <c:pt idx="217">
                  <c:v>40339</c:v>
                </c:pt>
                <c:pt idx="218">
                  <c:v>40340</c:v>
                </c:pt>
                <c:pt idx="219">
                  <c:v>40343</c:v>
                </c:pt>
                <c:pt idx="220">
                  <c:v>40344</c:v>
                </c:pt>
                <c:pt idx="221">
                  <c:v>40345</c:v>
                </c:pt>
                <c:pt idx="222">
                  <c:v>40346</c:v>
                </c:pt>
                <c:pt idx="223">
                  <c:v>40347</c:v>
                </c:pt>
                <c:pt idx="224">
                  <c:v>40350</c:v>
                </c:pt>
                <c:pt idx="225">
                  <c:v>40351</c:v>
                </c:pt>
                <c:pt idx="226">
                  <c:v>40352</c:v>
                </c:pt>
                <c:pt idx="227">
                  <c:v>40353</c:v>
                </c:pt>
                <c:pt idx="228">
                  <c:v>40354</c:v>
                </c:pt>
                <c:pt idx="229">
                  <c:v>40357</c:v>
                </c:pt>
                <c:pt idx="230">
                  <c:v>40358</c:v>
                </c:pt>
                <c:pt idx="231">
                  <c:v>40359</c:v>
                </c:pt>
                <c:pt idx="232">
                  <c:v>40360</c:v>
                </c:pt>
                <c:pt idx="233">
                  <c:v>40361</c:v>
                </c:pt>
                <c:pt idx="234">
                  <c:v>40364</c:v>
                </c:pt>
                <c:pt idx="235">
                  <c:v>40365</c:v>
                </c:pt>
                <c:pt idx="236">
                  <c:v>40366</c:v>
                </c:pt>
                <c:pt idx="237">
                  <c:v>40367</c:v>
                </c:pt>
                <c:pt idx="238">
                  <c:v>40368</c:v>
                </c:pt>
                <c:pt idx="239">
                  <c:v>40371</c:v>
                </c:pt>
                <c:pt idx="240">
                  <c:v>40372</c:v>
                </c:pt>
                <c:pt idx="241">
                  <c:v>40373</c:v>
                </c:pt>
                <c:pt idx="242">
                  <c:v>40374</c:v>
                </c:pt>
                <c:pt idx="243">
                  <c:v>40375</c:v>
                </c:pt>
                <c:pt idx="244">
                  <c:v>40378</c:v>
                </c:pt>
                <c:pt idx="245">
                  <c:v>40379</c:v>
                </c:pt>
                <c:pt idx="246">
                  <c:v>40380</c:v>
                </c:pt>
                <c:pt idx="247">
                  <c:v>40381</c:v>
                </c:pt>
                <c:pt idx="248">
                  <c:v>40382</c:v>
                </c:pt>
                <c:pt idx="249">
                  <c:v>40385</c:v>
                </c:pt>
                <c:pt idx="250">
                  <c:v>40386</c:v>
                </c:pt>
                <c:pt idx="251">
                  <c:v>40387</c:v>
                </c:pt>
                <c:pt idx="252">
                  <c:v>40388</c:v>
                </c:pt>
                <c:pt idx="253">
                  <c:v>40389</c:v>
                </c:pt>
                <c:pt idx="254">
                  <c:v>40392</c:v>
                </c:pt>
                <c:pt idx="255">
                  <c:v>40393</c:v>
                </c:pt>
                <c:pt idx="256">
                  <c:v>40394</c:v>
                </c:pt>
                <c:pt idx="257">
                  <c:v>40395</c:v>
                </c:pt>
                <c:pt idx="258">
                  <c:v>40396</c:v>
                </c:pt>
                <c:pt idx="259">
                  <c:v>40399</c:v>
                </c:pt>
                <c:pt idx="260">
                  <c:v>40400</c:v>
                </c:pt>
                <c:pt idx="261">
                  <c:v>40401</c:v>
                </c:pt>
                <c:pt idx="262">
                  <c:v>40402</c:v>
                </c:pt>
                <c:pt idx="263">
                  <c:v>40403</c:v>
                </c:pt>
                <c:pt idx="264">
                  <c:v>40406</c:v>
                </c:pt>
                <c:pt idx="265">
                  <c:v>40407</c:v>
                </c:pt>
                <c:pt idx="266">
                  <c:v>40408</c:v>
                </c:pt>
                <c:pt idx="267">
                  <c:v>40409</c:v>
                </c:pt>
                <c:pt idx="268">
                  <c:v>40410</c:v>
                </c:pt>
                <c:pt idx="269">
                  <c:v>40413</c:v>
                </c:pt>
                <c:pt idx="270">
                  <c:v>40414</c:v>
                </c:pt>
                <c:pt idx="271">
                  <c:v>40415</c:v>
                </c:pt>
                <c:pt idx="272">
                  <c:v>40416</c:v>
                </c:pt>
                <c:pt idx="273">
                  <c:v>40417</c:v>
                </c:pt>
                <c:pt idx="274">
                  <c:v>40420</c:v>
                </c:pt>
                <c:pt idx="275">
                  <c:v>40421</c:v>
                </c:pt>
                <c:pt idx="276">
                  <c:v>40422</c:v>
                </c:pt>
                <c:pt idx="277">
                  <c:v>40423</c:v>
                </c:pt>
                <c:pt idx="278">
                  <c:v>40424</c:v>
                </c:pt>
                <c:pt idx="279">
                  <c:v>40427</c:v>
                </c:pt>
                <c:pt idx="280">
                  <c:v>40428</c:v>
                </c:pt>
                <c:pt idx="281">
                  <c:v>40429</c:v>
                </c:pt>
                <c:pt idx="282">
                  <c:v>40430</c:v>
                </c:pt>
                <c:pt idx="283">
                  <c:v>40431</c:v>
                </c:pt>
                <c:pt idx="284">
                  <c:v>40434</c:v>
                </c:pt>
                <c:pt idx="285">
                  <c:v>40435</c:v>
                </c:pt>
                <c:pt idx="286">
                  <c:v>40436</c:v>
                </c:pt>
                <c:pt idx="287">
                  <c:v>40437</c:v>
                </c:pt>
                <c:pt idx="288">
                  <c:v>40438</c:v>
                </c:pt>
                <c:pt idx="289">
                  <c:v>40441</c:v>
                </c:pt>
                <c:pt idx="290">
                  <c:v>40445</c:v>
                </c:pt>
                <c:pt idx="291">
                  <c:v>40448</c:v>
                </c:pt>
                <c:pt idx="292">
                  <c:v>40449</c:v>
                </c:pt>
                <c:pt idx="293">
                  <c:v>40450</c:v>
                </c:pt>
                <c:pt idx="294">
                  <c:v>40451</c:v>
                </c:pt>
                <c:pt idx="295">
                  <c:v>40452</c:v>
                </c:pt>
                <c:pt idx="296">
                  <c:v>40455</c:v>
                </c:pt>
                <c:pt idx="297">
                  <c:v>40456</c:v>
                </c:pt>
                <c:pt idx="298">
                  <c:v>40457</c:v>
                </c:pt>
                <c:pt idx="299">
                  <c:v>40458</c:v>
                </c:pt>
                <c:pt idx="300">
                  <c:v>40459</c:v>
                </c:pt>
                <c:pt idx="301">
                  <c:v>40462</c:v>
                </c:pt>
                <c:pt idx="302">
                  <c:v>40463</c:v>
                </c:pt>
                <c:pt idx="303">
                  <c:v>40464</c:v>
                </c:pt>
                <c:pt idx="304">
                  <c:v>40465</c:v>
                </c:pt>
                <c:pt idx="305">
                  <c:v>40466</c:v>
                </c:pt>
                <c:pt idx="306">
                  <c:v>40469</c:v>
                </c:pt>
                <c:pt idx="307">
                  <c:v>40470</c:v>
                </c:pt>
                <c:pt idx="308">
                  <c:v>40471</c:v>
                </c:pt>
                <c:pt idx="309">
                  <c:v>40472</c:v>
                </c:pt>
                <c:pt idx="310">
                  <c:v>40473</c:v>
                </c:pt>
                <c:pt idx="311">
                  <c:v>40476</c:v>
                </c:pt>
                <c:pt idx="312">
                  <c:v>40477</c:v>
                </c:pt>
                <c:pt idx="313">
                  <c:v>40478</c:v>
                </c:pt>
                <c:pt idx="314">
                  <c:v>40479</c:v>
                </c:pt>
                <c:pt idx="315">
                  <c:v>40480</c:v>
                </c:pt>
                <c:pt idx="316">
                  <c:v>40483</c:v>
                </c:pt>
                <c:pt idx="317">
                  <c:v>40484</c:v>
                </c:pt>
                <c:pt idx="318">
                  <c:v>40485</c:v>
                </c:pt>
                <c:pt idx="319">
                  <c:v>40486</c:v>
                </c:pt>
                <c:pt idx="320">
                  <c:v>40487</c:v>
                </c:pt>
                <c:pt idx="321">
                  <c:v>40490</c:v>
                </c:pt>
                <c:pt idx="322">
                  <c:v>40491</c:v>
                </c:pt>
                <c:pt idx="323">
                  <c:v>40492</c:v>
                </c:pt>
                <c:pt idx="324">
                  <c:v>40493</c:v>
                </c:pt>
                <c:pt idx="325">
                  <c:v>40494</c:v>
                </c:pt>
                <c:pt idx="326">
                  <c:v>40497</c:v>
                </c:pt>
                <c:pt idx="327">
                  <c:v>40498</c:v>
                </c:pt>
                <c:pt idx="328">
                  <c:v>40499</c:v>
                </c:pt>
                <c:pt idx="329">
                  <c:v>40500</c:v>
                </c:pt>
                <c:pt idx="330">
                  <c:v>40501</c:v>
                </c:pt>
                <c:pt idx="331">
                  <c:v>40504</c:v>
                </c:pt>
                <c:pt idx="332">
                  <c:v>40505</c:v>
                </c:pt>
                <c:pt idx="333">
                  <c:v>40506</c:v>
                </c:pt>
                <c:pt idx="334">
                  <c:v>40507</c:v>
                </c:pt>
                <c:pt idx="335">
                  <c:v>40508</c:v>
                </c:pt>
                <c:pt idx="336">
                  <c:v>40511</c:v>
                </c:pt>
                <c:pt idx="337">
                  <c:v>40512</c:v>
                </c:pt>
                <c:pt idx="338">
                  <c:v>40513</c:v>
                </c:pt>
                <c:pt idx="339">
                  <c:v>40514</c:v>
                </c:pt>
                <c:pt idx="340">
                  <c:v>40515</c:v>
                </c:pt>
                <c:pt idx="341">
                  <c:v>40518</c:v>
                </c:pt>
                <c:pt idx="342">
                  <c:v>40519</c:v>
                </c:pt>
                <c:pt idx="343">
                  <c:v>40520</c:v>
                </c:pt>
                <c:pt idx="344">
                  <c:v>40521</c:v>
                </c:pt>
                <c:pt idx="345">
                  <c:v>40522</c:v>
                </c:pt>
                <c:pt idx="346">
                  <c:v>40525</c:v>
                </c:pt>
                <c:pt idx="347">
                  <c:v>40526</c:v>
                </c:pt>
                <c:pt idx="348">
                  <c:v>40527</c:v>
                </c:pt>
                <c:pt idx="349">
                  <c:v>40528</c:v>
                </c:pt>
                <c:pt idx="350">
                  <c:v>40529</c:v>
                </c:pt>
                <c:pt idx="351">
                  <c:v>40532</c:v>
                </c:pt>
                <c:pt idx="352">
                  <c:v>40533</c:v>
                </c:pt>
                <c:pt idx="353">
                  <c:v>40534</c:v>
                </c:pt>
                <c:pt idx="354">
                  <c:v>40535</c:v>
                </c:pt>
                <c:pt idx="355">
                  <c:v>40536</c:v>
                </c:pt>
                <c:pt idx="356">
                  <c:v>40539</c:v>
                </c:pt>
                <c:pt idx="357">
                  <c:v>40540</c:v>
                </c:pt>
                <c:pt idx="358">
                  <c:v>40541</c:v>
                </c:pt>
                <c:pt idx="359">
                  <c:v>40542</c:v>
                </c:pt>
                <c:pt idx="360">
                  <c:v>40546</c:v>
                </c:pt>
                <c:pt idx="361">
                  <c:v>40547</c:v>
                </c:pt>
                <c:pt idx="362">
                  <c:v>40548</c:v>
                </c:pt>
                <c:pt idx="363">
                  <c:v>40549</c:v>
                </c:pt>
                <c:pt idx="364">
                  <c:v>40550</c:v>
                </c:pt>
                <c:pt idx="365">
                  <c:v>40553</c:v>
                </c:pt>
                <c:pt idx="366">
                  <c:v>40554</c:v>
                </c:pt>
                <c:pt idx="367">
                  <c:v>40555</c:v>
                </c:pt>
                <c:pt idx="368">
                  <c:v>40556</c:v>
                </c:pt>
                <c:pt idx="369">
                  <c:v>40557</c:v>
                </c:pt>
                <c:pt idx="370">
                  <c:v>40560</c:v>
                </c:pt>
                <c:pt idx="371">
                  <c:v>40561</c:v>
                </c:pt>
                <c:pt idx="372">
                  <c:v>40562</c:v>
                </c:pt>
                <c:pt idx="373">
                  <c:v>40563</c:v>
                </c:pt>
                <c:pt idx="374">
                  <c:v>40564</c:v>
                </c:pt>
                <c:pt idx="375">
                  <c:v>40567</c:v>
                </c:pt>
                <c:pt idx="376">
                  <c:v>40568</c:v>
                </c:pt>
                <c:pt idx="377">
                  <c:v>40569</c:v>
                </c:pt>
                <c:pt idx="378">
                  <c:v>40570</c:v>
                </c:pt>
                <c:pt idx="379">
                  <c:v>40571</c:v>
                </c:pt>
                <c:pt idx="380">
                  <c:v>40574</c:v>
                </c:pt>
                <c:pt idx="381">
                  <c:v>40575</c:v>
                </c:pt>
                <c:pt idx="382">
                  <c:v>40581</c:v>
                </c:pt>
                <c:pt idx="383">
                  <c:v>40582</c:v>
                </c:pt>
                <c:pt idx="384">
                  <c:v>40583</c:v>
                </c:pt>
                <c:pt idx="385">
                  <c:v>40584</c:v>
                </c:pt>
                <c:pt idx="386">
                  <c:v>40585</c:v>
                </c:pt>
                <c:pt idx="387">
                  <c:v>40588</c:v>
                </c:pt>
                <c:pt idx="388">
                  <c:v>40589</c:v>
                </c:pt>
                <c:pt idx="389">
                  <c:v>40590</c:v>
                </c:pt>
                <c:pt idx="390">
                  <c:v>40591</c:v>
                </c:pt>
                <c:pt idx="391">
                  <c:v>40592</c:v>
                </c:pt>
                <c:pt idx="392">
                  <c:v>40595</c:v>
                </c:pt>
                <c:pt idx="393">
                  <c:v>40596</c:v>
                </c:pt>
                <c:pt idx="394">
                  <c:v>40597</c:v>
                </c:pt>
                <c:pt idx="395">
                  <c:v>40598</c:v>
                </c:pt>
                <c:pt idx="396">
                  <c:v>40599</c:v>
                </c:pt>
                <c:pt idx="397">
                  <c:v>40602</c:v>
                </c:pt>
                <c:pt idx="398">
                  <c:v>40604</c:v>
                </c:pt>
                <c:pt idx="399">
                  <c:v>40605</c:v>
                </c:pt>
                <c:pt idx="400">
                  <c:v>40606</c:v>
                </c:pt>
                <c:pt idx="401">
                  <c:v>40609</c:v>
                </c:pt>
                <c:pt idx="402">
                  <c:v>40610</c:v>
                </c:pt>
                <c:pt idx="403">
                  <c:v>40611</c:v>
                </c:pt>
                <c:pt idx="404">
                  <c:v>40612</c:v>
                </c:pt>
                <c:pt idx="405">
                  <c:v>40613</c:v>
                </c:pt>
                <c:pt idx="406">
                  <c:v>40616</c:v>
                </c:pt>
                <c:pt idx="407">
                  <c:v>40617</c:v>
                </c:pt>
                <c:pt idx="408">
                  <c:v>40618</c:v>
                </c:pt>
                <c:pt idx="409">
                  <c:v>40619</c:v>
                </c:pt>
                <c:pt idx="410">
                  <c:v>40620</c:v>
                </c:pt>
                <c:pt idx="411">
                  <c:v>40623</c:v>
                </c:pt>
                <c:pt idx="412">
                  <c:v>40624</c:v>
                </c:pt>
                <c:pt idx="413">
                  <c:v>40625</c:v>
                </c:pt>
                <c:pt idx="414">
                  <c:v>40626</c:v>
                </c:pt>
                <c:pt idx="415">
                  <c:v>40627</c:v>
                </c:pt>
                <c:pt idx="416">
                  <c:v>40630</c:v>
                </c:pt>
                <c:pt idx="417">
                  <c:v>40631</c:v>
                </c:pt>
                <c:pt idx="418">
                  <c:v>40632</c:v>
                </c:pt>
                <c:pt idx="419">
                  <c:v>40633</c:v>
                </c:pt>
                <c:pt idx="420">
                  <c:v>40634</c:v>
                </c:pt>
                <c:pt idx="421">
                  <c:v>40637</c:v>
                </c:pt>
                <c:pt idx="422">
                  <c:v>40638</c:v>
                </c:pt>
                <c:pt idx="423">
                  <c:v>40639</c:v>
                </c:pt>
                <c:pt idx="424">
                  <c:v>40640</c:v>
                </c:pt>
                <c:pt idx="425">
                  <c:v>40641</c:v>
                </c:pt>
                <c:pt idx="426">
                  <c:v>40644</c:v>
                </c:pt>
                <c:pt idx="427">
                  <c:v>40645</c:v>
                </c:pt>
                <c:pt idx="428">
                  <c:v>40646</c:v>
                </c:pt>
                <c:pt idx="429">
                  <c:v>40647</c:v>
                </c:pt>
                <c:pt idx="430">
                  <c:v>40648</c:v>
                </c:pt>
                <c:pt idx="431">
                  <c:v>40651</c:v>
                </c:pt>
                <c:pt idx="432">
                  <c:v>40652</c:v>
                </c:pt>
                <c:pt idx="433">
                  <c:v>40653</c:v>
                </c:pt>
                <c:pt idx="434">
                  <c:v>40654</c:v>
                </c:pt>
                <c:pt idx="435">
                  <c:v>40655</c:v>
                </c:pt>
                <c:pt idx="436">
                  <c:v>40658</c:v>
                </c:pt>
                <c:pt idx="437">
                  <c:v>40659</c:v>
                </c:pt>
                <c:pt idx="438">
                  <c:v>40660</c:v>
                </c:pt>
                <c:pt idx="439">
                  <c:v>40661</c:v>
                </c:pt>
                <c:pt idx="440">
                  <c:v>40662</c:v>
                </c:pt>
                <c:pt idx="441">
                  <c:v>40665</c:v>
                </c:pt>
                <c:pt idx="442">
                  <c:v>40666</c:v>
                </c:pt>
                <c:pt idx="443">
                  <c:v>40667</c:v>
                </c:pt>
                <c:pt idx="444">
                  <c:v>40669</c:v>
                </c:pt>
                <c:pt idx="445">
                  <c:v>40672</c:v>
                </c:pt>
                <c:pt idx="446">
                  <c:v>40674</c:v>
                </c:pt>
                <c:pt idx="447">
                  <c:v>40675</c:v>
                </c:pt>
                <c:pt idx="448">
                  <c:v>40676</c:v>
                </c:pt>
                <c:pt idx="449">
                  <c:v>40679</c:v>
                </c:pt>
                <c:pt idx="450">
                  <c:v>40680</c:v>
                </c:pt>
                <c:pt idx="451">
                  <c:v>40681</c:v>
                </c:pt>
                <c:pt idx="452">
                  <c:v>40682</c:v>
                </c:pt>
                <c:pt idx="453">
                  <c:v>40683</c:v>
                </c:pt>
                <c:pt idx="454">
                  <c:v>40686</c:v>
                </c:pt>
                <c:pt idx="455">
                  <c:v>40687</c:v>
                </c:pt>
                <c:pt idx="456">
                  <c:v>40688</c:v>
                </c:pt>
                <c:pt idx="457">
                  <c:v>40689</c:v>
                </c:pt>
                <c:pt idx="458">
                  <c:v>40690</c:v>
                </c:pt>
                <c:pt idx="459">
                  <c:v>40693</c:v>
                </c:pt>
                <c:pt idx="460">
                  <c:v>40694</c:v>
                </c:pt>
                <c:pt idx="461">
                  <c:v>40695</c:v>
                </c:pt>
                <c:pt idx="462">
                  <c:v>40696</c:v>
                </c:pt>
                <c:pt idx="463">
                  <c:v>40697</c:v>
                </c:pt>
                <c:pt idx="464">
                  <c:v>40701</c:v>
                </c:pt>
                <c:pt idx="465">
                  <c:v>40702</c:v>
                </c:pt>
                <c:pt idx="466">
                  <c:v>40703</c:v>
                </c:pt>
                <c:pt idx="467">
                  <c:v>40704</c:v>
                </c:pt>
                <c:pt idx="468">
                  <c:v>40707</c:v>
                </c:pt>
                <c:pt idx="469">
                  <c:v>40708</c:v>
                </c:pt>
                <c:pt idx="470">
                  <c:v>40709</c:v>
                </c:pt>
                <c:pt idx="471">
                  <c:v>40710</c:v>
                </c:pt>
                <c:pt idx="472">
                  <c:v>40711</c:v>
                </c:pt>
                <c:pt idx="473">
                  <c:v>40714</c:v>
                </c:pt>
                <c:pt idx="474">
                  <c:v>40715</c:v>
                </c:pt>
                <c:pt idx="475">
                  <c:v>40716</c:v>
                </c:pt>
                <c:pt idx="476">
                  <c:v>40717</c:v>
                </c:pt>
                <c:pt idx="477">
                  <c:v>40718</c:v>
                </c:pt>
                <c:pt idx="478">
                  <c:v>40721</c:v>
                </c:pt>
                <c:pt idx="479">
                  <c:v>40722</c:v>
                </c:pt>
                <c:pt idx="480">
                  <c:v>40723</c:v>
                </c:pt>
                <c:pt idx="481">
                  <c:v>40724</c:v>
                </c:pt>
                <c:pt idx="482">
                  <c:v>40725</c:v>
                </c:pt>
                <c:pt idx="483">
                  <c:v>40728</c:v>
                </c:pt>
                <c:pt idx="484">
                  <c:v>40729</c:v>
                </c:pt>
                <c:pt idx="485">
                  <c:v>40730</c:v>
                </c:pt>
                <c:pt idx="486">
                  <c:v>40731</c:v>
                </c:pt>
                <c:pt idx="487">
                  <c:v>40732</c:v>
                </c:pt>
                <c:pt idx="488">
                  <c:v>40735</c:v>
                </c:pt>
                <c:pt idx="489">
                  <c:v>40736</c:v>
                </c:pt>
                <c:pt idx="490">
                  <c:v>40737</c:v>
                </c:pt>
                <c:pt idx="491">
                  <c:v>40738</c:v>
                </c:pt>
                <c:pt idx="492">
                  <c:v>40739</c:v>
                </c:pt>
                <c:pt idx="493">
                  <c:v>40742</c:v>
                </c:pt>
                <c:pt idx="494">
                  <c:v>40743</c:v>
                </c:pt>
                <c:pt idx="495">
                  <c:v>40744</c:v>
                </c:pt>
                <c:pt idx="496">
                  <c:v>40745</c:v>
                </c:pt>
                <c:pt idx="497">
                  <c:v>40746</c:v>
                </c:pt>
                <c:pt idx="498">
                  <c:v>40749</c:v>
                </c:pt>
                <c:pt idx="499">
                  <c:v>40750</c:v>
                </c:pt>
                <c:pt idx="500">
                  <c:v>40751</c:v>
                </c:pt>
                <c:pt idx="501">
                  <c:v>40752</c:v>
                </c:pt>
                <c:pt idx="502">
                  <c:v>40753</c:v>
                </c:pt>
                <c:pt idx="503">
                  <c:v>40756</c:v>
                </c:pt>
                <c:pt idx="504">
                  <c:v>40757</c:v>
                </c:pt>
                <c:pt idx="505">
                  <c:v>40758</c:v>
                </c:pt>
                <c:pt idx="506">
                  <c:v>40759</c:v>
                </c:pt>
                <c:pt idx="507">
                  <c:v>40760</c:v>
                </c:pt>
                <c:pt idx="508">
                  <c:v>40763</c:v>
                </c:pt>
                <c:pt idx="509">
                  <c:v>40764</c:v>
                </c:pt>
                <c:pt idx="510">
                  <c:v>40765</c:v>
                </c:pt>
                <c:pt idx="511">
                  <c:v>40766</c:v>
                </c:pt>
                <c:pt idx="512">
                  <c:v>40767</c:v>
                </c:pt>
                <c:pt idx="513">
                  <c:v>40771</c:v>
                </c:pt>
                <c:pt idx="514">
                  <c:v>40772</c:v>
                </c:pt>
                <c:pt idx="515">
                  <c:v>40773</c:v>
                </c:pt>
                <c:pt idx="516">
                  <c:v>40774</c:v>
                </c:pt>
                <c:pt idx="517">
                  <c:v>40777</c:v>
                </c:pt>
                <c:pt idx="518">
                  <c:v>40778</c:v>
                </c:pt>
                <c:pt idx="519">
                  <c:v>40779</c:v>
                </c:pt>
                <c:pt idx="520">
                  <c:v>40780</c:v>
                </c:pt>
                <c:pt idx="521">
                  <c:v>40781</c:v>
                </c:pt>
                <c:pt idx="522">
                  <c:v>40784</c:v>
                </c:pt>
                <c:pt idx="523">
                  <c:v>40785</c:v>
                </c:pt>
                <c:pt idx="524">
                  <c:v>40786</c:v>
                </c:pt>
                <c:pt idx="525">
                  <c:v>40787</c:v>
                </c:pt>
                <c:pt idx="526">
                  <c:v>40788</c:v>
                </c:pt>
                <c:pt idx="527">
                  <c:v>40791</c:v>
                </c:pt>
                <c:pt idx="528">
                  <c:v>40792</c:v>
                </c:pt>
                <c:pt idx="529">
                  <c:v>40793</c:v>
                </c:pt>
                <c:pt idx="530">
                  <c:v>40794</c:v>
                </c:pt>
                <c:pt idx="531">
                  <c:v>40795</c:v>
                </c:pt>
                <c:pt idx="532">
                  <c:v>40800</c:v>
                </c:pt>
                <c:pt idx="533">
                  <c:v>40801</c:v>
                </c:pt>
                <c:pt idx="534">
                  <c:v>40802</c:v>
                </c:pt>
                <c:pt idx="535">
                  <c:v>40805</c:v>
                </c:pt>
                <c:pt idx="536">
                  <c:v>40806</c:v>
                </c:pt>
                <c:pt idx="537">
                  <c:v>40807</c:v>
                </c:pt>
                <c:pt idx="538">
                  <c:v>40808</c:v>
                </c:pt>
                <c:pt idx="539">
                  <c:v>40809</c:v>
                </c:pt>
                <c:pt idx="540">
                  <c:v>40812</c:v>
                </c:pt>
                <c:pt idx="541">
                  <c:v>40813</c:v>
                </c:pt>
                <c:pt idx="542">
                  <c:v>40814</c:v>
                </c:pt>
                <c:pt idx="543">
                  <c:v>40815</c:v>
                </c:pt>
                <c:pt idx="544">
                  <c:v>40816</c:v>
                </c:pt>
                <c:pt idx="545">
                  <c:v>40820</c:v>
                </c:pt>
                <c:pt idx="546">
                  <c:v>40821</c:v>
                </c:pt>
                <c:pt idx="547">
                  <c:v>40822</c:v>
                </c:pt>
                <c:pt idx="548">
                  <c:v>40823</c:v>
                </c:pt>
                <c:pt idx="549">
                  <c:v>40826</c:v>
                </c:pt>
                <c:pt idx="550">
                  <c:v>40827</c:v>
                </c:pt>
                <c:pt idx="551">
                  <c:v>40828</c:v>
                </c:pt>
                <c:pt idx="552">
                  <c:v>40829</c:v>
                </c:pt>
                <c:pt idx="553">
                  <c:v>40830</c:v>
                </c:pt>
                <c:pt idx="554">
                  <c:v>40833</c:v>
                </c:pt>
                <c:pt idx="555">
                  <c:v>40834</c:v>
                </c:pt>
                <c:pt idx="556">
                  <c:v>40835</c:v>
                </c:pt>
                <c:pt idx="557">
                  <c:v>40836</c:v>
                </c:pt>
                <c:pt idx="558">
                  <c:v>40837</c:v>
                </c:pt>
                <c:pt idx="559">
                  <c:v>40840</c:v>
                </c:pt>
                <c:pt idx="560">
                  <c:v>40841</c:v>
                </c:pt>
                <c:pt idx="561">
                  <c:v>40842</c:v>
                </c:pt>
                <c:pt idx="562">
                  <c:v>40843</c:v>
                </c:pt>
                <c:pt idx="563">
                  <c:v>40844</c:v>
                </c:pt>
                <c:pt idx="564">
                  <c:v>40847</c:v>
                </c:pt>
                <c:pt idx="565">
                  <c:v>40848</c:v>
                </c:pt>
                <c:pt idx="566">
                  <c:v>40849</c:v>
                </c:pt>
                <c:pt idx="567">
                  <c:v>40850</c:v>
                </c:pt>
                <c:pt idx="568">
                  <c:v>40851</c:v>
                </c:pt>
                <c:pt idx="569">
                  <c:v>40854</c:v>
                </c:pt>
                <c:pt idx="570">
                  <c:v>40855</c:v>
                </c:pt>
                <c:pt idx="571">
                  <c:v>40856</c:v>
                </c:pt>
                <c:pt idx="572">
                  <c:v>40857</c:v>
                </c:pt>
                <c:pt idx="573">
                  <c:v>40858</c:v>
                </c:pt>
                <c:pt idx="574">
                  <c:v>40861</c:v>
                </c:pt>
                <c:pt idx="575">
                  <c:v>40862</c:v>
                </c:pt>
                <c:pt idx="576">
                  <c:v>40863</c:v>
                </c:pt>
                <c:pt idx="577">
                  <c:v>40864</c:v>
                </c:pt>
                <c:pt idx="578">
                  <c:v>40865</c:v>
                </c:pt>
                <c:pt idx="579">
                  <c:v>40868</c:v>
                </c:pt>
                <c:pt idx="580">
                  <c:v>40869</c:v>
                </c:pt>
                <c:pt idx="581">
                  <c:v>40870</c:v>
                </c:pt>
                <c:pt idx="582">
                  <c:v>40871</c:v>
                </c:pt>
                <c:pt idx="583">
                  <c:v>40872</c:v>
                </c:pt>
                <c:pt idx="584">
                  <c:v>40875</c:v>
                </c:pt>
                <c:pt idx="585">
                  <c:v>40876</c:v>
                </c:pt>
                <c:pt idx="586">
                  <c:v>40877</c:v>
                </c:pt>
                <c:pt idx="587">
                  <c:v>40878</c:v>
                </c:pt>
                <c:pt idx="588">
                  <c:v>40879</c:v>
                </c:pt>
                <c:pt idx="589">
                  <c:v>40882</c:v>
                </c:pt>
                <c:pt idx="590">
                  <c:v>40883</c:v>
                </c:pt>
                <c:pt idx="591">
                  <c:v>40884</c:v>
                </c:pt>
                <c:pt idx="592">
                  <c:v>40885</c:v>
                </c:pt>
                <c:pt idx="593">
                  <c:v>40886</c:v>
                </c:pt>
                <c:pt idx="594">
                  <c:v>40889</c:v>
                </c:pt>
                <c:pt idx="595">
                  <c:v>40890</c:v>
                </c:pt>
                <c:pt idx="596">
                  <c:v>40891</c:v>
                </c:pt>
                <c:pt idx="597">
                  <c:v>40892</c:v>
                </c:pt>
                <c:pt idx="598">
                  <c:v>40893</c:v>
                </c:pt>
                <c:pt idx="599">
                  <c:v>40896</c:v>
                </c:pt>
                <c:pt idx="600">
                  <c:v>40897</c:v>
                </c:pt>
                <c:pt idx="601">
                  <c:v>40898</c:v>
                </c:pt>
                <c:pt idx="602">
                  <c:v>40899</c:v>
                </c:pt>
                <c:pt idx="603">
                  <c:v>40900</c:v>
                </c:pt>
                <c:pt idx="604">
                  <c:v>40903</c:v>
                </c:pt>
                <c:pt idx="605">
                  <c:v>40904</c:v>
                </c:pt>
                <c:pt idx="606">
                  <c:v>40905</c:v>
                </c:pt>
                <c:pt idx="607">
                  <c:v>40906</c:v>
                </c:pt>
                <c:pt idx="608">
                  <c:v>40910</c:v>
                </c:pt>
                <c:pt idx="609">
                  <c:v>40911</c:v>
                </c:pt>
                <c:pt idx="610">
                  <c:v>40912</c:v>
                </c:pt>
                <c:pt idx="611">
                  <c:v>40913</c:v>
                </c:pt>
                <c:pt idx="612">
                  <c:v>40914</c:v>
                </c:pt>
                <c:pt idx="613">
                  <c:v>40917</c:v>
                </c:pt>
                <c:pt idx="614">
                  <c:v>40918</c:v>
                </c:pt>
                <c:pt idx="615">
                  <c:v>40919</c:v>
                </c:pt>
                <c:pt idx="616">
                  <c:v>40920</c:v>
                </c:pt>
                <c:pt idx="617">
                  <c:v>40921</c:v>
                </c:pt>
                <c:pt idx="618">
                  <c:v>40924</c:v>
                </c:pt>
                <c:pt idx="619">
                  <c:v>40925</c:v>
                </c:pt>
                <c:pt idx="620">
                  <c:v>40926</c:v>
                </c:pt>
                <c:pt idx="621">
                  <c:v>40927</c:v>
                </c:pt>
                <c:pt idx="622">
                  <c:v>40928</c:v>
                </c:pt>
                <c:pt idx="623">
                  <c:v>40933</c:v>
                </c:pt>
                <c:pt idx="624">
                  <c:v>40934</c:v>
                </c:pt>
                <c:pt idx="625">
                  <c:v>40935</c:v>
                </c:pt>
                <c:pt idx="626">
                  <c:v>40938</c:v>
                </c:pt>
                <c:pt idx="627">
                  <c:v>40939</c:v>
                </c:pt>
                <c:pt idx="628">
                  <c:v>40940</c:v>
                </c:pt>
                <c:pt idx="629">
                  <c:v>40941</c:v>
                </c:pt>
                <c:pt idx="630">
                  <c:v>40942</c:v>
                </c:pt>
                <c:pt idx="631">
                  <c:v>40945</c:v>
                </c:pt>
                <c:pt idx="632">
                  <c:v>40946</c:v>
                </c:pt>
                <c:pt idx="633">
                  <c:v>40947</c:v>
                </c:pt>
                <c:pt idx="634">
                  <c:v>40948</c:v>
                </c:pt>
                <c:pt idx="635">
                  <c:v>40949</c:v>
                </c:pt>
                <c:pt idx="636">
                  <c:v>40952</c:v>
                </c:pt>
                <c:pt idx="637">
                  <c:v>40953</c:v>
                </c:pt>
                <c:pt idx="638">
                  <c:v>40954</c:v>
                </c:pt>
                <c:pt idx="639">
                  <c:v>40955</c:v>
                </c:pt>
                <c:pt idx="640">
                  <c:v>40956</c:v>
                </c:pt>
                <c:pt idx="641">
                  <c:v>40959</c:v>
                </c:pt>
                <c:pt idx="642">
                  <c:v>40960</c:v>
                </c:pt>
                <c:pt idx="643">
                  <c:v>40961</c:v>
                </c:pt>
                <c:pt idx="644">
                  <c:v>40962</c:v>
                </c:pt>
                <c:pt idx="645">
                  <c:v>40963</c:v>
                </c:pt>
                <c:pt idx="646">
                  <c:v>40966</c:v>
                </c:pt>
                <c:pt idx="647">
                  <c:v>40967</c:v>
                </c:pt>
                <c:pt idx="648">
                  <c:v>40968</c:v>
                </c:pt>
                <c:pt idx="649">
                  <c:v>40970</c:v>
                </c:pt>
                <c:pt idx="650">
                  <c:v>40973</c:v>
                </c:pt>
                <c:pt idx="651">
                  <c:v>40974</c:v>
                </c:pt>
                <c:pt idx="652">
                  <c:v>40975</c:v>
                </c:pt>
                <c:pt idx="653">
                  <c:v>40976</c:v>
                </c:pt>
                <c:pt idx="654">
                  <c:v>40977</c:v>
                </c:pt>
                <c:pt idx="655">
                  <c:v>40980</c:v>
                </c:pt>
                <c:pt idx="656">
                  <c:v>40981</c:v>
                </c:pt>
                <c:pt idx="657">
                  <c:v>40982</c:v>
                </c:pt>
                <c:pt idx="658">
                  <c:v>40983</c:v>
                </c:pt>
                <c:pt idx="659">
                  <c:v>40984</c:v>
                </c:pt>
                <c:pt idx="660">
                  <c:v>40987</c:v>
                </c:pt>
                <c:pt idx="661">
                  <c:v>40988</c:v>
                </c:pt>
                <c:pt idx="662">
                  <c:v>40989</c:v>
                </c:pt>
                <c:pt idx="663">
                  <c:v>40990</c:v>
                </c:pt>
                <c:pt idx="664">
                  <c:v>40991</c:v>
                </c:pt>
                <c:pt idx="665">
                  <c:v>40994</c:v>
                </c:pt>
                <c:pt idx="666">
                  <c:v>40995</c:v>
                </c:pt>
                <c:pt idx="667">
                  <c:v>40996</c:v>
                </c:pt>
                <c:pt idx="668">
                  <c:v>40997</c:v>
                </c:pt>
                <c:pt idx="669">
                  <c:v>40998</c:v>
                </c:pt>
                <c:pt idx="670">
                  <c:v>41001</c:v>
                </c:pt>
                <c:pt idx="671">
                  <c:v>41002</c:v>
                </c:pt>
                <c:pt idx="672">
                  <c:v>41003</c:v>
                </c:pt>
                <c:pt idx="673">
                  <c:v>41004</c:v>
                </c:pt>
                <c:pt idx="674">
                  <c:v>41005</c:v>
                </c:pt>
                <c:pt idx="675">
                  <c:v>41008</c:v>
                </c:pt>
                <c:pt idx="676">
                  <c:v>41009</c:v>
                </c:pt>
                <c:pt idx="677">
                  <c:v>41011</c:v>
                </c:pt>
                <c:pt idx="678">
                  <c:v>41012</c:v>
                </c:pt>
                <c:pt idx="679">
                  <c:v>41015</c:v>
                </c:pt>
                <c:pt idx="680">
                  <c:v>41016</c:v>
                </c:pt>
                <c:pt idx="681">
                  <c:v>41017</c:v>
                </c:pt>
                <c:pt idx="682">
                  <c:v>41018</c:v>
                </c:pt>
                <c:pt idx="683">
                  <c:v>41019</c:v>
                </c:pt>
                <c:pt idx="684">
                  <c:v>41022</c:v>
                </c:pt>
                <c:pt idx="685">
                  <c:v>41023</c:v>
                </c:pt>
                <c:pt idx="686">
                  <c:v>41024</c:v>
                </c:pt>
                <c:pt idx="687">
                  <c:v>41025</c:v>
                </c:pt>
                <c:pt idx="688">
                  <c:v>41026</c:v>
                </c:pt>
                <c:pt idx="689">
                  <c:v>41029</c:v>
                </c:pt>
                <c:pt idx="690">
                  <c:v>41031</c:v>
                </c:pt>
                <c:pt idx="691">
                  <c:v>41032</c:v>
                </c:pt>
                <c:pt idx="692">
                  <c:v>41033</c:v>
                </c:pt>
                <c:pt idx="693">
                  <c:v>41036</c:v>
                </c:pt>
                <c:pt idx="694">
                  <c:v>41037</c:v>
                </c:pt>
                <c:pt idx="695">
                  <c:v>41038</c:v>
                </c:pt>
                <c:pt idx="696">
                  <c:v>41039</c:v>
                </c:pt>
                <c:pt idx="697">
                  <c:v>41040</c:v>
                </c:pt>
                <c:pt idx="698">
                  <c:v>41043</c:v>
                </c:pt>
                <c:pt idx="699">
                  <c:v>41044</c:v>
                </c:pt>
                <c:pt idx="700">
                  <c:v>41045</c:v>
                </c:pt>
                <c:pt idx="701">
                  <c:v>41046</c:v>
                </c:pt>
                <c:pt idx="702">
                  <c:v>41047</c:v>
                </c:pt>
                <c:pt idx="703">
                  <c:v>41050</c:v>
                </c:pt>
                <c:pt idx="704">
                  <c:v>41051</c:v>
                </c:pt>
                <c:pt idx="705">
                  <c:v>41052</c:v>
                </c:pt>
                <c:pt idx="706">
                  <c:v>41053</c:v>
                </c:pt>
                <c:pt idx="707">
                  <c:v>41054</c:v>
                </c:pt>
                <c:pt idx="708">
                  <c:v>41058</c:v>
                </c:pt>
                <c:pt idx="709">
                  <c:v>41059</c:v>
                </c:pt>
                <c:pt idx="710">
                  <c:v>41060</c:v>
                </c:pt>
                <c:pt idx="711">
                  <c:v>41061</c:v>
                </c:pt>
                <c:pt idx="712">
                  <c:v>41064</c:v>
                </c:pt>
                <c:pt idx="713">
                  <c:v>41065</c:v>
                </c:pt>
                <c:pt idx="714">
                  <c:v>41067</c:v>
                </c:pt>
                <c:pt idx="715">
                  <c:v>41068</c:v>
                </c:pt>
                <c:pt idx="716">
                  <c:v>41071</c:v>
                </c:pt>
                <c:pt idx="717">
                  <c:v>41072</c:v>
                </c:pt>
                <c:pt idx="718">
                  <c:v>41073</c:v>
                </c:pt>
                <c:pt idx="719">
                  <c:v>41074</c:v>
                </c:pt>
                <c:pt idx="720">
                  <c:v>41075</c:v>
                </c:pt>
                <c:pt idx="721">
                  <c:v>41078</c:v>
                </c:pt>
                <c:pt idx="722">
                  <c:v>41079</c:v>
                </c:pt>
                <c:pt idx="723">
                  <c:v>41080</c:v>
                </c:pt>
                <c:pt idx="724">
                  <c:v>41081</c:v>
                </c:pt>
                <c:pt idx="725">
                  <c:v>41082</c:v>
                </c:pt>
                <c:pt idx="726">
                  <c:v>41085</c:v>
                </c:pt>
                <c:pt idx="727">
                  <c:v>41086</c:v>
                </c:pt>
                <c:pt idx="728">
                  <c:v>41087</c:v>
                </c:pt>
                <c:pt idx="729">
                  <c:v>41088</c:v>
                </c:pt>
                <c:pt idx="730">
                  <c:v>41089</c:v>
                </c:pt>
                <c:pt idx="731">
                  <c:v>41092</c:v>
                </c:pt>
                <c:pt idx="732">
                  <c:v>41093</c:v>
                </c:pt>
                <c:pt idx="733">
                  <c:v>41094</c:v>
                </c:pt>
                <c:pt idx="734">
                  <c:v>41095</c:v>
                </c:pt>
                <c:pt idx="735">
                  <c:v>41096</c:v>
                </c:pt>
                <c:pt idx="736">
                  <c:v>41099</c:v>
                </c:pt>
                <c:pt idx="737">
                  <c:v>41100</c:v>
                </c:pt>
                <c:pt idx="738">
                  <c:v>41101</c:v>
                </c:pt>
                <c:pt idx="739">
                  <c:v>41102</c:v>
                </c:pt>
                <c:pt idx="740">
                  <c:v>41103</c:v>
                </c:pt>
                <c:pt idx="741">
                  <c:v>41106</c:v>
                </c:pt>
                <c:pt idx="742">
                  <c:v>41107</c:v>
                </c:pt>
                <c:pt idx="743">
                  <c:v>41108</c:v>
                </c:pt>
                <c:pt idx="744">
                  <c:v>41109</c:v>
                </c:pt>
                <c:pt idx="745">
                  <c:v>41110</c:v>
                </c:pt>
                <c:pt idx="746">
                  <c:v>41113</c:v>
                </c:pt>
                <c:pt idx="747">
                  <c:v>41114</c:v>
                </c:pt>
                <c:pt idx="748">
                  <c:v>41115</c:v>
                </c:pt>
                <c:pt idx="749">
                  <c:v>41116</c:v>
                </c:pt>
                <c:pt idx="750">
                  <c:v>41117</c:v>
                </c:pt>
                <c:pt idx="751">
                  <c:v>41120</c:v>
                </c:pt>
                <c:pt idx="752">
                  <c:v>41121</c:v>
                </c:pt>
                <c:pt idx="753">
                  <c:v>41122</c:v>
                </c:pt>
                <c:pt idx="754">
                  <c:v>41123</c:v>
                </c:pt>
                <c:pt idx="755">
                  <c:v>41124</c:v>
                </c:pt>
                <c:pt idx="756">
                  <c:v>41127</c:v>
                </c:pt>
                <c:pt idx="757">
                  <c:v>41128</c:v>
                </c:pt>
                <c:pt idx="758">
                  <c:v>41129</c:v>
                </c:pt>
                <c:pt idx="759">
                  <c:v>41130</c:v>
                </c:pt>
                <c:pt idx="760">
                  <c:v>41131</c:v>
                </c:pt>
                <c:pt idx="761">
                  <c:v>41134</c:v>
                </c:pt>
                <c:pt idx="762">
                  <c:v>41135</c:v>
                </c:pt>
                <c:pt idx="763">
                  <c:v>41137</c:v>
                </c:pt>
                <c:pt idx="764">
                  <c:v>41138</c:v>
                </c:pt>
                <c:pt idx="765">
                  <c:v>41141</c:v>
                </c:pt>
                <c:pt idx="766">
                  <c:v>41142</c:v>
                </c:pt>
                <c:pt idx="767">
                  <c:v>41143</c:v>
                </c:pt>
                <c:pt idx="768">
                  <c:v>41144</c:v>
                </c:pt>
                <c:pt idx="769">
                  <c:v>41145</c:v>
                </c:pt>
                <c:pt idx="770">
                  <c:v>41148</c:v>
                </c:pt>
                <c:pt idx="771">
                  <c:v>41149</c:v>
                </c:pt>
                <c:pt idx="772">
                  <c:v>41150</c:v>
                </c:pt>
                <c:pt idx="773">
                  <c:v>41151</c:v>
                </c:pt>
                <c:pt idx="774">
                  <c:v>41152</c:v>
                </c:pt>
                <c:pt idx="775">
                  <c:v>41155</c:v>
                </c:pt>
                <c:pt idx="776">
                  <c:v>41156</c:v>
                </c:pt>
                <c:pt idx="777">
                  <c:v>41157</c:v>
                </c:pt>
                <c:pt idx="778">
                  <c:v>41158</c:v>
                </c:pt>
                <c:pt idx="779">
                  <c:v>41159</c:v>
                </c:pt>
                <c:pt idx="780">
                  <c:v>41162</c:v>
                </c:pt>
                <c:pt idx="781">
                  <c:v>41163</c:v>
                </c:pt>
                <c:pt idx="782">
                  <c:v>41164</c:v>
                </c:pt>
                <c:pt idx="783">
                  <c:v>41165</c:v>
                </c:pt>
                <c:pt idx="784">
                  <c:v>41166</c:v>
                </c:pt>
                <c:pt idx="785">
                  <c:v>41169</c:v>
                </c:pt>
                <c:pt idx="786">
                  <c:v>41170</c:v>
                </c:pt>
                <c:pt idx="787">
                  <c:v>41171</c:v>
                </c:pt>
                <c:pt idx="788">
                  <c:v>41172</c:v>
                </c:pt>
                <c:pt idx="789">
                  <c:v>41173</c:v>
                </c:pt>
                <c:pt idx="790">
                  <c:v>41176</c:v>
                </c:pt>
                <c:pt idx="791">
                  <c:v>41177</c:v>
                </c:pt>
                <c:pt idx="792">
                  <c:v>41178</c:v>
                </c:pt>
                <c:pt idx="793">
                  <c:v>41179</c:v>
                </c:pt>
                <c:pt idx="794">
                  <c:v>41180</c:v>
                </c:pt>
                <c:pt idx="795">
                  <c:v>41184</c:v>
                </c:pt>
                <c:pt idx="796">
                  <c:v>41186</c:v>
                </c:pt>
                <c:pt idx="797">
                  <c:v>41187</c:v>
                </c:pt>
                <c:pt idx="798">
                  <c:v>41190</c:v>
                </c:pt>
                <c:pt idx="799">
                  <c:v>41191</c:v>
                </c:pt>
                <c:pt idx="800">
                  <c:v>41192</c:v>
                </c:pt>
                <c:pt idx="801">
                  <c:v>41193</c:v>
                </c:pt>
                <c:pt idx="802">
                  <c:v>41194</c:v>
                </c:pt>
                <c:pt idx="803">
                  <c:v>41197</c:v>
                </c:pt>
                <c:pt idx="804">
                  <c:v>41198</c:v>
                </c:pt>
                <c:pt idx="805">
                  <c:v>41199</c:v>
                </c:pt>
                <c:pt idx="806">
                  <c:v>41200</c:v>
                </c:pt>
                <c:pt idx="807">
                  <c:v>41201</c:v>
                </c:pt>
                <c:pt idx="808">
                  <c:v>41204</c:v>
                </c:pt>
                <c:pt idx="809">
                  <c:v>41205</c:v>
                </c:pt>
                <c:pt idx="810">
                  <c:v>41206</c:v>
                </c:pt>
                <c:pt idx="811">
                  <c:v>41207</c:v>
                </c:pt>
                <c:pt idx="812">
                  <c:v>41208</c:v>
                </c:pt>
                <c:pt idx="813">
                  <c:v>41211</c:v>
                </c:pt>
                <c:pt idx="814">
                  <c:v>41212</c:v>
                </c:pt>
                <c:pt idx="815">
                  <c:v>41213</c:v>
                </c:pt>
                <c:pt idx="816">
                  <c:v>41214</c:v>
                </c:pt>
                <c:pt idx="817">
                  <c:v>41215</c:v>
                </c:pt>
                <c:pt idx="818">
                  <c:v>41218</c:v>
                </c:pt>
                <c:pt idx="819">
                  <c:v>41219</c:v>
                </c:pt>
                <c:pt idx="820">
                  <c:v>41220</c:v>
                </c:pt>
                <c:pt idx="821">
                  <c:v>41221</c:v>
                </c:pt>
                <c:pt idx="822">
                  <c:v>41222</c:v>
                </c:pt>
                <c:pt idx="823">
                  <c:v>41225</c:v>
                </c:pt>
                <c:pt idx="824">
                  <c:v>41226</c:v>
                </c:pt>
                <c:pt idx="825">
                  <c:v>41227</c:v>
                </c:pt>
                <c:pt idx="826">
                  <c:v>41228</c:v>
                </c:pt>
                <c:pt idx="827">
                  <c:v>41229</c:v>
                </c:pt>
                <c:pt idx="828">
                  <c:v>41232</c:v>
                </c:pt>
                <c:pt idx="829">
                  <c:v>41233</c:v>
                </c:pt>
                <c:pt idx="830">
                  <c:v>41234</c:v>
                </c:pt>
                <c:pt idx="831">
                  <c:v>41235</c:v>
                </c:pt>
                <c:pt idx="832">
                  <c:v>41236</c:v>
                </c:pt>
                <c:pt idx="833">
                  <c:v>41239</c:v>
                </c:pt>
                <c:pt idx="834">
                  <c:v>41240</c:v>
                </c:pt>
                <c:pt idx="835">
                  <c:v>41241</c:v>
                </c:pt>
                <c:pt idx="836">
                  <c:v>41242</c:v>
                </c:pt>
                <c:pt idx="837">
                  <c:v>41243</c:v>
                </c:pt>
                <c:pt idx="838">
                  <c:v>41246</c:v>
                </c:pt>
                <c:pt idx="839">
                  <c:v>41247</c:v>
                </c:pt>
                <c:pt idx="840">
                  <c:v>41248</c:v>
                </c:pt>
                <c:pt idx="841">
                  <c:v>41249</c:v>
                </c:pt>
                <c:pt idx="842">
                  <c:v>41250</c:v>
                </c:pt>
                <c:pt idx="843">
                  <c:v>41253</c:v>
                </c:pt>
                <c:pt idx="844">
                  <c:v>41254</c:v>
                </c:pt>
                <c:pt idx="845">
                  <c:v>41255</c:v>
                </c:pt>
                <c:pt idx="846">
                  <c:v>41256</c:v>
                </c:pt>
                <c:pt idx="847">
                  <c:v>41257</c:v>
                </c:pt>
                <c:pt idx="848">
                  <c:v>41260</c:v>
                </c:pt>
                <c:pt idx="849">
                  <c:v>41261</c:v>
                </c:pt>
                <c:pt idx="850">
                  <c:v>41263</c:v>
                </c:pt>
                <c:pt idx="851">
                  <c:v>41264</c:v>
                </c:pt>
                <c:pt idx="852">
                  <c:v>41267</c:v>
                </c:pt>
                <c:pt idx="853">
                  <c:v>41269</c:v>
                </c:pt>
                <c:pt idx="854">
                  <c:v>41270</c:v>
                </c:pt>
                <c:pt idx="855">
                  <c:v>41271</c:v>
                </c:pt>
                <c:pt idx="856">
                  <c:v>41276</c:v>
                </c:pt>
                <c:pt idx="857">
                  <c:v>41277</c:v>
                </c:pt>
                <c:pt idx="858">
                  <c:v>41278</c:v>
                </c:pt>
                <c:pt idx="859">
                  <c:v>41281</c:v>
                </c:pt>
                <c:pt idx="860">
                  <c:v>41282</c:v>
                </c:pt>
                <c:pt idx="861">
                  <c:v>41283</c:v>
                </c:pt>
                <c:pt idx="862">
                  <c:v>41284</c:v>
                </c:pt>
                <c:pt idx="863">
                  <c:v>41285</c:v>
                </c:pt>
                <c:pt idx="864">
                  <c:v>41288</c:v>
                </c:pt>
                <c:pt idx="865">
                  <c:v>41289</c:v>
                </c:pt>
                <c:pt idx="866">
                  <c:v>41290</c:v>
                </c:pt>
                <c:pt idx="867">
                  <c:v>41291</c:v>
                </c:pt>
                <c:pt idx="868">
                  <c:v>41292</c:v>
                </c:pt>
                <c:pt idx="869">
                  <c:v>41295</c:v>
                </c:pt>
                <c:pt idx="870">
                  <c:v>41296</c:v>
                </c:pt>
                <c:pt idx="871">
                  <c:v>41297</c:v>
                </c:pt>
                <c:pt idx="872">
                  <c:v>41298</c:v>
                </c:pt>
                <c:pt idx="873">
                  <c:v>41299</c:v>
                </c:pt>
                <c:pt idx="874">
                  <c:v>41302</c:v>
                </c:pt>
                <c:pt idx="875">
                  <c:v>41303</c:v>
                </c:pt>
                <c:pt idx="876">
                  <c:v>41304</c:v>
                </c:pt>
                <c:pt idx="877">
                  <c:v>41305</c:v>
                </c:pt>
                <c:pt idx="878">
                  <c:v>41306</c:v>
                </c:pt>
                <c:pt idx="879">
                  <c:v>41309</c:v>
                </c:pt>
                <c:pt idx="880">
                  <c:v>41310</c:v>
                </c:pt>
                <c:pt idx="881">
                  <c:v>41311</c:v>
                </c:pt>
                <c:pt idx="882">
                  <c:v>41312</c:v>
                </c:pt>
                <c:pt idx="883">
                  <c:v>41313</c:v>
                </c:pt>
                <c:pt idx="884">
                  <c:v>41317</c:v>
                </c:pt>
                <c:pt idx="885">
                  <c:v>41318</c:v>
                </c:pt>
                <c:pt idx="886">
                  <c:v>41319</c:v>
                </c:pt>
                <c:pt idx="887">
                  <c:v>41320</c:v>
                </c:pt>
                <c:pt idx="888">
                  <c:v>41323</c:v>
                </c:pt>
                <c:pt idx="889">
                  <c:v>41324</c:v>
                </c:pt>
                <c:pt idx="890">
                  <c:v>41325</c:v>
                </c:pt>
                <c:pt idx="891">
                  <c:v>41326</c:v>
                </c:pt>
                <c:pt idx="892">
                  <c:v>41327</c:v>
                </c:pt>
                <c:pt idx="893">
                  <c:v>41330</c:v>
                </c:pt>
                <c:pt idx="894">
                  <c:v>41331</c:v>
                </c:pt>
                <c:pt idx="895">
                  <c:v>41332</c:v>
                </c:pt>
                <c:pt idx="896">
                  <c:v>41333</c:v>
                </c:pt>
                <c:pt idx="897">
                  <c:v>41337</c:v>
                </c:pt>
                <c:pt idx="898">
                  <c:v>41338</c:v>
                </c:pt>
                <c:pt idx="899">
                  <c:v>41339</c:v>
                </c:pt>
                <c:pt idx="900">
                  <c:v>41340</c:v>
                </c:pt>
                <c:pt idx="901">
                  <c:v>41341</c:v>
                </c:pt>
                <c:pt idx="902">
                  <c:v>41344</c:v>
                </c:pt>
                <c:pt idx="903">
                  <c:v>41345</c:v>
                </c:pt>
                <c:pt idx="904">
                  <c:v>41346</c:v>
                </c:pt>
                <c:pt idx="905">
                  <c:v>41347</c:v>
                </c:pt>
                <c:pt idx="906">
                  <c:v>41348</c:v>
                </c:pt>
                <c:pt idx="907">
                  <c:v>41351</c:v>
                </c:pt>
                <c:pt idx="908">
                  <c:v>41352</c:v>
                </c:pt>
                <c:pt idx="909">
                  <c:v>41353</c:v>
                </c:pt>
                <c:pt idx="910">
                  <c:v>41354</c:v>
                </c:pt>
                <c:pt idx="911">
                  <c:v>41355</c:v>
                </c:pt>
                <c:pt idx="912">
                  <c:v>41358</c:v>
                </c:pt>
                <c:pt idx="913">
                  <c:v>41359</c:v>
                </c:pt>
                <c:pt idx="914">
                  <c:v>41360</c:v>
                </c:pt>
                <c:pt idx="915">
                  <c:v>41361</c:v>
                </c:pt>
                <c:pt idx="916">
                  <c:v>41362</c:v>
                </c:pt>
                <c:pt idx="917">
                  <c:v>41365</c:v>
                </c:pt>
                <c:pt idx="918">
                  <c:v>41366</c:v>
                </c:pt>
                <c:pt idx="919">
                  <c:v>41367</c:v>
                </c:pt>
                <c:pt idx="920">
                  <c:v>41368</c:v>
                </c:pt>
                <c:pt idx="921">
                  <c:v>41369</c:v>
                </c:pt>
                <c:pt idx="922">
                  <c:v>41372</c:v>
                </c:pt>
                <c:pt idx="923">
                  <c:v>41373</c:v>
                </c:pt>
                <c:pt idx="924">
                  <c:v>41374</c:v>
                </c:pt>
                <c:pt idx="925">
                  <c:v>41375</c:v>
                </c:pt>
                <c:pt idx="926">
                  <c:v>41376</c:v>
                </c:pt>
                <c:pt idx="927">
                  <c:v>41379</c:v>
                </c:pt>
                <c:pt idx="928">
                  <c:v>41380</c:v>
                </c:pt>
                <c:pt idx="929">
                  <c:v>41381</c:v>
                </c:pt>
                <c:pt idx="930">
                  <c:v>41382</c:v>
                </c:pt>
                <c:pt idx="931">
                  <c:v>41383</c:v>
                </c:pt>
                <c:pt idx="932">
                  <c:v>41386</c:v>
                </c:pt>
                <c:pt idx="933">
                  <c:v>41387</c:v>
                </c:pt>
                <c:pt idx="934">
                  <c:v>41388</c:v>
                </c:pt>
                <c:pt idx="935">
                  <c:v>41389</c:v>
                </c:pt>
                <c:pt idx="936">
                  <c:v>41390</c:v>
                </c:pt>
                <c:pt idx="937">
                  <c:v>41393</c:v>
                </c:pt>
                <c:pt idx="938">
                  <c:v>41394</c:v>
                </c:pt>
                <c:pt idx="939">
                  <c:v>41396</c:v>
                </c:pt>
                <c:pt idx="940">
                  <c:v>41397</c:v>
                </c:pt>
                <c:pt idx="941">
                  <c:v>41400</c:v>
                </c:pt>
                <c:pt idx="942">
                  <c:v>41401</c:v>
                </c:pt>
                <c:pt idx="943">
                  <c:v>41402</c:v>
                </c:pt>
                <c:pt idx="944">
                  <c:v>41403</c:v>
                </c:pt>
                <c:pt idx="945">
                  <c:v>41404</c:v>
                </c:pt>
                <c:pt idx="946">
                  <c:v>41407</c:v>
                </c:pt>
                <c:pt idx="947">
                  <c:v>41408</c:v>
                </c:pt>
                <c:pt idx="948">
                  <c:v>41409</c:v>
                </c:pt>
                <c:pt idx="949">
                  <c:v>41410</c:v>
                </c:pt>
                <c:pt idx="950">
                  <c:v>41414</c:v>
                </c:pt>
                <c:pt idx="951">
                  <c:v>41415</c:v>
                </c:pt>
                <c:pt idx="952">
                  <c:v>41416</c:v>
                </c:pt>
                <c:pt idx="953">
                  <c:v>41417</c:v>
                </c:pt>
                <c:pt idx="954">
                  <c:v>41418</c:v>
                </c:pt>
                <c:pt idx="955">
                  <c:v>41421</c:v>
                </c:pt>
                <c:pt idx="956">
                  <c:v>41422</c:v>
                </c:pt>
                <c:pt idx="957">
                  <c:v>41423</c:v>
                </c:pt>
                <c:pt idx="958">
                  <c:v>41424</c:v>
                </c:pt>
                <c:pt idx="959">
                  <c:v>41425</c:v>
                </c:pt>
                <c:pt idx="960">
                  <c:v>41428</c:v>
                </c:pt>
                <c:pt idx="961">
                  <c:v>41429</c:v>
                </c:pt>
                <c:pt idx="962">
                  <c:v>41430</c:v>
                </c:pt>
                <c:pt idx="963">
                  <c:v>41432</c:v>
                </c:pt>
                <c:pt idx="964">
                  <c:v>41435</c:v>
                </c:pt>
                <c:pt idx="965">
                  <c:v>41436</c:v>
                </c:pt>
                <c:pt idx="966">
                  <c:v>41437</c:v>
                </c:pt>
                <c:pt idx="967">
                  <c:v>41437</c:v>
                </c:pt>
                <c:pt idx="968">
                  <c:v>41437</c:v>
                </c:pt>
                <c:pt idx="969">
                  <c:v>41437</c:v>
                </c:pt>
                <c:pt idx="970">
                  <c:v>41437</c:v>
                </c:pt>
                <c:pt idx="971">
                  <c:v>41437</c:v>
                </c:pt>
                <c:pt idx="972">
                  <c:v>41437</c:v>
                </c:pt>
                <c:pt idx="973">
                  <c:v>41437</c:v>
                </c:pt>
              </c:numCache>
            </c:numRef>
          </c:cat>
          <c:val>
            <c:numRef>
              <c:f>'ETF StepUp'!$O$15:$O$988</c:f>
              <c:numCache>
                <c:formatCode>General</c:formatCode>
                <c:ptCount val="974"/>
                <c:pt idx="0">
                  <c:v>0</c:v>
                </c:pt>
                <c:pt idx="1">
                  <c:v>0</c:v>
                </c:pt>
                <c:pt idx="2" formatCode="0.00%">
                  <c:v>1.6173177407315276E-2</c:v>
                </c:pt>
                <c:pt idx="3" formatCode="0.00%">
                  <c:v>1.7887183283906927E-2</c:v>
                </c:pt>
                <c:pt idx="4" formatCode="0.00%">
                  <c:v>1.959825637117163E-2</c:v>
                </c:pt>
                <c:pt idx="5" formatCode="0.00%">
                  <c:v>1.5449891315046704E-2</c:v>
                </c:pt>
                <c:pt idx="6" formatCode="0.00%">
                  <c:v>1.8602835245236437E-2</c:v>
                </c:pt>
                <c:pt idx="7" formatCode="0.00%">
                  <c:v>2.3729788370236437E-2</c:v>
                </c:pt>
                <c:pt idx="8" formatCode="0.00%">
                  <c:v>2.348689305811592E-2</c:v>
                </c:pt>
                <c:pt idx="9" formatCode="0.00%">
                  <c:v>2.4458710356463863E-2</c:v>
                </c:pt>
                <c:pt idx="10" formatCode="0.00%">
                  <c:v>1.4929808111041774E-2</c:v>
                </c:pt>
                <c:pt idx="11" formatCode="0.00%">
                  <c:v>1.9977953071499275E-2</c:v>
                </c:pt>
                <c:pt idx="12" formatCode="0.00%">
                  <c:v>3.1685270144670014E-2</c:v>
                </c:pt>
                <c:pt idx="13" formatCode="0.00%">
                  <c:v>3.4789056316517353E-3</c:v>
                </c:pt>
                <c:pt idx="14" formatCode="0.00%">
                  <c:v>6.6532292762846619E-3</c:v>
                </c:pt>
                <c:pt idx="15" formatCode="0.00%">
                  <c:v>5.4171353331449353E-3</c:v>
                </c:pt>
                <c:pt idx="16" formatCode="0.00%">
                  <c:v>2.4013907549066234E-2</c:v>
                </c:pt>
                <c:pt idx="17" formatCode="0.00%">
                  <c:v>3.0318466229958537E-2</c:v>
                </c:pt>
                <c:pt idx="18" formatCode="0.00%">
                  <c:v>5.0559430085380275E-2</c:v>
                </c:pt>
                <c:pt idx="19" formatCode="0.00%">
                  <c:v>4.3946298295111041E-2</c:v>
                </c:pt>
                <c:pt idx="20" formatCode="0.00%">
                  <c:v>4.9567828572512199E-2</c:v>
                </c:pt>
                <c:pt idx="21" formatCode="0.00%">
                  <c:v>4.011603273130239E-2</c:v>
                </c:pt>
                <c:pt idx="22" formatCode="0.00%">
                  <c:v>4.4431327775704466E-2</c:v>
                </c:pt>
                <c:pt idx="23" formatCode="0.00%">
                  <c:v>3.3750102995262932E-2</c:v>
                </c:pt>
                <c:pt idx="24" formatCode="0.00%">
                  <c:v>5.4263538695838845E-2</c:v>
                </c:pt>
                <c:pt idx="25" formatCode="0.00%">
                  <c:v>4.8633700553685391E-2</c:v>
                </c:pt>
                <c:pt idx="26" formatCode="0.00%">
                  <c:v>4.7997086220648848E-2</c:v>
                </c:pt>
                <c:pt idx="27" formatCode="0.00%">
                  <c:v>4.560155351261614E-2</c:v>
                </c:pt>
                <c:pt idx="28" formatCode="0.00%">
                  <c:v>4.4439706137591982E-2</c:v>
                </c:pt>
                <c:pt idx="29" formatCode="0.00%">
                  <c:v>5.1168567221970426E-2</c:v>
                </c:pt>
                <c:pt idx="30" formatCode="0.00%">
                  <c:v>4.5992096633735088E-2</c:v>
                </c:pt>
                <c:pt idx="31" formatCode="0.00%">
                  <c:v>6.5007313854210796E-2</c:v>
                </c:pt>
                <c:pt idx="32" formatCode="0.00%">
                  <c:v>7.0331387928284889E-2</c:v>
                </c:pt>
                <c:pt idx="33" formatCode="0.00%">
                  <c:v>5.9969886661879218E-2</c:v>
                </c:pt>
                <c:pt idx="34" formatCode="0.00%">
                  <c:v>7.028900956646332E-2</c:v>
                </c:pt>
                <c:pt idx="35" formatCode="0.00%">
                  <c:v>9.2603249272007346E-2</c:v>
                </c:pt>
                <c:pt idx="36" formatCode="0.00%">
                  <c:v>9.8453834330513121E-2</c:v>
                </c:pt>
                <c:pt idx="37" formatCode="0.00%">
                  <c:v>9.9796116209707728E-2</c:v>
                </c:pt>
                <c:pt idx="38" formatCode="0.00%">
                  <c:v>9.6891737299966904E-2</c:v>
                </c:pt>
                <c:pt idx="39" formatCode="0.00%">
                  <c:v>0.10900816293788097</c:v>
                </c:pt>
                <c:pt idx="40" formatCode="0.00%">
                  <c:v>0.10812398963991456</c:v>
                </c:pt>
                <c:pt idx="41" formatCode="0.00%">
                  <c:v>9.9698295778622173E-2</c:v>
                </c:pt>
                <c:pt idx="42" formatCode="0.00%">
                  <c:v>9.6290547842295598E-2</c:v>
                </c:pt>
                <c:pt idx="43" formatCode="0.00%">
                  <c:v>8.8602950061351077E-2</c:v>
                </c:pt>
                <c:pt idx="44" formatCode="0.00%">
                  <c:v>9.6491934553565542E-2</c:v>
                </c:pt>
                <c:pt idx="45" formatCode="0.00%">
                  <c:v>8.9991149976116583E-2</c:v>
                </c:pt>
                <c:pt idx="46" formatCode="0.00%">
                  <c:v>7.3591100034183662E-2</c:v>
                </c:pt>
                <c:pt idx="47" formatCode="0.00%">
                  <c:v>5.0453101507133453E-2</c:v>
                </c:pt>
                <c:pt idx="48" formatCode="0.00%">
                  <c:v>4.5453550174262745E-2</c:v>
                </c:pt>
                <c:pt idx="49" formatCode="0.00%">
                  <c:v>4.5181847874829636E-2</c:v>
                </c:pt>
                <c:pt idx="50" formatCode="0.00%">
                  <c:v>5.2299285597249542E-2</c:v>
                </c:pt>
                <c:pt idx="51" formatCode="0.00%">
                  <c:v>7.467855532634253E-2</c:v>
                </c:pt>
                <c:pt idx="52" formatCode="0.00%">
                  <c:v>6.9609430902379407E-2</c:v>
                </c:pt>
                <c:pt idx="53" formatCode="0.00%">
                  <c:v>6.3424411540594097E-2</c:v>
                </c:pt>
                <c:pt idx="54" formatCode="0.00%">
                  <c:v>7.6666739146749346E-2</c:v>
                </c:pt>
                <c:pt idx="55" formatCode="0.00%">
                  <c:v>8.2412544708689056E-2</c:v>
                </c:pt>
                <c:pt idx="56" formatCode="0.00%">
                  <c:v>7.1672142514904807E-2</c:v>
                </c:pt>
                <c:pt idx="57" formatCode="0.00%">
                  <c:v>7.7737345993733137E-2</c:v>
                </c:pt>
                <c:pt idx="58" formatCode="0.00%">
                  <c:v>8.3475239039406873E-2</c:v>
                </c:pt>
                <c:pt idx="59" formatCode="0.00%">
                  <c:v>8.0964969755974642E-2</c:v>
                </c:pt>
                <c:pt idx="60" formatCode="0.00%">
                  <c:v>6.5335835795384489E-2</c:v>
                </c:pt>
                <c:pt idx="61" formatCode="0.00%">
                  <c:v>7.1544394294770733E-2</c:v>
                </c:pt>
                <c:pt idx="62" formatCode="0.00%">
                  <c:v>8.5648440537545348E-2</c:v>
                </c:pt>
                <c:pt idx="63" formatCode="0.00%">
                  <c:v>8.1088477017253482E-2</c:v>
                </c:pt>
                <c:pt idx="64" formatCode="0.00%">
                  <c:v>5.7940787192013156E-2</c:v>
                </c:pt>
                <c:pt idx="65" formatCode="0.00%">
                  <c:v>4.3475344164832709E-2</c:v>
                </c:pt>
                <c:pt idx="66" formatCode="0.00%">
                  <c:v>4.1725396432119935E-2</c:v>
                </c:pt>
                <c:pt idx="67" formatCode="0.00%">
                  <c:v>2.9840825324816446E-2</c:v>
                </c:pt>
                <c:pt idx="68" formatCode="0.00%">
                  <c:v>2.3263696206973272E-2</c:v>
                </c:pt>
                <c:pt idx="69" formatCode="0.00%">
                  <c:v>4.0740416227553783E-2</c:v>
                </c:pt>
                <c:pt idx="70" formatCode="0.00%">
                  <c:v>2.4673269944580217E-2</c:v>
                </c:pt>
                <c:pt idx="71" formatCode="0.00%">
                  <c:v>3.6498870295369086E-2</c:v>
                </c:pt>
                <c:pt idx="72" formatCode="0.00%">
                  <c:v>4.0347799811847392E-2</c:v>
                </c:pt>
                <c:pt idx="73" formatCode="0.00%">
                  <c:v>4.3463064609355069E-2</c:v>
                </c:pt>
                <c:pt idx="74" formatCode="0.00%">
                  <c:v>5.5168750228084269E-2</c:v>
                </c:pt>
                <c:pt idx="75" formatCode="0.00%">
                  <c:v>4.5015267347328698E-2</c:v>
                </c:pt>
                <c:pt idx="76" formatCode="0.00%">
                  <c:v>4.0036273708160777E-2</c:v>
                </c:pt>
                <c:pt idx="77" formatCode="0.00%">
                  <c:v>5.3591760263770917E-2</c:v>
                </c:pt>
                <c:pt idx="78" formatCode="0.00%">
                  <c:v>5.0046499096198217E-2</c:v>
                </c:pt>
                <c:pt idx="79" formatCode="0.00%">
                  <c:v>6.0060456649165761E-2</c:v>
                </c:pt>
                <c:pt idx="80" formatCode="0.00%">
                  <c:v>7.202386270124167E-2</c:v>
                </c:pt>
                <c:pt idx="81" formatCode="0.00%">
                  <c:v>7.1560255839860087E-2</c:v>
                </c:pt>
                <c:pt idx="82" formatCode="0.00%">
                  <c:v>7.0998613098828739E-2</c:v>
                </c:pt>
                <c:pt idx="83" formatCode="0.00%">
                  <c:v>6.1949889200916958E-2</c:v>
                </c:pt>
                <c:pt idx="84" formatCode="0.00%">
                  <c:v>6.5274376073874457E-2</c:v>
                </c:pt>
                <c:pt idx="85" formatCode="0.00%">
                  <c:v>5.7341571594173107E-2</c:v>
                </c:pt>
                <c:pt idx="86" formatCode="0.00%">
                  <c:v>1.570033984900631E-2</c:v>
                </c:pt>
                <c:pt idx="87" formatCode="0.00%">
                  <c:v>3.3639233510287997E-2</c:v>
                </c:pt>
                <c:pt idx="88" formatCode="0.00%">
                  <c:v>4.3798885179373609E-2</c:v>
                </c:pt>
                <c:pt idx="89" formatCode="0.00%">
                  <c:v>5.8166701271327642E-2</c:v>
                </c:pt>
                <c:pt idx="90" formatCode="0.00%">
                  <c:v>7.4691724878504201E-2</c:v>
                </c:pt>
                <c:pt idx="91" formatCode="0.00%">
                  <c:v>7.9568640809762919E-2</c:v>
                </c:pt>
                <c:pt idx="92" formatCode="0.00%">
                  <c:v>8.4190780860606412E-2</c:v>
                </c:pt>
                <c:pt idx="93" formatCode="0.00%">
                  <c:v>8.1660300069256092E-2</c:v>
                </c:pt>
                <c:pt idx="94" formatCode="0.00%">
                  <c:v>8.5124942662067812E-2</c:v>
                </c:pt>
                <c:pt idx="95" formatCode="0.00%">
                  <c:v>8.4665383838538374E-2</c:v>
                </c:pt>
                <c:pt idx="96" formatCode="0.00%">
                  <c:v>0.10006768268911302</c:v>
                </c:pt>
                <c:pt idx="97" formatCode="0.00%">
                  <c:v>0.10278445878148333</c:v>
                </c:pt>
                <c:pt idx="98" formatCode="0.00%">
                  <c:v>0.10301024338297347</c:v>
                </c:pt>
                <c:pt idx="99" formatCode="0.00%">
                  <c:v>9.9991252884784609E-2</c:v>
                </c:pt>
                <c:pt idx="100" formatCode="0.00%">
                  <c:v>9.0708934569185828E-2</c:v>
                </c:pt>
                <c:pt idx="101" formatCode="0.00%">
                  <c:v>8.9826413295374857E-2</c:v>
                </c:pt>
                <c:pt idx="102" formatCode="0.00%">
                  <c:v>8.9041630549669196E-2</c:v>
                </c:pt>
                <c:pt idx="103" formatCode="0.00%">
                  <c:v>9.5248423545014657E-2</c:v>
                </c:pt>
                <c:pt idx="104" formatCode="0.00%">
                  <c:v>9.8885613815530779E-2</c:v>
                </c:pt>
                <c:pt idx="105" formatCode="0.00%">
                  <c:v>0.11247564779061574</c:v>
                </c:pt>
                <c:pt idx="106" formatCode="0.00%">
                  <c:v>0.11024101091910736</c:v>
                </c:pt>
                <c:pt idx="107" formatCode="0.00%">
                  <c:v>0.11430159996974328</c:v>
                </c:pt>
                <c:pt idx="108" formatCode="0.00%">
                  <c:v>0.12099056318044561</c:v>
                </c:pt>
                <c:pt idx="109" formatCode="0.00%">
                  <c:v>0.12697062962562838</c:v>
                </c:pt>
                <c:pt idx="110" formatCode="0.00%">
                  <c:v>0.1260899603169538</c:v>
                </c:pt>
                <c:pt idx="111" formatCode="0.00%">
                  <c:v>0.13228677136697059</c:v>
                </c:pt>
                <c:pt idx="112" formatCode="0.00%">
                  <c:v>0.1200302600953575</c:v>
                </c:pt>
                <c:pt idx="113" formatCode="0.00%">
                  <c:v>0.12362502490428727</c:v>
                </c:pt>
                <c:pt idx="114" formatCode="0.00%">
                  <c:v>0.12362502490428727</c:v>
                </c:pt>
                <c:pt idx="115" formatCode="0.00%">
                  <c:v>0.12473482811781723</c:v>
                </c:pt>
                <c:pt idx="116" formatCode="0.00%">
                  <c:v>0.11011688686067853</c:v>
                </c:pt>
                <c:pt idx="117" formatCode="0.00%">
                  <c:v>0.1208095566656549</c:v>
                </c:pt>
                <c:pt idx="118" formatCode="0.00%">
                  <c:v>0.12546174984243824</c:v>
                </c:pt>
                <c:pt idx="119" formatCode="0.00%">
                  <c:v>0.13053341467154517</c:v>
                </c:pt>
                <c:pt idx="120" formatCode="0.00%">
                  <c:v>0.13141099255658256</c:v>
                </c:pt>
                <c:pt idx="121" formatCode="0.00%">
                  <c:v>0.13250700307828361</c:v>
                </c:pt>
                <c:pt idx="122" formatCode="0.00%">
                  <c:v>0.1410465257408629</c:v>
                </c:pt>
                <c:pt idx="123" formatCode="0.00%">
                  <c:v>0.11521065947946468</c:v>
                </c:pt>
                <c:pt idx="124" formatCode="0.00%">
                  <c:v>0.11177179245384834</c:v>
                </c:pt>
                <c:pt idx="125" formatCode="0.00%">
                  <c:v>9.3124359619888242E-2</c:v>
                </c:pt>
                <c:pt idx="126" formatCode="0.00%">
                  <c:v>8.5516408968757354E-2</c:v>
                </c:pt>
                <c:pt idx="127" formatCode="0.00%">
                  <c:v>9.7013302913821375E-2</c:v>
                </c:pt>
                <c:pt idx="128" formatCode="0.00%">
                  <c:v>6.994323921955381E-2</c:v>
                </c:pt>
                <c:pt idx="129" formatCode="0.00%">
                  <c:v>7.3329423758813878E-2</c:v>
                </c:pt>
                <c:pt idx="130" formatCode="0.00%">
                  <c:v>6.7505990262424403E-2</c:v>
                </c:pt>
                <c:pt idx="131" formatCode="0.00%">
                  <c:v>7.7906351250659298E-2</c:v>
                </c:pt>
                <c:pt idx="132" formatCode="0.00%">
                  <c:v>7.6748139529556655E-2</c:v>
                </c:pt>
                <c:pt idx="133" formatCode="0.00%">
                  <c:v>5.1210759013622653E-2</c:v>
                </c:pt>
                <c:pt idx="134" formatCode="0.00%">
                  <c:v>4.3633216523360399E-2</c:v>
                </c:pt>
                <c:pt idx="135" formatCode="0.00%">
                  <c:v>6.5483273341273143E-2</c:v>
                </c:pt>
                <c:pt idx="136" formatCode="0.00%">
                  <c:v>5.3743273583923896E-2</c:v>
                </c:pt>
                <c:pt idx="137" formatCode="0.00%">
                  <c:v>7.0676257127925857E-2</c:v>
                </c:pt>
                <c:pt idx="138" formatCode="0.00%">
                  <c:v>6.6689390336180987E-2</c:v>
                </c:pt>
                <c:pt idx="139" formatCode="0.00%">
                  <c:v>7.2622990524549291E-2</c:v>
                </c:pt>
                <c:pt idx="140" formatCode="0.00%">
                  <c:v>9.0634686430981992E-2</c:v>
                </c:pt>
                <c:pt idx="141" formatCode="0.00%">
                  <c:v>8.6958215842746711E-2</c:v>
                </c:pt>
                <c:pt idx="142" formatCode="0.00%">
                  <c:v>7.0831637455961813E-2</c:v>
                </c:pt>
                <c:pt idx="143" formatCode="0.00%">
                  <c:v>9.0387928691405148E-2</c:v>
                </c:pt>
                <c:pt idx="144" formatCode="0.00%">
                  <c:v>9.0387928691405148E-2</c:v>
                </c:pt>
                <c:pt idx="145" formatCode="0.00%">
                  <c:v>7.9451640617465236E-2</c:v>
                </c:pt>
                <c:pt idx="146" formatCode="0.00%">
                  <c:v>6.6242107650827581E-2</c:v>
                </c:pt>
                <c:pt idx="147" formatCode="0.00%">
                  <c:v>6.6628901343081706E-2</c:v>
                </c:pt>
                <c:pt idx="148" formatCode="0.00%">
                  <c:v>8.4098212013525478E-2</c:v>
                </c:pt>
                <c:pt idx="149" formatCode="0.00%">
                  <c:v>8.6882434751344453E-2</c:v>
                </c:pt>
                <c:pt idx="150" formatCode="0.00%">
                  <c:v>8.341181929553694E-2</c:v>
                </c:pt>
                <c:pt idx="151" formatCode="0.00%">
                  <c:v>9.6377037684251016E-2</c:v>
                </c:pt>
                <c:pt idx="152" formatCode="0.00%">
                  <c:v>0.11262789600423265</c:v>
                </c:pt>
                <c:pt idx="153" formatCode="0.00%">
                  <c:v>0.11262789600423265</c:v>
                </c:pt>
                <c:pt idx="154" formatCode="0.00%">
                  <c:v>0.11371792792998914</c:v>
                </c:pt>
                <c:pt idx="155" formatCode="0.00%">
                  <c:v>0.10764368721007911</c:v>
                </c:pt>
                <c:pt idx="156" formatCode="0.00%">
                  <c:v>0.11036871977186402</c:v>
                </c:pt>
                <c:pt idx="157" formatCode="0.00%">
                  <c:v>0.10021299871566902</c:v>
                </c:pt>
                <c:pt idx="158" formatCode="0.00%">
                  <c:v>0.10265236495200961</c:v>
                </c:pt>
                <c:pt idx="159" formatCode="0.00%">
                  <c:v>0.1222111550361579</c:v>
                </c:pt>
                <c:pt idx="160" formatCode="0.00%">
                  <c:v>0.11797292171026011</c:v>
                </c:pt>
                <c:pt idx="161" formatCode="0.00%">
                  <c:v>0.12365625093951392</c:v>
                </c:pt>
                <c:pt idx="162" formatCode="0.00%">
                  <c:v>0.11208011558777752</c:v>
                </c:pt>
                <c:pt idx="163" formatCode="0.00%">
                  <c:v>0.1211063719604958</c:v>
                </c:pt>
                <c:pt idx="164" formatCode="0.00%">
                  <c:v>0.1211063719604958</c:v>
                </c:pt>
                <c:pt idx="165" formatCode="0.00%">
                  <c:v>0.1222211991622796</c:v>
                </c:pt>
                <c:pt idx="166" formatCode="0.00%">
                  <c:v>0.12733746739095336</c:v>
                </c:pt>
                <c:pt idx="167" formatCode="0.00%">
                  <c:v>0.12490114402439739</c:v>
                </c:pt>
                <c:pt idx="168" formatCode="0.00%">
                  <c:v>0.1305334846830869</c:v>
                </c:pt>
                <c:pt idx="169" formatCode="0.00%">
                  <c:v>0.1267832089275166</c:v>
                </c:pt>
                <c:pt idx="170" formatCode="0.00%">
                  <c:v>0.14128530037483206</c:v>
                </c:pt>
                <c:pt idx="171" formatCode="0.00%">
                  <c:v>0.14564449828241705</c:v>
                </c:pt>
                <c:pt idx="172" formatCode="0.00%">
                  <c:v>0.1508528316157503</c:v>
                </c:pt>
                <c:pt idx="173" formatCode="0.00%">
                  <c:v>0.15128461054493864</c:v>
                </c:pt>
                <c:pt idx="174" formatCode="0.00%">
                  <c:v>0.14955824023850789</c:v>
                </c:pt>
                <c:pt idx="175" formatCode="0.00%">
                  <c:v>0.15188897582882366</c:v>
                </c:pt>
                <c:pt idx="176" formatCode="0.00%">
                  <c:v>0.14736018566276798</c:v>
                </c:pt>
                <c:pt idx="177" formatCode="0.00%">
                  <c:v>0.14000333119632935</c:v>
                </c:pt>
                <c:pt idx="178" formatCode="0.00%">
                  <c:v>0.13839279665141577</c:v>
                </c:pt>
                <c:pt idx="179" formatCode="0.00%">
                  <c:v>0.15194029192940328</c:v>
                </c:pt>
                <c:pt idx="180" formatCode="0.00%">
                  <c:v>0.15538856779147214</c:v>
                </c:pt>
                <c:pt idx="181" formatCode="0.00%">
                  <c:v>0.14916004545470241</c:v>
                </c:pt>
                <c:pt idx="182" formatCode="0.00%">
                  <c:v>0.13393677889680825</c:v>
                </c:pt>
                <c:pt idx="183" formatCode="0.00%">
                  <c:v>0.13949672361348117</c:v>
                </c:pt>
                <c:pt idx="184" formatCode="0.00%">
                  <c:v>0.15544952081627847</c:v>
                </c:pt>
                <c:pt idx="185" formatCode="0.00%">
                  <c:v>0.15222302049362843</c:v>
                </c:pt>
                <c:pt idx="186" formatCode="0.00%">
                  <c:v>0.15111481988966172</c:v>
                </c:pt>
                <c:pt idx="187" formatCode="0.00%">
                  <c:v>0.1606532852095571</c:v>
                </c:pt>
                <c:pt idx="188" formatCode="0.00%">
                  <c:v>0.15979803611825924</c:v>
                </c:pt>
                <c:pt idx="189" formatCode="0.00%">
                  <c:v>0.14827761480969323</c:v>
                </c:pt>
                <c:pt idx="190" formatCode="0.00%">
                  <c:v>0.13705406552834479</c:v>
                </c:pt>
                <c:pt idx="191" formatCode="0.00%">
                  <c:v>0.14407402892105892</c:v>
                </c:pt>
                <c:pt idx="192" formatCode="0.00%">
                  <c:v>0.12838775441125494</c:v>
                </c:pt>
                <c:pt idx="193" formatCode="0.00%">
                  <c:v>0.12837826764529345</c:v>
                </c:pt>
                <c:pt idx="194" formatCode="0.00%">
                  <c:v>0.10624458017296054</c:v>
                </c:pt>
                <c:pt idx="195" formatCode="0.00%">
                  <c:v>8.5873371481244867E-2</c:v>
                </c:pt>
                <c:pt idx="196" formatCode="0.00%">
                  <c:v>0.10298361078076942</c:v>
                </c:pt>
                <c:pt idx="197" formatCode="0.00%">
                  <c:v>9.7074519871678561E-2</c:v>
                </c:pt>
                <c:pt idx="198" formatCode="0.00%">
                  <c:v>9.4489071415466419E-2</c:v>
                </c:pt>
                <c:pt idx="199" formatCode="0.00%">
                  <c:v>0.11285816586593109</c:v>
                </c:pt>
                <c:pt idx="200" formatCode="0.00%">
                  <c:v>0.10993681755132431</c:v>
                </c:pt>
                <c:pt idx="201" formatCode="0.00%">
                  <c:v>8.8194929936160182E-2</c:v>
                </c:pt>
                <c:pt idx="202" formatCode="0.00%">
                  <c:v>8.518177938616478E-2</c:v>
                </c:pt>
                <c:pt idx="203" formatCode="0.00%">
                  <c:v>7.5776911937574104E-2</c:v>
                </c:pt>
                <c:pt idx="204" formatCode="0.00%">
                  <c:v>6.1894416601605835E-2</c:v>
                </c:pt>
                <c:pt idx="205" formatCode="0.00%">
                  <c:v>6.8126237444101817E-2</c:v>
                </c:pt>
                <c:pt idx="206" formatCode="0.00%">
                  <c:v>4.1424914192684098E-2</c:v>
                </c:pt>
                <c:pt idx="207" formatCode="0.00%">
                  <c:v>4.6536442589608581E-2</c:v>
                </c:pt>
                <c:pt idx="208" formatCode="0.00%">
                  <c:v>6.3673782681329547E-2</c:v>
                </c:pt>
                <c:pt idx="209" formatCode="0.00%">
                  <c:v>7.4115168537997864E-2</c:v>
                </c:pt>
                <c:pt idx="210" formatCode="0.00%">
                  <c:v>8.6327474785062128E-2</c:v>
                </c:pt>
                <c:pt idx="211" formatCode="0.00%">
                  <c:v>8.0759029309424066E-2</c:v>
                </c:pt>
                <c:pt idx="212" formatCode="0.00%">
                  <c:v>0.10111822317621741</c:v>
                </c:pt>
                <c:pt idx="213" formatCode="0.00%">
                  <c:v>0.10248714856978344</c:v>
                </c:pt>
                <c:pt idx="214" formatCode="0.00%">
                  <c:v>8.6538185252399064E-2</c:v>
                </c:pt>
                <c:pt idx="215" formatCode="0.00%">
                  <c:v>9.3623158625865135E-2</c:v>
                </c:pt>
                <c:pt idx="216" formatCode="0.00%">
                  <c:v>8.7879992992968239E-2</c:v>
                </c:pt>
                <c:pt idx="217" formatCode="0.00%">
                  <c:v>9.1556936313986856E-2</c:v>
                </c:pt>
                <c:pt idx="218" formatCode="0.00%">
                  <c:v>0.10674331459286389</c:v>
                </c:pt>
                <c:pt idx="219" formatCode="0.00%">
                  <c:v>0.11626280688660816</c:v>
                </c:pt>
                <c:pt idx="220" formatCode="0.00%">
                  <c:v>0.11760991061359514</c:v>
                </c:pt>
                <c:pt idx="221" formatCode="0.00%">
                  <c:v>0.12613008998579256</c:v>
                </c:pt>
                <c:pt idx="222" formatCode="0.00%">
                  <c:v>0.12524080585951425</c:v>
                </c:pt>
                <c:pt idx="223" formatCode="0.00%">
                  <c:v>0.12744374310918055</c:v>
                </c:pt>
                <c:pt idx="224" formatCode="0.00%">
                  <c:v>0.14098425365302075</c:v>
                </c:pt>
                <c:pt idx="225" formatCode="0.00%">
                  <c:v>0.13923217305731334</c:v>
                </c:pt>
                <c:pt idx="226" formatCode="0.00%">
                  <c:v>0.13361686062320974</c:v>
                </c:pt>
                <c:pt idx="227" formatCode="0.00%">
                  <c:v>0.13987207520945066</c:v>
                </c:pt>
                <c:pt idx="228" formatCode="0.00%">
                  <c:v>0.13044431813863289</c:v>
                </c:pt>
                <c:pt idx="229" formatCode="0.00%">
                  <c:v>0.1340299755091508</c:v>
                </c:pt>
                <c:pt idx="230" formatCode="0.00%">
                  <c:v>0.121904755050597</c:v>
                </c:pt>
                <c:pt idx="231" formatCode="0.00%">
                  <c:v>0.1139861299770308</c:v>
                </c:pt>
                <c:pt idx="232" formatCode="0.00%">
                  <c:v>0.104228678796896</c:v>
                </c:pt>
                <c:pt idx="233" formatCode="0.00%">
                  <c:v>9.8695891911650069E-2</c:v>
                </c:pt>
                <c:pt idx="234" formatCode="0.00%">
                  <c:v>0.10092561163123137</c:v>
                </c:pt>
                <c:pt idx="235" formatCode="0.00%">
                  <c:v>0.1068671107171546</c:v>
                </c:pt>
                <c:pt idx="236" formatCode="0.00%">
                  <c:v>0.10027919613287473</c:v>
                </c:pt>
                <c:pt idx="237" formatCode="0.00%">
                  <c:v>0.11540347964464863</c:v>
                </c:pt>
                <c:pt idx="238" formatCode="0.00%">
                  <c:v>0.13069468720030414</c:v>
                </c:pt>
                <c:pt idx="239" formatCode="0.00%">
                  <c:v>0.13601030181824442</c:v>
                </c:pt>
                <c:pt idx="240" formatCode="0.00%">
                  <c:v>0.13931499448182666</c:v>
                </c:pt>
                <c:pt idx="241" formatCode="0.00%">
                  <c:v>0.15336857375279728</c:v>
                </c:pt>
                <c:pt idx="242" formatCode="0.00%">
                  <c:v>0.15012041437644391</c:v>
                </c:pt>
                <c:pt idx="243" formatCode="0.00%">
                  <c:v>0.14136018880625328</c:v>
                </c:pt>
                <c:pt idx="244" formatCode="0.00%">
                  <c:v>0.13530622934109171</c:v>
                </c:pt>
                <c:pt idx="245" formatCode="0.00%">
                  <c:v>0.13689668659755302</c:v>
                </c:pt>
                <c:pt idx="246" formatCode="0.00%">
                  <c:v>0.14681950908928396</c:v>
                </c:pt>
                <c:pt idx="247" formatCode="0.00%">
                  <c:v>0.13939592830325773</c:v>
                </c:pt>
                <c:pt idx="248" formatCode="0.00%">
                  <c:v>0.15114343544430478</c:v>
                </c:pt>
                <c:pt idx="249" formatCode="0.00%">
                  <c:v>0.15874386975483681</c:v>
                </c:pt>
                <c:pt idx="250" formatCode="0.00%">
                  <c:v>0.15831283527207821</c:v>
                </c:pt>
                <c:pt idx="251" formatCode="0.00%">
                  <c:v>0.16189172931055576</c:v>
                </c:pt>
                <c:pt idx="252" formatCode="0.00%">
                  <c:v>0.1590996330906245</c:v>
                </c:pt>
                <c:pt idx="253" formatCode="0.00%">
                  <c:v>0.15174324787311735</c:v>
                </c:pt>
                <c:pt idx="254" formatCode="0.00%">
                  <c:v>0.1649426622314086</c:v>
                </c:pt>
                <c:pt idx="255" formatCode="0.00%">
                  <c:v>0.16836731976565508</c:v>
                </c:pt>
                <c:pt idx="256" formatCode="0.00%">
                  <c:v>0.16751407744483601</c:v>
                </c:pt>
                <c:pt idx="257" formatCode="0.00%">
                  <c:v>0.16472866726421811</c:v>
                </c:pt>
                <c:pt idx="258" formatCode="0.00%">
                  <c:v>0.16467137161868717</c:v>
                </c:pt>
                <c:pt idx="259" formatCode="0.00%">
                  <c:v>0.16724096476643879</c:v>
                </c:pt>
                <c:pt idx="260" formatCode="0.00%">
                  <c:v>0.16083344661180399</c:v>
                </c:pt>
                <c:pt idx="261" formatCode="0.00%">
                  <c:v>0.14870021753501275</c:v>
                </c:pt>
                <c:pt idx="262" formatCode="0.00%">
                  <c:v>0.13257118319856645</c:v>
                </c:pt>
                <c:pt idx="263" formatCode="0.00%">
                  <c:v>0.1428074678899125</c:v>
                </c:pt>
                <c:pt idx="264" formatCode="0.00%">
                  <c:v>0.14061256007604073</c:v>
                </c:pt>
                <c:pt idx="265" formatCode="0.00%">
                  <c:v>0.14814516662350599</c:v>
                </c:pt>
                <c:pt idx="266" formatCode="0.00%">
                  <c:v>0.1509811177578865</c:v>
                </c:pt>
                <c:pt idx="267" formatCode="0.00%">
                  <c:v>0.16425064136023595</c:v>
                </c:pt>
                <c:pt idx="268" formatCode="0.00%">
                  <c:v>0.159956953082005</c:v>
                </c:pt>
                <c:pt idx="269" formatCode="0.00%">
                  <c:v>0.15886845159009697</c:v>
                </c:pt>
                <c:pt idx="270" formatCode="0.00%">
                  <c:v>0.15379274373508048</c:v>
                </c:pt>
                <c:pt idx="271" formatCode="0.00%">
                  <c:v>0.1402601472027305</c:v>
                </c:pt>
                <c:pt idx="272" formatCode="0.00%">
                  <c:v>0.13829508104515301</c:v>
                </c:pt>
                <c:pt idx="273" formatCode="0.00%">
                  <c:v>0.13889176612802595</c:v>
                </c:pt>
                <c:pt idx="274" formatCode="0.00%">
                  <c:v>0.15633876259445695</c:v>
                </c:pt>
                <c:pt idx="275" formatCode="0.00%">
                  <c:v>0.14678807885232542</c:v>
                </c:pt>
                <c:pt idx="276" formatCode="0.00%">
                  <c:v>0.15707198050232979</c:v>
                </c:pt>
                <c:pt idx="277" formatCode="0.00%">
                  <c:v>0.16227128726142853</c:v>
                </c:pt>
                <c:pt idx="278" formatCode="0.00%">
                  <c:v>0.16334887346832511</c:v>
                </c:pt>
                <c:pt idx="279" formatCode="0.00%">
                  <c:v>0.17131442782785139</c:v>
                </c:pt>
                <c:pt idx="280" formatCode="0.00%">
                  <c:v>0.16768350087355838</c:v>
                </c:pt>
                <c:pt idx="281" formatCode="0.00%">
                  <c:v>0.16240442173595829</c:v>
                </c:pt>
                <c:pt idx="282" formatCode="0.00%">
                  <c:v>0.16757228028146351</c:v>
                </c:pt>
                <c:pt idx="283" formatCode="0.00%">
                  <c:v>0.17636867590472036</c:v>
                </c:pt>
                <c:pt idx="284" formatCode="0.00%">
                  <c:v>0.18636442239557524</c:v>
                </c:pt>
                <c:pt idx="285" formatCode="0.00%">
                  <c:v>0.18510099851686398</c:v>
                </c:pt>
                <c:pt idx="286" formatCode="0.00%">
                  <c:v>0.18756779168574453</c:v>
                </c:pt>
                <c:pt idx="287" formatCode="0.00%">
                  <c:v>0.18210101288002542</c:v>
                </c:pt>
                <c:pt idx="288" formatCode="0.00%">
                  <c:v>0.18885640707728008</c:v>
                </c:pt>
                <c:pt idx="289" formatCode="0.00%">
                  <c:v>0.19053496351874039</c:v>
                </c:pt>
                <c:pt idx="290" formatCode="0.00%">
                  <c:v>0.19598113025522973</c:v>
                </c:pt>
                <c:pt idx="291" formatCode="0.00%">
                  <c:v>0.20577279692189637</c:v>
                </c:pt>
                <c:pt idx="292" formatCode="0.00%">
                  <c:v>0.20398199732239652</c:v>
                </c:pt>
                <c:pt idx="293" formatCode="0.00%">
                  <c:v>0.20886410210026624</c:v>
                </c:pt>
                <c:pt idx="294" formatCode="0.00%">
                  <c:v>0.20962245081971265</c:v>
                </c:pt>
                <c:pt idx="295" formatCode="0.00%">
                  <c:v>0.21302634951971322</c:v>
                </c:pt>
                <c:pt idx="296" formatCode="0.00%">
                  <c:v>0.21408393914128132</c:v>
                </c:pt>
                <c:pt idx="297" formatCode="0.00%">
                  <c:v>0.2156111711218027</c:v>
                </c:pt>
                <c:pt idx="298" formatCode="0.00%">
                  <c:v>0.22787222275961577</c:v>
                </c:pt>
                <c:pt idx="299" formatCode="0.00%">
                  <c:v>0.22680179493494546</c:v>
                </c:pt>
                <c:pt idx="300" formatCode="0.00%">
                  <c:v>0.22531655612023532</c:v>
                </c:pt>
                <c:pt idx="301" formatCode="0.00%">
                  <c:v>0.22353309922666714</c:v>
                </c:pt>
                <c:pt idx="302" formatCode="0.00%">
                  <c:v>0.21311353446142711</c:v>
                </c:pt>
                <c:pt idx="303" formatCode="0.00%">
                  <c:v>0.21608731018553309</c:v>
                </c:pt>
                <c:pt idx="304" formatCode="0.00%">
                  <c:v>0.22908123011481371</c:v>
                </c:pt>
                <c:pt idx="305" formatCode="0.00%">
                  <c:v>0.23014966178606416</c:v>
                </c:pt>
                <c:pt idx="306" formatCode="0.00%">
                  <c:v>0.22319049153963089</c:v>
                </c:pt>
                <c:pt idx="307" formatCode="0.00%">
                  <c:v>0.21300348800779012</c:v>
                </c:pt>
                <c:pt idx="308" formatCode="0.00%">
                  <c:v>0.21767286424242219</c:v>
                </c:pt>
                <c:pt idx="309" formatCode="0.00%">
                  <c:v>0.2194145929791457</c:v>
                </c:pt>
                <c:pt idx="310" formatCode="0.00%">
                  <c:v>0.23019339199270455</c:v>
                </c:pt>
                <c:pt idx="311" formatCode="0.00%">
                  <c:v>0.24044725552591489</c:v>
                </c:pt>
                <c:pt idx="312" formatCode="0.00%">
                  <c:v>0.24033432487917045</c:v>
                </c:pt>
                <c:pt idx="313" formatCode="0.00%">
                  <c:v>0.23777520766602697</c:v>
                </c:pt>
                <c:pt idx="314" formatCode="0.00%">
                  <c:v>0.23784979928826586</c:v>
                </c:pt>
                <c:pt idx="315" formatCode="0.00%">
                  <c:v>0.23326813800729704</c:v>
                </c:pt>
                <c:pt idx="316" formatCode="0.00%">
                  <c:v>0.24166170101466913</c:v>
                </c:pt>
                <c:pt idx="317" formatCode="0.00%">
                  <c:v>0.24174424387304244</c:v>
                </c:pt>
                <c:pt idx="318" formatCode="0.00%">
                  <c:v>0.24739794413968588</c:v>
                </c:pt>
                <c:pt idx="319" formatCode="0.00%">
                  <c:v>0.25049034339031812</c:v>
                </c:pt>
                <c:pt idx="320" formatCode="0.00%">
                  <c:v>0.24978272946447605</c:v>
                </c:pt>
                <c:pt idx="321" formatCode="0.00%">
                  <c:v>0.25172337902012459</c:v>
                </c:pt>
                <c:pt idx="322" formatCode="0.00%">
                  <c:v>0.253444715197299</c:v>
                </c:pt>
                <c:pt idx="323" formatCode="0.00%">
                  <c:v>0.26165803671751359</c:v>
                </c:pt>
                <c:pt idx="324" formatCode="0.00%">
                  <c:v>0.2574566859015876</c:v>
                </c:pt>
                <c:pt idx="325" formatCode="0.00%">
                  <c:v>0.24855924138842062</c:v>
                </c:pt>
                <c:pt idx="326" formatCode="0.00%">
                  <c:v>0.24964388983244851</c:v>
                </c:pt>
                <c:pt idx="327" formatCode="0.00%">
                  <c:v>0.24637846927170082</c:v>
                </c:pt>
                <c:pt idx="328" formatCode="0.00%">
                  <c:v>0.2447162429493398</c:v>
                </c:pt>
                <c:pt idx="329" formatCode="0.00%">
                  <c:v>0.25657364878546185</c:v>
                </c:pt>
                <c:pt idx="330" formatCode="0.00%">
                  <c:v>0.26182535143762981</c:v>
                </c:pt>
                <c:pt idx="331" formatCode="0.00%">
                  <c:v>0.26465820144267482</c:v>
                </c:pt>
                <c:pt idx="332" formatCode="0.00%">
                  <c:v>0.2580494783598769</c:v>
                </c:pt>
                <c:pt idx="333" formatCode="0.00%">
                  <c:v>0.25924260444067448</c:v>
                </c:pt>
                <c:pt idx="334" formatCode="0.00%">
                  <c:v>0.26099186314170347</c:v>
                </c:pt>
                <c:pt idx="335" formatCode="0.00%">
                  <c:v>0.25257188006691206</c:v>
                </c:pt>
                <c:pt idx="336" formatCode="0.00%">
                  <c:v>0.25157511989589337</c:v>
                </c:pt>
                <c:pt idx="337" formatCode="0.00%">
                  <c:v>0.26234112837693807</c:v>
                </c:pt>
                <c:pt idx="338" formatCode="0.00%">
                  <c:v>0.2633580621938662</c:v>
                </c:pt>
                <c:pt idx="339" formatCode="0.00%">
                  <c:v>0.27218907939772308</c:v>
                </c:pt>
                <c:pt idx="340" formatCode="0.00%">
                  <c:v>0.27503551997702513</c:v>
                </c:pt>
                <c:pt idx="341" formatCode="0.00%">
                  <c:v>0.27542646428072637</c:v>
                </c:pt>
                <c:pt idx="342" formatCode="0.00%">
                  <c:v>0.27749909978153853</c:v>
                </c:pt>
                <c:pt idx="343" formatCode="0.00%">
                  <c:v>0.27378625545694057</c:v>
                </c:pt>
                <c:pt idx="344" formatCode="0.00%">
                  <c:v>0.27996162108505329</c:v>
                </c:pt>
                <c:pt idx="345" formatCode="0.00%">
                  <c:v>0.28028955137644274</c:v>
                </c:pt>
                <c:pt idx="346" formatCode="0.00%">
                  <c:v>0.2721500201315547</c:v>
                </c:pt>
                <c:pt idx="347" formatCode="0.00%">
                  <c:v>0.27299513028954286</c:v>
                </c:pt>
                <c:pt idx="348" formatCode="0.00%">
                  <c:v>0.27088643767695808</c:v>
                </c:pt>
                <c:pt idx="349" formatCode="0.00%">
                  <c:v>0.27279991875438997</c:v>
                </c:pt>
                <c:pt idx="350" formatCode="0.00%">
                  <c:v>0.27456846472828261</c:v>
                </c:pt>
                <c:pt idx="351" formatCode="0.00%">
                  <c:v>0.27461615851035481</c:v>
                </c:pt>
                <c:pt idx="352" formatCode="0.00%">
                  <c:v>0.27936319426761308</c:v>
                </c:pt>
                <c:pt idx="353" formatCode="0.00%">
                  <c:v>0.28171144798182507</c:v>
                </c:pt>
                <c:pt idx="354" formatCode="0.00%">
                  <c:v>0.28035824084097044</c:v>
                </c:pt>
                <c:pt idx="355" formatCode="0.00%">
                  <c:v>0.27908672052434341</c:v>
                </c:pt>
                <c:pt idx="356" formatCode="0.00%">
                  <c:v>0.27814785299557371</c:v>
                </c:pt>
                <c:pt idx="357" formatCode="0.00%">
                  <c:v>0.27891789887091717</c:v>
                </c:pt>
                <c:pt idx="358" formatCode="0.00%">
                  <c:v>0.28175260938004631</c:v>
                </c:pt>
                <c:pt idx="359" formatCode="0.00%">
                  <c:v>0.28432641553901794</c:v>
                </c:pt>
                <c:pt idx="360" formatCode="0.00%">
                  <c:v>0.28481269539262144</c:v>
                </c:pt>
                <c:pt idx="361" formatCode="0.00%">
                  <c:v>0.28689287489645454</c:v>
                </c:pt>
                <c:pt idx="362" formatCode="0.00%">
                  <c:v>0.28677492362102813</c:v>
                </c:pt>
                <c:pt idx="363" formatCode="0.00%">
                  <c:v>0.28486294666665607</c:v>
                </c:pt>
                <c:pt idx="364" formatCode="0.00%">
                  <c:v>0.28497120721324865</c:v>
                </c:pt>
                <c:pt idx="365" formatCode="0.00%">
                  <c:v>0.28339914094003044</c:v>
                </c:pt>
                <c:pt idx="366" formatCode="0.00%">
                  <c:v>0.28425530386571901</c:v>
                </c:pt>
                <c:pt idx="367" formatCode="0.00%">
                  <c:v>0.28618310065620917</c:v>
                </c:pt>
                <c:pt idx="368" formatCode="0.00%">
                  <c:v>0.28516086101515969</c:v>
                </c:pt>
                <c:pt idx="369" formatCode="0.00%">
                  <c:v>0.28854398216490051</c:v>
                </c:pt>
                <c:pt idx="370" formatCode="0.00%">
                  <c:v>0.28589393109086453</c:v>
                </c:pt>
                <c:pt idx="371" formatCode="0.00%">
                  <c:v>0.28570610623428427</c:v>
                </c:pt>
                <c:pt idx="372" formatCode="0.00%">
                  <c:v>0.28587401506697485</c:v>
                </c:pt>
                <c:pt idx="373" formatCode="0.00%">
                  <c:v>0.28401632496204837</c:v>
                </c:pt>
                <c:pt idx="374" formatCode="0.00%">
                  <c:v>0.28082168004900737</c:v>
                </c:pt>
                <c:pt idx="375" formatCode="0.00%">
                  <c:v>0.2820484167829011</c:v>
                </c:pt>
                <c:pt idx="376" formatCode="0.00%">
                  <c:v>0.28409620509654143</c:v>
                </c:pt>
                <c:pt idx="377" formatCode="0.00%">
                  <c:v>0.28736756727029905</c:v>
                </c:pt>
                <c:pt idx="378" formatCode="0.00%">
                  <c:v>0.2884074969417868</c:v>
                </c:pt>
                <c:pt idx="379" formatCode="0.00%">
                  <c:v>0.28851571808124338</c:v>
                </c:pt>
                <c:pt idx="380" formatCode="0.00%">
                  <c:v>0.28361924897769131</c:v>
                </c:pt>
                <c:pt idx="381" formatCode="0.00%">
                  <c:v>0.2841681353527637</c:v>
                </c:pt>
                <c:pt idx="382" formatCode="0.00%">
                  <c:v>0.28353372689453332</c:v>
                </c:pt>
                <c:pt idx="383" formatCode="0.00%">
                  <c:v>0.28161233638407895</c:v>
                </c:pt>
                <c:pt idx="384" formatCode="0.00%">
                  <c:v>0.28006380627220384</c:v>
                </c:pt>
                <c:pt idx="385" formatCode="0.00%">
                  <c:v>0.28006757453782466</c:v>
                </c:pt>
                <c:pt idx="386" formatCode="0.00%">
                  <c:v>0.27479357379188712</c:v>
                </c:pt>
                <c:pt idx="387" formatCode="0.00%">
                  <c:v>0.2806610927960202</c:v>
                </c:pt>
                <c:pt idx="388" formatCode="0.00%">
                  <c:v>0.28006293424569823</c:v>
                </c:pt>
                <c:pt idx="389" formatCode="0.00%">
                  <c:v>0.27900281605250427</c:v>
                </c:pt>
                <c:pt idx="390" formatCode="0.00%">
                  <c:v>0.27791135564325747</c:v>
                </c:pt>
                <c:pt idx="391" formatCode="0.00%">
                  <c:v>0.28289531373978133</c:v>
                </c:pt>
                <c:pt idx="392" formatCode="0.00%">
                  <c:v>0.28100770504192557</c:v>
                </c:pt>
                <c:pt idx="393" formatCode="0.00%">
                  <c:v>0.27967827752760177</c:v>
                </c:pt>
                <c:pt idx="394" formatCode="0.00%">
                  <c:v>0.28013196372797988</c:v>
                </c:pt>
                <c:pt idx="395" formatCode="0.00%">
                  <c:v>0.27631231116886279</c:v>
                </c:pt>
                <c:pt idx="396" formatCode="0.00%">
                  <c:v>0.27878661646006953</c:v>
                </c:pt>
                <c:pt idx="397" formatCode="0.00%">
                  <c:v>0.27429210136039384</c:v>
                </c:pt>
                <c:pt idx="398" formatCode="0.00%">
                  <c:v>0.27128006148343031</c:v>
                </c:pt>
                <c:pt idx="399" formatCode="0.00%">
                  <c:v>0.28052892482762604</c:v>
                </c:pt>
                <c:pt idx="400" formatCode="0.00%">
                  <c:v>0.29081582554487784</c:v>
                </c:pt>
                <c:pt idx="401" formatCode="0.00%">
                  <c:v>0.28564458927250591</c:v>
                </c:pt>
                <c:pt idx="402" formatCode="0.00%">
                  <c:v>0.28799083778848666</c:v>
                </c:pt>
                <c:pt idx="403" formatCode="0.00%">
                  <c:v>0.29082937764077843</c:v>
                </c:pt>
                <c:pt idx="404" formatCode="0.00%">
                  <c:v>0.29124154981400929</c:v>
                </c:pt>
                <c:pt idx="405" formatCode="0.00%">
                  <c:v>0.28312058849314375</c:v>
                </c:pt>
                <c:pt idx="406" formatCode="0.00%">
                  <c:v>0.28786057993469455</c:v>
                </c:pt>
                <c:pt idx="407" formatCode="0.00%">
                  <c:v>0.27751057058550732</c:v>
                </c:pt>
                <c:pt idx="408" formatCode="0.00%">
                  <c:v>0.28800730520005252</c:v>
                </c:pt>
                <c:pt idx="409" formatCode="0.00%">
                  <c:v>0.28649358502044731</c:v>
                </c:pt>
                <c:pt idx="410" formatCode="0.00%">
                  <c:v>0.29178485429889478</c:v>
                </c:pt>
                <c:pt idx="411" formatCode="0.00%">
                  <c:v>0.29556631242131559</c:v>
                </c:pt>
                <c:pt idx="412" formatCode="0.00%">
                  <c:v>0.29710113157858831</c:v>
                </c:pt>
                <c:pt idx="413" formatCode="0.00%">
                  <c:v>0.2970787281176398</c:v>
                </c:pt>
                <c:pt idx="414" formatCode="0.00%">
                  <c:v>0.30050056896849942</c:v>
                </c:pt>
                <c:pt idx="415" formatCode="0.00%">
                  <c:v>0.3028246816374397</c:v>
                </c:pt>
                <c:pt idx="416" formatCode="0.00%">
                  <c:v>0.30310083957725786</c:v>
                </c:pt>
                <c:pt idx="417" formatCode="0.00%">
                  <c:v>0.30563758290681992</c:v>
                </c:pt>
                <c:pt idx="418" formatCode="0.00%">
                  <c:v>0.30866123572821952</c:v>
                </c:pt>
                <c:pt idx="419" formatCode="0.00%">
                  <c:v>0.31037318722212159</c:v>
                </c:pt>
                <c:pt idx="420" formatCode="0.00%">
                  <c:v>0.31431760028175093</c:v>
                </c:pt>
                <c:pt idx="421" formatCode="0.00%">
                  <c:v>0.31373001248674914</c:v>
                </c:pt>
                <c:pt idx="422" formatCode="0.00%">
                  <c:v>0.31415893383196658</c:v>
                </c:pt>
                <c:pt idx="423" formatCode="0.00%">
                  <c:v>0.3136125402302109</c:v>
                </c:pt>
                <c:pt idx="424" formatCode="0.00%">
                  <c:v>0.31235542860532667</c:v>
                </c:pt>
                <c:pt idx="425" formatCode="0.00%">
                  <c:v>0.31235621196038593</c:v>
                </c:pt>
                <c:pt idx="426" formatCode="0.00%">
                  <c:v>0.31062681390831043</c:v>
                </c:pt>
                <c:pt idx="427" formatCode="0.00%">
                  <c:v>0.30836649678803529</c:v>
                </c:pt>
                <c:pt idx="428" formatCode="0.00%">
                  <c:v>0.312084534319235</c:v>
                </c:pt>
                <c:pt idx="429" formatCode="0.00%">
                  <c:v>0.31502528036908323</c:v>
                </c:pt>
                <c:pt idx="430" formatCode="0.00%">
                  <c:v>0.31476531503112831</c:v>
                </c:pt>
                <c:pt idx="431" formatCode="0.00%">
                  <c:v>0.31449167084090568</c:v>
                </c:pt>
                <c:pt idx="432" formatCode="0.00%">
                  <c:v>0.31362931666624722</c:v>
                </c:pt>
                <c:pt idx="433" formatCode="0.00%">
                  <c:v>0.31808382223486042</c:v>
                </c:pt>
                <c:pt idx="434" formatCode="0.00%">
                  <c:v>0.32261418871183645</c:v>
                </c:pt>
                <c:pt idx="435" formatCode="0.00%">
                  <c:v>0.32233000986279453</c:v>
                </c:pt>
                <c:pt idx="436" formatCode="0.00%">
                  <c:v>0.32168932379259935</c:v>
                </c:pt>
                <c:pt idx="437" formatCode="0.00%">
                  <c:v>0.32124767249323588</c:v>
                </c:pt>
                <c:pt idx="438" formatCode="0.00%">
                  <c:v>0.32075774767333559</c:v>
                </c:pt>
                <c:pt idx="439" formatCode="0.00%">
                  <c:v>0.31689197842183137</c:v>
                </c:pt>
                <c:pt idx="440" formatCode="0.00%">
                  <c:v>0.31781850335290962</c:v>
                </c:pt>
                <c:pt idx="441" formatCode="0.00%">
                  <c:v>0.32159351732786307</c:v>
                </c:pt>
                <c:pt idx="442" formatCode="0.00%">
                  <c:v>0.31709098538399622</c:v>
                </c:pt>
                <c:pt idx="443" formatCode="0.00%">
                  <c:v>0.3148736904837745</c:v>
                </c:pt>
                <c:pt idx="444" formatCode="0.00%">
                  <c:v>0.311700182377531</c:v>
                </c:pt>
                <c:pt idx="445" formatCode="0.00%">
                  <c:v>0.31133627528432389</c:v>
                </c:pt>
                <c:pt idx="446" formatCode="0.00%">
                  <c:v>0.31369792491421461</c:v>
                </c:pt>
                <c:pt idx="447" formatCode="0.00%">
                  <c:v>0.31040722971291801</c:v>
                </c:pt>
                <c:pt idx="448" formatCode="0.00%">
                  <c:v>0.3087293338433641</c:v>
                </c:pt>
                <c:pt idx="449" formatCode="0.00%">
                  <c:v>0.30638343537891582</c:v>
                </c:pt>
                <c:pt idx="450" formatCode="0.00%">
                  <c:v>0.30662197340728858</c:v>
                </c:pt>
                <c:pt idx="451" formatCode="0.00%">
                  <c:v>0.30984248001662068</c:v>
                </c:pt>
                <c:pt idx="452" formatCode="0.00%">
                  <c:v>0.30481582510330163</c:v>
                </c:pt>
                <c:pt idx="453" formatCode="0.00%">
                  <c:v>0.30625338125783891</c:v>
                </c:pt>
                <c:pt idx="454" formatCode="0.00%">
                  <c:v>0.29991495014637315</c:v>
                </c:pt>
                <c:pt idx="455" formatCode="0.00%">
                  <c:v>0.30047711058184812</c:v>
                </c:pt>
                <c:pt idx="456" formatCode="0.00%">
                  <c:v>0.29870381574662774</c:v>
                </c:pt>
                <c:pt idx="457" formatCode="0.00%">
                  <c:v>0.3050248055657247</c:v>
                </c:pt>
                <c:pt idx="458" formatCode="0.00%">
                  <c:v>0.30559714173958175</c:v>
                </c:pt>
                <c:pt idx="459" formatCode="0.00%">
                  <c:v>0.30438505393666576</c:v>
                </c:pt>
                <c:pt idx="460" formatCode="0.00%">
                  <c:v>0.30959686357270638</c:v>
                </c:pt>
                <c:pt idx="461" formatCode="0.00%">
                  <c:v>0.30922915213863178</c:v>
                </c:pt>
                <c:pt idx="462" formatCode="0.00%">
                  <c:v>0.30699668834939153</c:v>
                </c:pt>
                <c:pt idx="463" formatCode="0.00%">
                  <c:v>0.30696110749189287</c:v>
                </c:pt>
                <c:pt idx="464" formatCode="0.00%">
                  <c:v>0.3068716709155464</c:v>
                </c:pt>
                <c:pt idx="465" formatCode="0.00%">
                  <c:v>0.30480013305059095</c:v>
                </c:pt>
                <c:pt idx="466" formatCode="0.00%">
                  <c:v>0.30432474544098514</c:v>
                </c:pt>
                <c:pt idx="467" formatCode="0.00%">
                  <c:v>0.29862817639088235</c:v>
                </c:pt>
                <c:pt idx="468" formatCode="0.00%">
                  <c:v>0.29029028134196855</c:v>
                </c:pt>
                <c:pt idx="469" formatCode="0.00%">
                  <c:v>0.29510614280790037</c:v>
                </c:pt>
                <c:pt idx="470" formatCode="0.00%">
                  <c:v>0.2959452286293997</c:v>
                </c:pt>
                <c:pt idx="471" formatCode="0.00%">
                  <c:v>0.29107120126542407</c:v>
                </c:pt>
                <c:pt idx="472" formatCode="0.00%">
                  <c:v>0.28869086884206019</c:v>
                </c:pt>
                <c:pt idx="473" formatCode="0.00%">
                  <c:v>0.28723493877113826</c:v>
                </c:pt>
                <c:pt idx="474" formatCode="0.00%">
                  <c:v>0.29065250425188455</c:v>
                </c:pt>
                <c:pt idx="475" formatCode="0.00%">
                  <c:v>0.2935225673668021</c:v>
                </c:pt>
                <c:pt idx="476" formatCode="0.00%">
                  <c:v>0.29141528292042557</c:v>
                </c:pt>
                <c:pt idx="477" formatCode="0.00%">
                  <c:v>0.29471870379426951</c:v>
                </c:pt>
                <c:pt idx="478" formatCode="0.00%">
                  <c:v>0.29120219448155421</c:v>
                </c:pt>
                <c:pt idx="479" formatCode="0.00%">
                  <c:v>0.29079647129514846</c:v>
                </c:pt>
                <c:pt idx="480" formatCode="0.00%">
                  <c:v>0.29274025234172402</c:v>
                </c:pt>
                <c:pt idx="481" formatCode="0.00%">
                  <c:v>0.29334120936356173</c:v>
                </c:pt>
                <c:pt idx="482" formatCode="0.00%">
                  <c:v>0.29684275318527126</c:v>
                </c:pt>
                <c:pt idx="483" formatCode="0.00%">
                  <c:v>0.30043614464340701</c:v>
                </c:pt>
                <c:pt idx="484" formatCode="0.00%">
                  <c:v>0.30234947758889569</c:v>
                </c:pt>
                <c:pt idx="485" formatCode="0.00%">
                  <c:v>0.30374592122032956</c:v>
                </c:pt>
                <c:pt idx="486" formatCode="0.00%">
                  <c:v>0.30521845221446064</c:v>
                </c:pt>
                <c:pt idx="487" formatCode="0.00%">
                  <c:v>0.30461734341335184</c:v>
                </c:pt>
                <c:pt idx="488" formatCode="0.00%">
                  <c:v>0.30243098214318004</c:v>
                </c:pt>
                <c:pt idx="489" formatCode="0.00%">
                  <c:v>0.3002017856044909</c:v>
                </c:pt>
                <c:pt idx="490" formatCode="0.00%">
                  <c:v>0.30211757051803206</c:v>
                </c:pt>
                <c:pt idx="491" formatCode="0.00%">
                  <c:v>0.3011158287823405</c:v>
                </c:pt>
                <c:pt idx="492" formatCode="0.00%">
                  <c:v>0.30305568154583395</c:v>
                </c:pt>
                <c:pt idx="493" formatCode="0.00%">
                  <c:v>0.30054355203248051</c:v>
                </c:pt>
                <c:pt idx="494" formatCode="0.00%">
                  <c:v>0.30008072189598356</c:v>
                </c:pt>
                <c:pt idx="495" formatCode="0.00%">
                  <c:v>0.3048726071967266</c:v>
                </c:pt>
                <c:pt idx="496" formatCode="0.00%">
                  <c:v>0.30226336163927381</c:v>
                </c:pt>
                <c:pt idx="497" formatCode="0.00%">
                  <c:v>0.30395668698163436</c:v>
                </c:pt>
                <c:pt idx="498" formatCode="0.00%">
                  <c:v>0.30183456868962122</c:v>
                </c:pt>
                <c:pt idx="499" formatCode="0.00%">
                  <c:v>0.30189310491756705</c:v>
                </c:pt>
                <c:pt idx="500" formatCode="0.00%">
                  <c:v>0.30256250135211993</c:v>
                </c:pt>
                <c:pt idx="501" formatCode="0.00%">
                  <c:v>0.30013015629592199</c:v>
                </c:pt>
                <c:pt idx="502" formatCode="0.00%">
                  <c:v>0.29738011935012953</c:v>
                </c:pt>
                <c:pt idx="503" formatCode="0.00%">
                  <c:v>0.30094745958825392</c:v>
                </c:pt>
                <c:pt idx="504" formatCode="0.00%">
                  <c:v>0.29319889605644589</c:v>
                </c:pt>
                <c:pt idx="505" formatCode="0.00%">
                  <c:v>0.28891665366090846</c:v>
                </c:pt>
                <c:pt idx="506" formatCode="0.00%">
                  <c:v>0.28677036613488288</c:v>
                </c:pt>
                <c:pt idx="507" formatCode="0.00%">
                  <c:v>0.28116370386320949</c:v>
                </c:pt>
                <c:pt idx="508" formatCode="0.00%">
                  <c:v>0.2626782238888935</c:v>
                </c:pt>
                <c:pt idx="509" formatCode="0.00%">
                  <c:v>0.23687277472143231</c:v>
                </c:pt>
                <c:pt idx="510" formatCode="0.00%">
                  <c:v>0.23711808088239089</c:v>
                </c:pt>
                <c:pt idx="511" formatCode="0.00%">
                  <c:v>0.23829721131717346</c:v>
                </c:pt>
                <c:pt idx="512" formatCode="0.00%">
                  <c:v>0.22595153230482773</c:v>
                </c:pt>
                <c:pt idx="513" formatCode="0.00%">
                  <c:v>0.26777288899183804</c:v>
                </c:pt>
                <c:pt idx="514" formatCode="0.00%">
                  <c:v>0.27343370043863885</c:v>
                </c:pt>
                <c:pt idx="515" formatCode="0.00%">
                  <c:v>0.2552298995084315</c:v>
                </c:pt>
                <c:pt idx="516" formatCode="0.00%">
                  <c:v>0.21267599513966645</c:v>
                </c:pt>
                <c:pt idx="517" formatCode="0.00%">
                  <c:v>0.19659901884097386</c:v>
                </c:pt>
                <c:pt idx="518" formatCode="0.00%">
                  <c:v>0.2301386866925175</c:v>
                </c:pt>
                <c:pt idx="519" formatCode="0.00%">
                  <c:v>0.21900088367875906</c:v>
                </c:pt>
                <c:pt idx="520" formatCode="0.00%">
                  <c:v>0.22582458660406027</c:v>
                </c:pt>
                <c:pt idx="521" formatCode="0.00%">
                  <c:v>0.234154266568988</c:v>
                </c:pt>
                <c:pt idx="522" formatCode="0.00%">
                  <c:v>0.26263252743855325</c:v>
                </c:pt>
                <c:pt idx="523" formatCode="0.00%">
                  <c:v>0.27320111758862731</c:v>
                </c:pt>
                <c:pt idx="524" formatCode="0.00%">
                  <c:v>0.29118898623535383</c:v>
                </c:pt>
                <c:pt idx="525" formatCode="0.00%">
                  <c:v>0.29026439202947757</c:v>
                </c:pt>
                <c:pt idx="526" formatCode="0.00%">
                  <c:v>0.28335040818050922</c:v>
                </c:pt>
                <c:pt idx="527" formatCode="0.00%">
                  <c:v>0.25350664841447174</c:v>
                </c:pt>
                <c:pt idx="528" formatCode="0.00%">
                  <c:v>0.24633612132559979</c:v>
                </c:pt>
                <c:pt idx="529" formatCode="0.00%">
                  <c:v>0.28270649258303815</c:v>
                </c:pt>
                <c:pt idx="530" formatCode="0.00%">
                  <c:v>0.28754859784619613</c:v>
                </c:pt>
                <c:pt idx="531" formatCode="0.00%">
                  <c:v>0.26806399696624639</c:v>
                </c:pt>
                <c:pt idx="532" formatCode="0.00%">
                  <c:v>0.24072982035149423</c:v>
                </c:pt>
                <c:pt idx="533" formatCode="0.00%">
                  <c:v>0.25284231613074309</c:v>
                </c:pt>
                <c:pt idx="534" formatCode="0.00%">
                  <c:v>0.29086926093734883</c:v>
                </c:pt>
                <c:pt idx="535" formatCode="0.00%">
                  <c:v>0.28228646838972477</c:v>
                </c:pt>
                <c:pt idx="536" formatCode="0.00%">
                  <c:v>0.29184475601302395</c:v>
                </c:pt>
                <c:pt idx="537" formatCode="0.00%">
                  <c:v>0.30020246600048739</c:v>
                </c:pt>
                <c:pt idx="538" formatCode="0.00%">
                  <c:v>0.26872342132366583</c:v>
                </c:pt>
                <c:pt idx="539" formatCode="0.00%">
                  <c:v>0.22039499295802223</c:v>
                </c:pt>
                <c:pt idx="540" formatCode="0.00%">
                  <c:v>0.2005622739624347</c:v>
                </c:pt>
                <c:pt idx="541" formatCode="0.00%">
                  <c:v>0.24895137023052683</c:v>
                </c:pt>
                <c:pt idx="542" formatCode="0.00%">
                  <c:v>0.2381584186886766</c:v>
                </c:pt>
                <c:pt idx="543" formatCode="0.00%">
                  <c:v>0.2640101220954903</c:v>
                </c:pt>
                <c:pt idx="544" formatCode="0.00%">
                  <c:v>0.2648759229612912</c:v>
                </c:pt>
                <c:pt idx="545" formatCode="0.00%">
                  <c:v>0.23454408093375431</c:v>
                </c:pt>
                <c:pt idx="546" formatCode="0.00%">
                  <c:v>0.21751249592311475</c:v>
                </c:pt>
                <c:pt idx="547" formatCode="0.00%">
                  <c:v>0.24170104764810399</c:v>
                </c:pt>
                <c:pt idx="548" formatCode="0.00%">
                  <c:v>0.27058993653699293</c:v>
                </c:pt>
                <c:pt idx="549" formatCode="0.00%">
                  <c:v>0.27188583286528656</c:v>
                </c:pt>
                <c:pt idx="550" formatCode="0.00%">
                  <c:v>0.28978919783508805</c:v>
                </c:pt>
                <c:pt idx="551" formatCode="0.00%">
                  <c:v>0.29741793273655015</c:v>
                </c:pt>
                <c:pt idx="552" formatCode="0.00%">
                  <c:v>0.30309616617503587</c:v>
                </c:pt>
                <c:pt idx="553" formatCode="0.00%">
                  <c:v>0.30874233932434569</c:v>
                </c:pt>
                <c:pt idx="554" formatCode="0.00%">
                  <c:v>0.32413015383879784</c:v>
                </c:pt>
                <c:pt idx="555" formatCode="0.00%">
                  <c:v>0.30961641220565717</c:v>
                </c:pt>
                <c:pt idx="556" formatCode="0.00%">
                  <c:v>0.32124112420686318</c:v>
                </c:pt>
                <c:pt idx="557" formatCode="0.00%">
                  <c:v>0.2963658558784662</c:v>
                </c:pt>
                <c:pt idx="558" formatCode="0.00%">
                  <c:v>0.31120675620931387</c:v>
                </c:pt>
                <c:pt idx="559" formatCode="0.00%">
                  <c:v>0.34654979155234916</c:v>
                </c:pt>
                <c:pt idx="560" formatCode="0.00%">
                  <c:v>0.34412514233937463</c:v>
                </c:pt>
                <c:pt idx="561" formatCode="0.00%">
                  <c:v>0.34578915504065577</c:v>
                </c:pt>
                <c:pt idx="562" formatCode="0.00%">
                  <c:v>0.3575234325171191</c:v>
                </c:pt>
                <c:pt idx="563" formatCode="0.00%">
                  <c:v>0.36036671393008274</c:v>
                </c:pt>
                <c:pt idx="564" formatCode="0.00%">
                  <c:v>0.35503111799896558</c:v>
                </c:pt>
                <c:pt idx="565" formatCode="0.00%">
                  <c:v>0.35423872398174705</c:v>
                </c:pt>
                <c:pt idx="566" formatCode="0.00%">
                  <c:v>0.35064538762186415</c:v>
                </c:pt>
                <c:pt idx="567" formatCode="0.00%">
                  <c:v>0.33924807442737837</c:v>
                </c:pt>
                <c:pt idx="568" formatCode="0.00%">
                  <c:v>0.36273719128749543</c:v>
                </c:pt>
                <c:pt idx="569" formatCode="0.00%">
                  <c:v>0.35901638239654704</c:v>
                </c:pt>
                <c:pt idx="570" formatCode="0.00%">
                  <c:v>0.35449880994676486</c:v>
                </c:pt>
                <c:pt idx="571" formatCode="0.00%">
                  <c:v>0.3571766013680987</c:v>
                </c:pt>
                <c:pt idx="572" formatCode="0.00%">
                  <c:v>0.32354502898716037</c:v>
                </c:pt>
                <c:pt idx="573" formatCode="0.00%">
                  <c:v>0.3435189187639176</c:v>
                </c:pt>
                <c:pt idx="574" formatCode="0.00%">
                  <c:v>0.36257764902730749</c:v>
                </c:pt>
                <c:pt idx="575" formatCode="0.00%">
                  <c:v>0.35858892707247436</c:v>
                </c:pt>
                <c:pt idx="576" formatCode="0.00%">
                  <c:v>0.34544524268311078</c:v>
                </c:pt>
                <c:pt idx="577" formatCode="0.00%">
                  <c:v>0.35531133831316181</c:v>
                </c:pt>
                <c:pt idx="578" formatCode="0.00%">
                  <c:v>0.33396669118016065</c:v>
                </c:pt>
                <c:pt idx="579" formatCode="0.00%">
                  <c:v>0.32383887694586799</c:v>
                </c:pt>
                <c:pt idx="580" formatCode="0.00%">
                  <c:v>0.32885983852474354</c:v>
                </c:pt>
                <c:pt idx="581" formatCode="0.00%">
                  <c:v>0.3052394371869509</c:v>
                </c:pt>
                <c:pt idx="582" formatCode="0.00%">
                  <c:v>0.30892836875312757</c:v>
                </c:pt>
                <c:pt idx="583" formatCode="0.00%">
                  <c:v>0.30167890180216805</c:v>
                </c:pt>
                <c:pt idx="584" formatCode="0.00%">
                  <c:v>0.32251779330414576</c:v>
                </c:pt>
                <c:pt idx="585" formatCode="0.00%">
                  <c:v>0.35001569422773937</c:v>
                </c:pt>
                <c:pt idx="586" formatCode="0.00%">
                  <c:v>0.34525720631069962</c:v>
                </c:pt>
                <c:pt idx="587" formatCode="0.00%">
                  <c:v>0.38187294909588659</c:v>
                </c:pt>
                <c:pt idx="588" formatCode="0.00%">
                  <c:v>0.38214930124748553</c:v>
                </c:pt>
                <c:pt idx="589" formatCode="0.00%">
                  <c:v>0.38436111511919419</c:v>
                </c:pt>
                <c:pt idx="590" formatCode="0.00%">
                  <c:v>0.37598412648866986</c:v>
                </c:pt>
                <c:pt idx="591" formatCode="0.00%">
                  <c:v>0.38049082966957737</c:v>
                </c:pt>
                <c:pt idx="592" formatCode="0.00%">
                  <c:v>0.37797567000849019</c:v>
                </c:pt>
                <c:pt idx="593" formatCode="0.00%">
                  <c:v>0.36501171305930608</c:v>
                </c:pt>
                <c:pt idx="594" formatCode="0.00%">
                  <c:v>0.37342549604117614</c:v>
                </c:pt>
                <c:pt idx="595" formatCode="0.00%">
                  <c:v>0.355834976983949</c:v>
                </c:pt>
                <c:pt idx="596" formatCode="0.00%">
                  <c:v>0.35363561202417715</c:v>
                </c:pt>
                <c:pt idx="597" formatCode="0.00%">
                  <c:v>0.33666418981062796</c:v>
                </c:pt>
                <c:pt idx="598" formatCode="0.00%">
                  <c:v>0.34664855960070612</c:v>
                </c:pt>
                <c:pt idx="599" formatCode="0.00%">
                  <c:v>0.31633923844646078</c:v>
                </c:pt>
                <c:pt idx="600" formatCode="0.00%">
                  <c:v>0.32296575563756774</c:v>
                </c:pt>
                <c:pt idx="601" formatCode="0.00%">
                  <c:v>0.35442165361843919</c:v>
                </c:pt>
                <c:pt idx="602" formatCode="0.00%">
                  <c:v>0.35462771172682567</c:v>
                </c:pt>
                <c:pt idx="603" formatCode="0.00%">
                  <c:v>0.36562732459658481</c:v>
                </c:pt>
                <c:pt idx="604" formatCode="0.00%">
                  <c:v>0.36041722312655178</c:v>
                </c:pt>
                <c:pt idx="605" formatCode="0.00%">
                  <c:v>0.35345838452805178</c:v>
                </c:pt>
                <c:pt idx="606" formatCode="0.00%">
                  <c:v>0.35379521715112916</c:v>
                </c:pt>
                <c:pt idx="607" formatCode="0.00%">
                  <c:v>0.35473670307400196</c:v>
                </c:pt>
                <c:pt idx="608" formatCode="0.00%">
                  <c:v>0.35656648680207897</c:v>
                </c:pt>
                <c:pt idx="609" formatCode="0.00%">
                  <c:v>0.38808688235214078</c:v>
                </c:pt>
                <c:pt idx="610" formatCode="0.00%">
                  <c:v>0.38287418013524449</c:v>
                </c:pt>
                <c:pt idx="611" formatCode="0.00%">
                  <c:v>0.3817214147923268</c:v>
                </c:pt>
                <c:pt idx="612" formatCode="0.00%">
                  <c:v>0.37197295895550136</c:v>
                </c:pt>
                <c:pt idx="613" formatCode="0.00%">
                  <c:v>0.36034514470603496</c:v>
                </c:pt>
                <c:pt idx="614" formatCode="0.00%">
                  <c:v>0.37577919847916119</c:v>
                </c:pt>
                <c:pt idx="615" formatCode="0.00%">
                  <c:v>0.37347123093832346</c:v>
                </c:pt>
                <c:pt idx="616" formatCode="0.00%">
                  <c:v>0.38024215754311425</c:v>
                </c:pt>
                <c:pt idx="617" formatCode="0.00%">
                  <c:v>0.39052091876656114</c:v>
                </c:pt>
                <c:pt idx="618" formatCode="0.00%">
                  <c:v>0.38096213766035392</c:v>
                </c:pt>
                <c:pt idx="619" formatCode="0.00%">
                  <c:v>0.39488609680052794</c:v>
                </c:pt>
                <c:pt idx="620" formatCode="0.00%">
                  <c:v>0.39421024027246887</c:v>
                </c:pt>
                <c:pt idx="621" formatCode="0.00%">
                  <c:v>0.40467708586192913</c:v>
                </c:pt>
                <c:pt idx="622" formatCode="0.00%">
                  <c:v>0.4184869366524141</c:v>
                </c:pt>
                <c:pt idx="623" formatCode="0.00%">
                  <c:v>0.42092892524458408</c:v>
                </c:pt>
                <c:pt idx="624" formatCode="0.00%">
                  <c:v>0.42164114697485794</c:v>
                </c:pt>
                <c:pt idx="625" formatCode="0.00%">
                  <c:v>0.42259193295255809</c:v>
                </c:pt>
                <c:pt idx="626" formatCode="0.00%">
                  <c:v>0.41767818077658087</c:v>
                </c:pt>
                <c:pt idx="627" formatCode="0.00%">
                  <c:v>0.42004646058532402</c:v>
                </c:pt>
                <c:pt idx="628" formatCode="0.00%">
                  <c:v>0.42090265193044707</c:v>
                </c:pt>
                <c:pt idx="629" formatCode="0.00%">
                  <c:v>0.42635995770350338</c:v>
                </c:pt>
                <c:pt idx="630" formatCode="0.00%">
                  <c:v>0.42394707015493505</c:v>
                </c:pt>
                <c:pt idx="631" formatCode="0.00%">
                  <c:v>0.42408374608689892</c:v>
                </c:pt>
                <c:pt idx="632" formatCode="0.00%">
                  <c:v>0.42423452185105848</c:v>
                </c:pt>
                <c:pt idx="633" formatCode="0.00%">
                  <c:v>0.43006267659159736</c:v>
                </c:pt>
                <c:pt idx="634" formatCode="0.00%">
                  <c:v>0.43161905670942391</c:v>
                </c:pt>
                <c:pt idx="635" formatCode="0.00%">
                  <c:v>0.42831558526485503</c:v>
                </c:pt>
                <c:pt idx="636" formatCode="0.00%">
                  <c:v>0.43014548667503477</c:v>
                </c:pt>
                <c:pt idx="637" formatCode="0.00%">
                  <c:v>0.42953540033111498</c:v>
                </c:pt>
                <c:pt idx="638" formatCode="0.00%">
                  <c:v>0.43235288729249327</c:v>
                </c:pt>
                <c:pt idx="639" formatCode="0.00%">
                  <c:v>0.42886195169560654</c:v>
                </c:pt>
                <c:pt idx="640" formatCode="0.00%">
                  <c:v>0.43292210207154641</c:v>
                </c:pt>
                <c:pt idx="641" formatCode="0.00%">
                  <c:v>0.43290277295865509</c:v>
                </c:pt>
                <c:pt idx="642" formatCode="0.00%">
                  <c:v>0.43368166884201698</c:v>
                </c:pt>
                <c:pt idx="643" formatCode="0.00%">
                  <c:v>0.43300592975238772</c:v>
                </c:pt>
                <c:pt idx="644" formatCode="0.00%">
                  <c:v>0.43111167855711707</c:v>
                </c:pt>
                <c:pt idx="645" formatCode="0.00%">
                  <c:v>0.43242001785501255</c:v>
                </c:pt>
                <c:pt idx="646" formatCode="0.00%">
                  <c:v>0.42853023982364197</c:v>
                </c:pt>
                <c:pt idx="647" formatCode="0.00%">
                  <c:v>0.43137006092652325</c:v>
                </c:pt>
                <c:pt idx="648" formatCode="0.00%">
                  <c:v>0.43480657975671494</c:v>
                </c:pt>
                <c:pt idx="649" formatCode="0.00%">
                  <c:v>0.4346697745560994</c:v>
                </c:pt>
                <c:pt idx="650" formatCode="0.00%">
                  <c:v>0.43150894586754102</c:v>
                </c:pt>
                <c:pt idx="651" formatCode="0.00%">
                  <c:v>0.42968375228371702</c:v>
                </c:pt>
                <c:pt idx="652" formatCode="0.00%">
                  <c:v>0.42803085972173355</c:v>
                </c:pt>
                <c:pt idx="653" formatCode="0.00%">
                  <c:v>0.43189969917651788</c:v>
                </c:pt>
                <c:pt idx="654" formatCode="0.00%">
                  <c:v>0.43447451335921144</c:v>
                </c:pt>
                <c:pt idx="655" formatCode="0.00%">
                  <c:v>0.42913785747164573</c:v>
                </c:pt>
                <c:pt idx="656" formatCode="0.00%">
                  <c:v>0.43122679502104139</c:v>
                </c:pt>
                <c:pt idx="657" formatCode="0.00%">
                  <c:v>0.43434042363427755</c:v>
                </c:pt>
                <c:pt idx="658" formatCode="0.00%">
                  <c:v>0.43349336577803721</c:v>
                </c:pt>
                <c:pt idx="659" formatCode="0.00%">
                  <c:v>0.43221111082466723</c:v>
                </c:pt>
                <c:pt idx="660" formatCode="0.00%">
                  <c:v>0.43138954878095553</c:v>
                </c:pt>
                <c:pt idx="661" formatCode="0.00%">
                  <c:v>0.43079051391522533</c:v>
                </c:pt>
                <c:pt idx="662" formatCode="0.00%">
                  <c:v>0.4290139379406524</c:v>
                </c:pt>
                <c:pt idx="663" formatCode="0.00%">
                  <c:v>0.42991861854258179</c:v>
                </c:pt>
                <c:pt idx="664" formatCode="0.00%">
                  <c:v>0.42867739299136187</c:v>
                </c:pt>
                <c:pt idx="665" formatCode="0.00%">
                  <c:v>0.42955393743504466</c:v>
                </c:pt>
                <c:pt idx="666" formatCode="0.00%">
                  <c:v>0.43180471707067863</c:v>
                </c:pt>
                <c:pt idx="667" formatCode="0.00%">
                  <c:v>0.4314792624958762</c:v>
                </c:pt>
                <c:pt idx="668" formatCode="0.00%">
                  <c:v>0.43071552251448308</c:v>
                </c:pt>
                <c:pt idx="669" formatCode="0.00%">
                  <c:v>0.43031114795402353</c:v>
                </c:pt>
                <c:pt idx="670" formatCode="0.00%">
                  <c:v>0.43242927397089276</c:v>
                </c:pt>
                <c:pt idx="671" formatCode="0.00%">
                  <c:v>0.43725105417853921</c:v>
                </c:pt>
                <c:pt idx="672" formatCode="0.00%">
                  <c:v>0.43338941789897328</c:v>
                </c:pt>
                <c:pt idx="673" formatCode="0.00%">
                  <c:v>0.43337309260753648</c:v>
                </c:pt>
                <c:pt idx="674" formatCode="0.00%">
                  <c:v>0.43325441609930593</c:v>
                </c:pt>
                <c:pt idx="675" formatCode="0.00%">
                  <c:v>0.4310387477454648</c:v>
                </c:pt>
                <c:pt idx="676" formatCode="0.00%">
                  <c:v>0.43172766528864381</c:v>
                </c:pt>
                <c:pt idx="677" formatCode="0.00%">
                  <c:v>0.43033774683052667</c:v>
                </c:pt>
                <c:pt idx="678" formatCode="0.00%">
                  <c:v>0.43329252314371869</c:v>
                </c:pt>
                <c:pt idx="679" formatCode="0.00%">
                  <c:v>0.43129635351307583</c:v>
                </c:pt>
                <c:pt idx="680" formatCode="0.00%">
                  <c:v>0.43014009091396282</c:v>
                </c:pt>
                <c:pt idx="681" formatCode="0.00%">
                  <c:v>0.43360726590855503</c:v>
                </c:pt>
                <c:pt idx="682" formatCode="0.00%">
                  <c:v>0.43329517702949655</c:v>
                </c:pt>
                <c:pt idx="683" formatCode="0.00%">
                  <c:v>0.42943775933615375</c:v>
                </c:pt>
                <c:pt idx="684" formatCode="0.00%">
                  <c:v>0.42940986543962617</c:v>
                </c:pt>
                <c:pt idx="685" formatCode="0.00%">
                  <c:v>0.42821724582829845</c:v>
                </c:pt>
                <c:pt idx="686" formatCode="0.00%">
                  <c:v>0.42781378776318763</c:v>
                </c:pt>
                <c:pt idx="687" formatCode="0.00%">
                  <c:v>0.42965347971560736</c:v>
                </c:pt>
                <c:pt idx="688" formatCode="0.00%">
                  <c:v>0.42748958061482423</c:v>
                </c:pt>
                <c:pt idx="689" formatCode="0.00%">
                  <c:v>0.42982755588207328</c:v>
                </c:pt>
                <c:pt idx="690" formatCode="0.00%">
                  <c:v>0.43368601626227282</c:v>
                </c:pt>
                <c:pt idx="691" formatCode="0.00%">
                  <c:v>0.43303329718879502</c:v>
                </c:pt>
                <c:pt idx="692" formatCode="0.00%">
                  <c:v>0.43145245269569049</c:v>
                </c:pt>
                <c:pt idx="693" formatCode="0.00%">
                  <c:v>0.42674963016431439</c:v>
                </c:pt>
                <c:pt idx="694" formatCode="0.00%">
                  <c:v>0.42876343914014869</c:v>
                </c:pt>
                <c:pt idx="695" formatCode="0.00%">
                  <c:v>0.42476267709023441</c:v>
                </c:pt>
                <c:pt idx="696" formatCode="0.00%">
                  <c:v>0.42352920307172748</c:v>
                </c:pt>
                <c:pt idx="697" formatCode="0.00%">
                  <c:v>0.41555866780603373</c:v>
                </c:pt>
                <c:pt idx="698" formatCode="0.00%">
                  <c:v>0.4152409580848217</c:v>
                </c:pt>
                <c:pt idx="699" formatCode="0.00%">
                  <c:v>0.41233721584765615</c:v>
                </c:pt>
                <c:pt idx="700" formatCode="0.00%">
                  <c:v>0.38934206246063935</c:v>
                </c:pt>
                <c:pt idx="701" formatCode="0.00%">
                  <c:v>0.38900365557402844</c:v>
                </c:pt>
                <c:pt idx="702" formatCode="0.00%">
                  <c:v>0.35939325884501727</c:v>
                </c:pt>
                <c:pt idx="703" formatCode="0.00%">
                  <c:v>0.36858800947764886</c:v>
                </c:pt>
                <c:pt idx="704" formatCode="0.00%">
                  <c:v>0.38609895381786147</c:v>
                </c:pt>
                <c:pt idx="705" formatCode="0.00%">
                  <c:v>0.37442101896844532</c:v>
                </c:pt>
                <c:pt idx="706" formatCode="0.00%">
                  <c:v>0.37758332979000231</c:v>
                </c:pt>
                <c:pt idx="707" formatCode="0.00%">
                  <c:v>0.3825409831674037</c:v>
                </c:pt>
                <c:pt idx="708" formatCode="0.00%">
                  <c:v>0.39816277145106238</c:v>
                </c:pt>
                <c:pt idx="709" formatCode="0.00%">
                  <c:v>0.39209112603515472</c:v>
                </c:pt>
                <c:pt idx="710" formatCode="0.00%">
                  <c:v>0.39038904151816489</c:v>
                </c:pt>
                <c:pt idx="711" formatCode="0.00%">
                  <c:v>0.38787400874494182</c:v>
                </c:pt>
                <c:pt idx="712" formatCode="0.00%">
                  <c:v>0.36549930364847738</c:v>
                </c:pt>
                <c:pt idx="713" formatCode="0.00%">
                  <c:v>0.37451892067425852</c:v>
                </c:pt>
                <c:pt idx="714" formatCode="0.00%">
                  <c:v>0.40028247770729397</c:v>
                </c:pt>
                <c:pt idx="715" formatCode="0.00%">
                  <c:v>0.39501612162060162</c:v>
                </c:pt>
                <c:pt idx="716" formatCode="0.00%">
                  <c:v>0.41041683360817055</c:v>
                </c:pt>
                <c:pt idx="717" formatCode="0.00%">
                  <c:v>0.40280195749577441</c:v>
                </c:pt>
                <c:pt idx="718" formatCode="0.00%">
                  <c:v>0.40601235417713299</c:v>
                </c:pt>
                <c:pt idx="719" formatCode="0.00%">
                  <c:v>0.40905612418571385</c:v>
                </c:pt>
                <c:pt idx="720" formatCode="0.00%">
                  <c:v>0.40382880594017007</c:v>
                </c:pt>
                <c:pt idx="721" formatCode="0.00%">
                  <c:v>0.41618215569218747</c:v>
                </c:pt>
                <c:pt idx="722" formatCode="0.00%">
                  <c:v>0.41655710976035126</c:v>
                </c:pt>
                <c:pt idx="723" formatCode="0.00%">
                  <c:v>0.42128809267650247</c:v>
                </c:pt>
                <c:pt idx="724" formatCode="0.00%">
                  <c:v>0.41583933771984388</c:v>
                </c:pt>
                <c:pt idx="725" formatCode="0.00%">
                  <c:v>0.39687981772725894</c:v>
                </c:pt>
                <c:pt idx="726" formatCode="0.00%">
                  <c:v>0.38441644152343096</c:v>
                </c:pt>
                <c:pt idx="727" formatCode="0.00%">
                  <c:v>0.37990208136193521</c:v>
                </c:pt>
                <c:pt idx="728" formatCode="0.00%">
                  <c:v>0.38076306376186669</c:v>
                </c:pt>
                <c:pt idx="729" formatCode="0.00%">
                  <c:v>0.38169764320111899</c:v>
                </c:pt>
                <c:pt idx="730" formatCode="0.00%">
                  <c:v>0.40223706228825584</c:v>
                </c:pt>
                <c:pt idx="731" formatCode="0.00%">
                  <c:v>0.40090939224679739</c:v>
                </c:pt>
                <c:pt idx="732" formatCode="0.00%">
                  <c:v>0.40663620805250394</c:v>
                </c:pt>
                <c:pt idx="733" formatCode="0.00%">
                  <c:v>0.41108341458569692</c:v>
                </c:pt>
                <c:pt idx="734" formatCode="0.00%">
                  <c:v>0.4097205586785595</c:v>
                </c:pt>
                <c:pt idx="735" formatCode="0.00%">
                  <c:v>0.40258891276635861</c:v>
                </c:pt>
                <c:pt idx="736" formatCode="0.00%">
                  <c:v>0.39469558368936863</c:v>
                </c:pt>
                <c:pt idx="737" formatCode="0.00%">
                  <c:v>0.39098100066332808</c:v>
                </c:pt>
                <c:pt idx="738" formatCode="0.00%">
                  <c:v>0.3891581494717351</c:v>
                </c:pt>
                <c:pt idx="739" formatCode="0.00%">
                  <c:v>0.37251381982604093</c:v>
                </c:pt>
                <c:pt idx="740" formatCode="0.00%">
                  <c:v>0.38401113126565523</c:v>
                </c:pt>
                <c:pt idx="741" formatCode="0.00%">
                  <c:v>0.38693083929485239</c:v>
                </c:pt>
                <c:pt idx="742" formatCode="0.00%">
                  <c:v>0.38942616056746615</c:v>
                </c:pt>
                <c:pt idx="743" formatCode="0.00%">
                  <c:v>0.37635833231606608</c:v>
                </c:pt>
                <c:pt idx="744" formatCode="0.00%">
                  <c:v>0.3898161355702231</c:v>
                </c:pt>
                <c:pt idx="745" formatCode="0.00%">
                  <c:v>0.39105862884005116</c:v>
                </c:pt>
                <c:pt idx="746" formatCode="0.00%">
                  <c:v>0.37203070743363953</c:v>
                </c:pt>
                <c:pt idx="747" formatCode="0.00%">
                  <c:v>0.37453448627057373</c:v>
                </c:pt>
                <c:pt idx="748" formatCode="0.00%">
                  <c:v>0.36233936431935421</c:v>
                </c:pt>
                <c:pt idx="749" formatCode="0.00%">
                  <c:v>0.36808649075613575</c:v>
                </c:pt>
                <c:pt idx="750" formatCode="0.00%">
                  <c:v>0.39769731985935064</c:v>
                </c:pt>
                <c:pt idx="751" formatCode="0.00%">
                  <c:v>0.40653051624390291</c:v>
                </c:pt>
                <c:pt idx="752" formatCode="0.00%">
                  <c:v>0.42770746594864739</c:v>
                </c:pt>
                <c:pt idx="753" formatCode="0.00%">
                  <c:v>0.4282643453382205</c:v>
                </c:pt>
                <c:pt idx="754" formatCode="0.00%">
                  <c:v>0.42301315347508162</c:v>
                </c:pt>
                <c:pt idx="755" formatCode="0.00%">
                  <c:v>0.41397069811962461</c:v>
                </c:pt>
                <c:pt idx="756" formatCode="0.00%">
                  <c:v>0.43262544309015899</c:v>
                </c:pt>
                <c:pt idx="757" formatCode="0.00%">
                  <c:v>0.43442642354364391</c:v>
                </c:pt>
                <c:pt idx="758" formatCode="0.00%">
                  <c:v>0.44267979892382558</c:v>
                </c:pt>
                <c:pt idx="759" formatCode="0.00%">
                  <c:v>0.45745352442506199</c:v>
                </c:pt>
                <c:pt idx="760" formatCode="0.00%">
                  <c:v>0.45893771871958772</c:v>
                </c:pt>
                <c:pt idx="761" formatCode="0.00%">
                  <c:v>0.45376598941950835</c:v>
                </c:pt>
                <c:pt idx="762" formatCode="0.00%">
                  <c:v>0.45907584449651245</c:v>
                </c:pt>
                <c:pt idx="763" formatCode="0.00%">
                  <c:v>0.45806619629883083</c:v>
                </c:pt>
                <c:pt idx="764" formatCode="0.00%">
                  <c:v>0.45513614908618127</c:v>
                </c:pt>
                <c:pt idx="765" formatCode="0.00%">
                  <c:v>0.45451183524823213</c:v>
                </c:pt>
                <c:pt idx="766" formatCode="0.00%">
                  <c:v>0.45377486253660543</c:v>
                </c:pt>
                <c:pt idx="767" formatCode="0.00%">
                  <c:v>0.45092559340936988</c:v>
                </c:pt>
                <c:pt idx="768" formatCode="0.00%">
                  <c:v>0.45360504469607632</c:v>
                </c:pt>
                <c:pt idx="769" formatCode="0.00%">
                  <c:v>0.44509713247649613</c:v>
                </c:pt>
                <c:pt idx="770" formatCode="0.00%">
                  <c:v>0.44364886236112466</c:v>
                </c:pt>
                <c:pt idx="771" formatCode="0.00%">
                  <c:v>0.44265191023132666</c:v>
                </c:pt>
                <c:pt idx="772" formatCode="0.00%">
                  <c:v>0.4456978788795849</c:v>
                </c:pt>
                <c:pt idx="773" formatCode="0.00%">
                  <c:v>0.43663276734441347</c:v>
                </c:pt>
                <c:pt idx="774" formatCode="0.00%">
                  <c:v>0.43556312412957154</c:v>
                </c:pt>
                <c:pt idx="775" formatCode="0.00%">
                  <c:v>0.43767213711087238</c:v>
                </c:pt>
                <c:pt idx="776" formatCode="0.00%">
                  <c:v>0.43527968857554045</c:v>
                </c:pt>
                <c:pt idx="777" formatCode="0.00%">
                  <c:v>0.42590780422858132</c:v>
                </c:pt>
                <c:pt idx="778" formatCode="0.00%">
                  <c:v>0.42880792685574565</c:v>
                </c:pt>
                <c:pt idx="779" formatCode="0.00%">
                  <c:v>0.45560054569535186</c:v>
                </c:pt>
                <c:pt idx="780" formatCode="0.00%">
                  <c:v>0.45430791043682411</c:v>
                </c:pt>
                <c:pt idx="781" formatCode="0.00%">
                  <c:v>0.45011672008619791</c:v>
                </c:pt>
                <c:pt idx="782" formatCode="0.00%">
                  <c:v>0.45836177252280769</c:v>
                </c:pt>
                <c:pt idx="783" formatCode="0.00%">
                  <c:v>0.45787128268467819</c:v>
                </c:pt>
                <c:pt idx="784" formatCode="0.00%">
                  <c:v>0.47401660683879759</c:v>
                </c:pt>
                <c:pt idx="785" formatCode="0.00%">
                  <c:v>0.47191450632856846</c:v>
                </c:pt>
                <c:pt idx="786" formatCode="0.00%">
                  <c:v>0.47247173155816713</c:v>
                </c:pt>
                <c:pt idx="787" formatCode="0.00%">
                  <c:v>0.47288878990003103</c:v>
                </c:pt>
                <c:pt idx="788" formatCode="0.00%">
                  <c:v>0.4712530013898214</c:v>
                </c:pt>
                <c:pt idx="789" formatCode="0.00%">
                  <c:v>0.47267606054076805</c:v>
                </c:pt>
                <c:pt idx="790" formatCode="0.00%">
                  <c:v>0.47311357416168354</c:v>
                </c:pt>
                <c:pt idx="791" formatCode="0.00%">
                  <c:v>0.47261583224608816</c:v>
                </c:pt>
                <c:pt idx="792" formatCode="0.00%">
                  <c:v>0.47032404701503105</c:v>
                </c:pt>
                <c:pt idx="793" formatCode="0.00%">
                  <c:v>0.4724386394820233</c:v>
                </c:pt>
                <c:pt idx="794" formatCode="0.00%">
                  <c:v>0.47352634642740749</c:v>
                </c:pt>
                <c:pt idx="795" formatCode="0.00%">
                  <c:v>0.47318981003374266</c:v>
                </c:pt>
                <c:pt idx="796" formatCode="0.00%">
                  <c:v>0.47351662286282431</c:v>
                </c:pt>
                <c:pt idx="797" formatCode="0.00%">
                  <c:v>0.47387442077769576</c:v>
                </c:pt>
                <c:pt idx="798" formatCode="0.00%">
                  <c:v>0.47040104227475488</c:v>
                </c:pt>
                <c:pt idx="799" formatCode="0.00%">
                  <c:v>0.47037989708613936</c:v>
                </c:pt>
                <c:pt idx="800" formatCode="0.00%">
                  <c:v>0.46153404881102922</c:v>
                </c:pt>
                <c:pt idx="801" formatCode="0.00%">
                  <c:v>0.45690194615193797</c:v>
                </c:pt>
                <c:pt idx="802" formatCode="0.00%">
                  <c:v>0.45515329223726086</c:v>
                </c:pt>
                <c:pt idx="803" formatCode="0.00%">
                  <c:v>0.45351888605303625</c:v>
                </c:pt>
                <c:pt idx="804" formatCode="0.00%">
                  <c:v>0.45844611438393112</c:v>
                </c:pt>
                <c:pt idx="805" formatCode="0.00%">
                  <c:v>0.46281573050362879</c:v>
                </c:pt>
                <c:pt idx="806" formatCode="0.00%">
                  <c:v>0.46546513386667626</c:v>
                </c:pt>
                <c:pt idx="807" formatCode="0.00%">
                  <c:v>0.46158151962098481</c:v>
                </c:pt>
                <c:pt idx="808" formatCode="0.00%">
                  <c:v>0.45919475169394197</c:v>
                </c:pt>
                <c:pt idx="809" formatCode="0.00%">
                  <c:v>0.45512265636236565</c:v>
                </c:pt>
                <c:pt idx="810" formatCode="0.00%">
                  <c:v>0.45132783929987552</c:v>
                </c:pt>
                <c:pt idx="811" formatCode="0.00%">
                  <c:v>0.45466112939796255</c:v>
                </c:pt>
                <c:pt idx="812" formatCode="0.00%">
                  <c:v>0.44268848696030305</c:v>
                </c:pt>
                <c:pt idx="813" formatCode="0.00%">
                  <c:v>0.44463640737066673</c:v>
                </c:pt>
                <c:pt idx="814" formatCode="0.00%">
                  <c:v>0.44664839843149529</c:v>
                </c:pt>
                <c:pt idx="815" formatCode="0.00%">
                  <c:v>0.45447024566918126</c:v>
                </c:pt>
                <c:pt idx="816" formatCode="0.00%">
                  <c:v>0.44716398067756341</c:v>
                </c:pt>
                <c:pt idx="817" formatCode="0.00%">
                  <c:v>0.45553246434617684</c:v>
                </c:pt>
                <c:pt idx="818" formatCode="0.00%">
                  <c:v>0.45185674579818563</c:v>
                </c:pt>
                <c:pt idx="819" formatCode="0.00%">
                  <c:v>0.45753990988399756</c:v>
                </c:pt>
                <c:pt idx="820" formatCode="0.00%">
                  <c:v>0.46127804279539003</c:v>
                </c:pt>
                <c:pt idx="821" formatCode="0.00%">
                  <c:v>0.45059247969108868</c:v>
                </c:pt>
                <c:pt idx="822" formatCode="0.00%">
                  <c:v>0.44728023520705235</c:v>
                </c:pt>
                <c:pt idx="823" formatCode="0.00%">
                  <c:v>0.44688659449947754</c:v>
                </c:pt>
                <c:pt idx="824" formatCode="0.00%">
                  <c:v>0.44430048353548851</c:v>
                </c:pt>
                <c:pt idx="825" formatCode="0.00%">
                  <c:v>0.44724677188541695</c:v>
                </c:pt>
                <c:pt idx="826" formatCode="0.00%">
                  <c:v>0.43605186495615217</c:v>
                </c:pt>
                <c:pt idx="827" formatCode="0.00%">
                  <c:v>0.43211348387578818</c:v>
                </c:pt>
                <c:pt idx="828" formatCode="0.00%">
                  <c:v>0.43963537373619621</c:v>
                </c:pt>
                <c:pt idx="829" formatCode="0.00%">
                  <c:v>0.44692364688414526</c:v>
                </c:pt>
                <c:pt idx="830" formatCode="0.00%">
                  <c:v>0.44420570849074886</c:v>
                </c:pt>
                <c:pt idx="831" formatCode="0.00%">
                  <c:v>0.45096653325524366</c:v>
                </c:pt>
                <c:pt idx="832" formatCode="0.00%">
                  <c:v>0.45735314800338706</c:v>
                </c:pt>
                <c:pt idx="833" formatCode="0.00%">
                  <c:v>0.45654555062275021</c:v>
                </c:pt>
                <c:pt idx="834" formatCode="0.00%">
                  <c:v>0.46105631269627806</c:v>
                </c:pt>
                <c:pt idx="835" formatCode="0.00%">
                  <c:v>0.45730831084896784</c:v>
                </c:pt>
                <c:pt idx="836" formatCode="0.00%">
                  <c:v>0.46293111403544729</c:v>
                </c:pt>
                <c:pt idx="837" formatCode="0.00%">
                  <c:v>0.4638083105927977</c:v>
                </c:pt>
                <c:pt idx="838" formatCode="0.00%">
                  <c:v>0.46473940786365525</c:v>
                </c:pt>
                <c:pt idx="839" formatCode="0.00%">
                  <c:v>0.4630455715184269</c:v>
                </c:pt>
                <c:pt idx="840" formatCode="0.00%">
                  <c:v>0.46587622380638971</c:v>
                </c:pt>
                <c:pt idx="841" formatCode="0.00%">
                  <c:v>0.46759368652268507</c:v>
                </c:pt>
                <c:pt idx="842" formatCode="0.00%">
                  <c:v>0.47189157962515921</c:v>
                </c:pt>
                <c:pt idx="843" formatCode="0.00%">
                  <c:v>0.47234155534268663</c:v>
                </c:pt>
                <c:pt idx="844" formatCode="0.00%">
                  <c:v>0.46955546974654494</c:v>
                </c:pt>
                <c:pt idx="845" formatCode="0.00%">
                  <c:v>0.47255561090320514</c:v>
                </c:pt>
                <c:pt idx="846" formatCode="0.00%">
                  <c:v>0.47780541818593125</c:v>
                </c:pt>
                <c:pt idx="847" formatCode="0.00%">
                  <c:v>0.47836838733859499</c:v>
                </c:pt>
                <c:pt idx="848" formatCode="0.00%">
                  <c:v>0.47371208430500489</c:v>
                </c:pt>
                <c:pt idx="849" formatCode="0.00%">
                  <c:v>0.47468033159849782</c:v>
                </c:pt>
                <c:pt idx="850" formatCode="0.00%">
                  <c:v>0.47477206858380033</c:v>
                </c:pt>
                <c:pt idx="851" formatCode="0.00%">
                  <c:v>0.47282340794453415</c:v>
                </c:pt>
                <c:pt idx="852" formatCode="0.00%">
                  <c:v>0.47376464184564043</c:v>
                </c:pt>
                <c:pt idx="853" formatCode="0.00%">
                  <c:v>0.47405351934617063</c:v>
                </c:pt>
                <c:pt idx="854" formatCode="0.00%">
                  <c:v>0.4769879068810135</c:v>
                </c:pt>
                <c:pt idx="855" formatCode="0.00%">
                  <c:v>0.48037247621431006</c:v>
                </c:pt>
                <c:pt idx="856" formatCode="0.00%">
                  <c:v>0.48995760700818825</c:v>
                </c:pt>
                <c:pt idx="857" formatCode="0.00%">
                  <c:v>0.49046699798344717</c:v>
                </c:pt>
                <c:pt idx="858" formatCode="0.00%">
                  <c:v>0.48946870381985857</c:v>
                </c:pt>
                <c:pt idx="859" formatCode="0.00%">
                  <c:v>0.48935806853091374</c:v>
                </c:pt>
                <c:pt idx="860" formatCode="0.00%">
                  <c:v>0.48689121579045003</c:v>
                </c:pt>
                <c:pt idx="861" formatCode="0.00%">
                  <c:v>0.48569861141973608</c:v>
                </c:pt>
                <c:pt idx="862" formatCode="0.00%">
                  <c:v>0.48926606023324332</c:v>
                </c:pt>
                <c:pt idx="863" formatCode="0.00%">
                  <c:v>0.48693580370085437</c:v>
                </c:pt>
                <c:pt idx="864" formatCode="0.00%">
                  <c:v>0.48832968548194366</c:v>
                </c:pt>
                <c:pt idx="865" formatCode="0.00%">
                  <c:v>0.48569556241768908</c:v>
                </c:pt>
                <c:pt idx="866" formatCode="0.00%">
                  <c:v>0.48366961929624214</c:v>
                </c:pt>
                <c:pt idx="867" formatCode="0.00%">
                  <c:v>0.48463688150365652</c:v>
                </c:pt>
                <c:pt idx="868" formatCode="0.00%">
                  <c:v>0.48640206831857302</c:v>
                </c:pt>
                <c:pt idx="869" formatCode="0.00%">
                  <c:v>0.48639983635456213</c:v>
                </c:pt>
                <c:pt idx="870" formatCode="0.00%">
                  <c:v>0.48787710908183485</c:v>
                </c:pt>
                <c:pt idx="871" formatCode="0.00%">
                  <c:v>0.48401175542496083</c:v>
                </c:pt>
                <c:pt idx="872" formatCode="0.00%">
                  <c:v>0.48179370535963972</c:v>
                </c:pt>
                <c:pt idx="873" formatCode="0.00%">
                  <c:v>0.47857997236762267</c:v>
                </c:pt>
                <c:pt idx="874" formatCode="0.00%">
                  <c:v>0.47771229220528011</c:v>
                </c:pt>
                <c:pt idx="875" formatCode="0.00%">
                  <c:v>0.48152154174971784</c:v>
                </c:pt>
                <c:pt idx="876" formatCode="0.00%">
                  <c:v>0.48341167388788059</c:v>
                </c:pt>
                <c:pt idx="877" formatCode="0.00%">
                  <c:v>0.48263844910961701</c:v>
                </c:pt>
                <c:pt idx="878" formatCode="0.00%">
                  <c:v>0.48212713716235145</c:v>
                </c:pt>
                <c:pt idx="879" formatCode="0.00%">
                  <c:v>0.48150628645964605</c:v>
                </c:pt>
                <c:pt idx="880" formatCode="0.00%">
                  <c:v>0.4792193091317774</c:v>
                </c:pt>
                <c:pt idx="881" formatCode="0.00%">
                  <c:v>0.47891297815865869</c:v>
                </c:pt>
                <c:pt idx="882" formatCode="0.00%">
                  <c:v>0.47932354954684087</c:v>
                </c:pt>
                <c:pt idx="883" formatCode="0.00%">
                  <c:v>0.48467999676148832</c:v>
                </c:pt>
                <c:pt idx="884" formatCode="0.00%">
                  <c:v>0.48399729651117884</c:v>
                </c:pt>
                <c:pt idx="885" formatCode="0.00%">
                  <c:v>0.49370881795607663</c:v>
                </c:pt>
                <c:pt idx="886" formatCode="0.00%">
                  <c:v>0.49527161830064143</c:v>
                </c:pt>
                <c:pt idx="887" formatCode="0.00%">
                  <c:v>0.4945107118324098</c:v>
                </c:pt>
                <c:pt idx="888" formatCode="0.00%">
                  <c:v>0.49465549995436425</c:v>
                </c:pt>
                <c:pt idx="889" formatCode="0.00%">
                  <c:v>0.49550664427061164</c:v>
                </c:pt>
                <c:pt idx="890" formatCode="0.00%">
                  <c:v>0.50639559148285151</c:v>
                </c:pt>
                <c:pt idx="891" formatCode="0.00%">
                  <c:v>0.50546241856628416</c:v>
                </c:pt>
                <c:pt idx="892" formatCode="0.00%">
                  <c:v>0.50561183915402397</c:v>
                </c:pt>
                <c:pt idx="893" formatCode="0.00%">
                  <c:v>0.50483187486870884</c:v>
                </c:pt>
                <c:pt idx="894" formatCode="0.00%">
                  <c:v>0.504602272149278</c:v>
                </c:pt>
                <c:pt idx="895" formatCode="0.00%">
                  <c:v>0.50567221306475307</c:v>
                </c:pt>
                <c:pt idx="896" formatCode="0.00%">
                  <c:v>0.50772370992916427</c:v>
                </c:pt>
                <c:pt idx="897" formatCode="0.00%">
                  <c:v>0.50498974742167935</c:v>
                </c:pt>
                <c:pt idx="898" formatCode="0.00%">
                  <c:v>0.50588029656584355</c:v>
                </c:pt>
                <c:pt idx="899" formatCode="0.00%">
                  <c:v>0.50545580668212142</c:v>
                </c:pt>
                <c:pt idx="900" formatCode="0.00%">
                  <c:v>0.50359979713648029</c:v>
                </c:pt>
                <c:pt idx="901" formatCode="0.00%">
                  <c:v>0.50348735335836936</c:v>
                </c:pt>
                <c:pt idx="902" formatCode="0.00%">
                  <c:v>0.50293063818305128</c:v>
                </c:pt>
                <c:pt idx="903" formatCode="0.00%">
                  <c:v>0.49895993543356926</c:v>
                </c:pt>
                <c:pt idx="904" formatCode="0.00%">
                  <c:v>0.50048346629207174</c:v>
                </c:pt>
                <c:pt idx="905" formatCode="0.00%">
                  <c:v>0.50190257155356011</c:v>
                </c:pt>
                <c:pt idx="906" formatCode="0.00%">
                  <c:v>0.49936458852812743</c:v>
                </c:pt>
                <c:pt idx="907" formatCode="0.00%">
                  <c:v>0.497066056824011</c:v>
                </c:pt>
                <c:pt idx="908" formatCode="0.00%">
                  <c:v>0.49815822007367566</c:v>
                </c:pt>
                <c:pt idx="909" formatCode="0.00%">
                  <c:v>0.49404691734656642</c:v>
                </c:pt>
                <c:pt idx="910" formatCode="0.00%">
                  <c:v>0.49234724832760446</c:v>
                </c:pt>
                <c:pt idx="911" formatCode="0.00%">
                  <c:v>0.49209402782221973</c:v>
                </c:pt>
                <c:pt idx="912" formatCode="0.00%">
                  <c:v>0.5006886908786683</c:v>
                </c:pt>
                <c:pt idx="913" formatCode="0.00%">
                  <c:v>0.50188434396928139</c:v>
                </c:pt>
                <c:pt idx="914" formatCode="0.00%">
                  <c:v>0.50540949640830579</c:v>
                </c:pt>
                <c:pt idx="915" formatCode="0.00%">
                  <c:v>0.50749494033500553</c:v>
                </c:pt>
                <c:pt idx="916" formatCode="0.00%">
                  <c:v>0.50862144490061501</c:v>
                </c:pt>
                <c:pt idx="917" formatCode="0.00%">
                  <c:v>0.50771010383332837</c:v>
                </c:pt>
                <c:pt idx="918" formatCode="0.00%">
                  <c:v>0.50561095022609892</c:v>
                </c:pt>
                <c:pt idx="919" formatCode="0.00%">
                  <c:v>0.50492549706539824</c:v>
                </c:pt>
                <c:pt idx="920" formatCode="0.00%">
                  <c:v>0.50121795360558941</c:v>
                </c:pt>
                <c:pt idx="921" formatCode="0.00%">
                  <c:v>0.49703372950097119</c:v>
                </c:pt>
                <c:pt idx="922" formatCode="0.00%">
                  <c:v>0.49733491899984988</c:v>
                </c:pt>
                <c:pt idx="923" formatCode="0.00%">
                  <c:v>0.49645574527442721</c:v>
                </c:pt>
                <c:pt idx="924" formatCode="0.00%">
                  <c:v>0.4996967588277566</c:v>
                </c:pt>
                <c:pt idx="925" formatCode="0.00%">
                  <c:v>0.50463440063629439</c:v>
                </c:pt>
                <c:pt idx="926" formatCode="0.00%">
                  <c:v>0.49092385250279791</c:v>
                </c:pt>
                <c:pt idx="927" formatCode="0.00%">
                  <c:v>0.49219291201690585</c:v>
                </c:pt>
                <c:pt idx="928" formatCode="0.00%">
                  <c:v>0.49092683620325983</c:v>
                </c:pt>
                <c:pt idx="929" formatCode="0.00%">
                  <c:v>0.49092683620325983</c:v>
                </c:pt>
                <c:pt idx="930" formatCode="0.00%">
                  <c:v>0.4845398256726029</c:v>
                </c:pt>
                <c:pt idx="931" formatCode="0.00%">
                  <c:v>0.48619389089998005</c:v>
                </c:pt>
                <c:pt idx="932" formatCode="0.00%">
                  <c:v>0.49222276428504635</c:v>
                </c:pt>
                <c:pt idx="933" formatCode="0.00%">
                  <c:v>0.49042425572187004</c:v>
                </c:pt>
                <c:pt idx="934" formatCode="0.00%">
                  <c:v>0.49424200234413518</c:v>
                </c:pt>
                <c:pt idx="935" formatCode="0.00%">
                  <c:v>0.49856429615627745</c:v>
                </c:pt>
                <c:pt idx="936" formatCode="0.00%">
                  <c:v>0.49856791065426387</c:v>
                </c:pt>
                <c:pt idx="937" formatCode="0.00%">
                  <c:v>0.49337265813117842</c:v>
                </c:pt>
                <c:pt idx="938" formatCode="0.00%">
                  <c:v>0.5000792564107015</c:v>
                </c:pt>
                <c:pt idx="939" formatCode="0.00%">
                  <c:v>0.49825922847675336</c:v>
                </c:pt>
                <c:pt idx="940" formatCode="0.00%">
                  <c:v>0.49930004064141514</c:v>
                </c:pt>
                <c:pt idx="941" formatCode="0.00%">
                  <c:v>0.49625976976570385</c:v>
                </c:pt>
                <c:pt idx="942" formatCode="0.00%">
                  <c:v>0.49611463179071857</c:v>
                </c:pt>
                <c:pt idx="943" formatCode="0.00%">
                  <c:v>0.49524261778013501</c:v>
                </c:pt>
                <c:pt idx="944" formatCode="0.00%">
                  <c:v>0.50006697901332897</c:v>
                </c:pt>
                <c:pt idx="945" formatCode="0.00%">
                  <c:v>0.48969553864009197</c:v>
                </c:pt>
                <c:pt idx="946" formatCode="0.00%">
                  <c:v>0.49082215553792224</c:v>
                </c:pt>
                <c:pt idx="947" formatCode="0.00%">
                  <c:v>0.49939114802792345</c:v>
                </c:pt>
                <c:pt idx="948" formatCode="0.00%">
                  <c:v>0.49930546038111528</c:v>
                </c:pt>
                <c:pt idx="949" formatCode="0.00%">
                  <c:v>0.50397070657524012</c:v>
                </c:pt>
                <c:pt idx="950" formatCode="0.00%">
                  <c:v>0.50355842989177702</c:v>
                </c:pt>
                <c:pt idx="951" formatCode="0.00%">
                  <c:v>0.50331414081838344</c:v>
                </c:pt>
                <c:pt idx="952" formatCode="0.00%">
                  <c:v>0.50504984572920741</c:v>
                </c:pt>
                <c:pt idx="953" formatCode="0.00%">
                  <c:v>0.49817894777560806</c:v>
                </c:pt>
                <c:pt idx="954" formatCode="0.00%">
                  <c:v>0.49890377654863616</c:v>
                </c:pt>
                <c:pt idx="955" formatCode="0.00%">
                  <c:v>0.50142359362572553</c:v>
                </c:pt>
                <c:pt idx="956" formatCode="0.00%">
                  <c:v>0.50294390169971959</c:v>
                </c:pt>
                <c:pt idx="957" formatCode="0.00%">
                  <c:v>0.50497146178385077</c:v>
                </c:pt>
                <c:pt idx="958" formatCode="0.00%">
                  <c:v>0.50565242181687842</c:v>
                </c:pt>
                <c:pt idx="959" formatCode="0.00%">
                  <c:v>0.50510947682852325</c:v>
                </c:pt>
                <c:pt idx="960" formatCode="0.00%">
                  <c:v>0.50414791046610319</c:v>
                </c:pt>
                <c:pt idx="961" formatCode="0.00%">
                  <c:v>0.50368708097301562</c:v>
                </c:pt>
                <c:pt idx="962" formatCode="0.00%">
                  <c:v>0.49888196846743821</c:v>
                </c:pt>
                <c:pt idx="963" formatCode="0.00%">
                  <c:v>0.4932806502201536</c:v>
                </c:pt>
                <c:pt idx="964" formatCode="0.00%">
                  <c:v>0.49526433763950584</c:v>
                </c:pt>
                <c:pt idx="965" formatCode="0.00%">
                  <c:v>0.48769810144564868</c:v>
                </c:pt>
                <c:pt idx="966" formatCode="0.00%">
                  <c:v>0.48113151082354816</c:v>
                </c:pt>
                <c:pt idx="967" formatCode="0.00%">
                  <c:v>0.47437950324294686</c:v>
                </c:pt>
                <c:pt idx="968" formatCode="0.00%">
                  <c:v>0.47559380579207305</c:v>
                </c:pt>
                <c:pt idx="969" formatCode="0.00%">
                  <c:v>0.47499484063660125</c:v>
                </c:pt>
                <c:pt idx="970" formatCode="0.00%">
                  <c:v>0.48070685054928519</c:v>
                </c:pt>
                <c:pt idx="971" formatCode="0.00%">
                  <c:v>0.47747191858602755</c:v>
                </c:pt>
                <c:pt idx="972" formatCode="0.00%">
                  <c:v>0.45904690281702965</c:v>
                </c:pt>
                <c:pt idx="973" formatCode="0.00%">
                  <c:v>0.44783196646717693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CA8-44D6-940F-E36E1DF71A02}"/>
            </c:ext>
          </c:extLst>
        </c:ser>
        <c:ser>
          <c:idx val="1"/>
          <c:order val="1"/>
          <c:tx>
            <c:strRef>
              <c:f>'ETF StepUp'!$P$14</c:f>
              <c:strCache>
                <c:ptCount val="1"/>
                <c:pt idx="0">
                  <c:v>KOSPI</c:v>
                </c:pt>
              </c:strCache>
            </c:strRef>
          </c:tx>
          <c:spPr>
            <a:ln w="12700"/>
          </c:spPr>
          <c:marker>
            <c:symbol val="none"/>
          </c:marker>
          <c:cat>
            <c:numRef>
              <c:f>'ETF StepUp'!$N$15:$N$988</c:f>
              <c:numCache>
                <c:formatCode>yyyy\-mm\-dd</c:formatCode>
                <c:ptCount val="974"/>
                <c:pt idx="0">
                  <c:v>40023</c:v>
                </c:pt>
                <c:pt idx="1">
                  <c:v>40024</c:v>
                </c:pt>
                <c:pt idx="2">
                  <c:v>40025</c:v>
                </c:pt>
                <c:pt idx="3">
                  <c:v>40028</c:v>
                </c:pt>
                <c:pt idx="4">
                  <c:v>40029</c:v>
                </c:pt>
                <c:pt idx="5">
                  <c:v>40030</c:v>
                </c:pt>
                <c:pt idx="6">
                  <c:v>40031</c:v>
                </c:pt>
                <c:pt idx="7">
                  <c:v>40032</c:v>
                </c:pt>
                <c:pt idx="8">
                  <c:v>40035</c:v>
                </c:pt>
                <c:pt idx="9">
                  <c:v>40036</c:v>
                </c:pt>
                <c:pt idx="10">
                  <c:v>40037</c:v>
                </c:pt>
                <c:pt idx="11">
                  <c:v>40038</c:v>
                </c:pt>
                <c:pt idx="12">
                  <c:v>40039</c:v>
                </c:pt>
                <c:pt idx="13">
                  <c:v>40042</c:v>
                </c:pt>
                <c:pt idx="14">
                  <c:v>40043</c:v>
                </c:pt>
                <c:pt idx="15">
                  <c:v>40044</c:v>
                </c:pt>
                <c:pt idx="16">
                  <c:v>40045</c:v>
                </c:pt>
                <c:pt idx="17">
                  <c:v>40046</c:v>
                </c:pt>
                <c:pt idx="18">
                  <c:v>40049</c:v>
                </c:pt>
                <c:pt idx="19">
                  <c:v>40050</c:v>
                </c:pt>
                <c:pt idx="20">
                  <c:v>40051</c:v>
                </c:pt>
                <c:pt idx="21">
                  <c:v>40052</c:v>
                </c:pt>
                <c:pt idx="22">
                  <c:v>40053</c:v>
                </c:pt>
                <c:pt idx="23">
                  <c:v>40056</c:v>
                </c:pt>
                <c:pt idx="24">
                  <c:v>40057</c:v>
                </c:pt>
                <c:pt idx="25">
                  <c:v>40058</c:v>
                </c:pt>
                <c:pt idx="26">
                  <c:v>40059</c:v>
                </c:pt>
                <c:pt idx="27">
                  <c:v>40060</c:v>
                </c:pt>
                <c:pt idx="28">
                  <c:v>40063</c:v>
                </c:pt>
                <c:pt idx="29">
                  <c:v>40064</c:v>
                </c:pt>
                <c:pt idx="30">
                  <c:v>40065</c:v>
                </c:pt>
                <c:pt idx="31">
                  <c:v>40066</c:v>
                </c:pt>
                <c:pt idx="32">
                  <c:v>40067</c:v>
                </c:pt>
                <c:pt idx="33">
                  <c:v>40070</c:v>
                </c:pt>
                <c:pt idx="34">
                  <c:v>40071</c:v>
                </c:pt>
                <c:pt idx="35">
                  <c:v>40072</c:v>
                </c:pt>
                <c:pt idx="36">
                  <c:v>40073</c:v>
                </c:pt>
                <c:pt idx="37">
                  <c:v>40074</c:v>
                </c:pt>
                <c:pt idx="38">
                  <c:v>40077</c:v>
                </c:pt>
                <c:pt idx="39">
                  <c:v>40078</c:v>
                </c:pt>
                <c:pt idx="40">
                  <c:v>40079</c:v>
                </c:pt>
                <c:pt idx="41">
                  <c:v>40080</c:v>
                </c:pt>
                <c:pt idx="42">
                  <c:v>40081</c:v>
                </c:pt>
                <c:pt idx="43">
                  <c:v>40084</c:v>
                </c:pt>
                <c:pt idx="44">
                  <c:v>40085</c:v>
                </c:pt>
                <c:pt idx="45">
                  <c:v>40086</c:v>
                </c:pt>
                <c:pt idx="46">
                  <c:v>40087</c:v>
                </c:pt>
                <c:pt idx="47">
                  <c:v>40091</c:v>
                </c:pt>
                <c:pt idx="48">
                  <c:v>40092</c:v>
                </c:pt>
                <c:pt idx="49">
                  <c:v>40093</c:v>
                </c:pt>
                <c:pt idx="50">
                  <c:v>40094</c:v>
                </c:pt>
                <c:pt idx="51">
                  <c:v>40095</c:v>
                </c:pt>
                <c:pt idx="52">
                  <c:v>40098</c:v>
                </c:pt>
                <c:pt idx="53">
                  <c:v>40099</c:v>
                </c:pt>
                <c:pt idx="54">
                  <c:v>40100</c:v>
                </c:pt>
                <c:pt idx="55">
                  <c:v>40101</c:v>
                </c:pt>
                <c:pt idx="56">
                  <c:v>40102</c:v>
                </c:pt>
                <c:pt idx="57">
                  <c:v>40105</c:v>
                </c:pt>
                <c:pt idx="58">
                  <c:v>40106</c:v>
                </c:pt>
                <c:pt idx="59">
                  <c:v>40107</c:v>
                </c:pt>
                <c:pt idx="60">
                  <c:v>40108</c:v>
                </c:pt>
                <c:pt idx="61">
                  <c:v>40109</c:v>
                </c:pt>
                <c:pt idx="62">
                  <c:v>40112</c:v>
                </c:pt>
                <c:pt idx="63">
                  <c:v>40113</c:v>
                </c:pt>
                <c:pt idx="64">
                  <c:v>40114</c:v>
                </c:pt>
                <c:pt idx="65">
                  <c:v>40115</c:v>
                </c:pt>
                <c:pt idx="66">
                  <c:v>40116</c:v>
                </c:pt>
                <c:pt idx="67">
                  <c:v>40119</c:v>
                </c:pt>
                <c:pt idx="68">
                  <c:v>40120</c:v>
                </c:pt>
                <c:pt idx="69">
                  <c:v>40121</c:v>
                </c:pt>
                <c:pt idx="70">
                  <c:v>40122</c:v>
                </c:pt>
                <c:pt idx="71">
                  <c:v>40123</c:v>
                </c:pt>
                <c:pt idx="72">
                  <c:v>40126</c:v>
                </c:pt>
                <c:pt idx="73">
                  <c:v>40127</c:v>
                </c:pt>
                <c:pt idx="74">
                  <c:v>40128</c:v>
                </c:pt>
                <c:pt idx="75">
                  <c:v>40129</c:v>
                </c:pt>
                <c:pt idx="76">
                  <c:v>40130</c:v>
                </c:pt>
                <c:pt idx="77">
                  <c:v>40133</c:v>
                </c:pt>
                <c:pt idx="78">
                  <c:v>40134</c:v>
                </c:pt>
                <c:pt idx="79">
                  <c:v>40135</c:v>
                </c:pt>
                <c:pt idx="80">
                  <c:v>40136</c:v>
                </c:pt>
                <c:pt idx="81">
                  <c:v>40137</c:v>
                </c:pt>
                <c:pt idx="82">
                  <c:v>40140</c:v>
                </c:pt>
                <c:pt idx="83">
                  <c:v>40141</c:v>
                </c:pt>
                <c:pt idx="84">
                  <c:v>40142</c:v>
                </c:pt>
                <c:pt idx="85">
                  <c:v>40143</c:v>
                </c:pt>
                <c:pt idx="86">
                  <c:v>40144</c:v>
                </c:pt>
                <c:pt idx="87">
                  <c:v>40147</c:v>
                </c:pt>
                <c:pt idx="88">
                  <c:v>40148</c:v>
                </c:pt>
                <c:pt idx="89">
                  <c:v>40149</c:v>
                </c:pt>
                <c:pt idx="90">
                  <c:v>40150</c:v>
                </c:pt>
                <c:pt idx="91">
                  <c:v>40151</c:v>
                </c:pt>
                <c:pt idx="92">
                  <c:v>40154</c:v>
                </c:pt>
                <c:pt idx="93">
                  <c:v>40155</c:v>
                </c:pt>
                <c:pt idx="94">
                  <c:v>40156</c:v>
                </c:pt>
                <c:pt idx="95">
                  <c:v>40157</c:v>
                </c:pt>
                <c:pt idx="96">
                  <c:v>40158</c:v>
                </c:pt>
                <c:pt idx="97">
                  <c:v>40161</c:v>
                </c:pt>
                <c:pt idx="98">
                  <c:v>40162</c:v>
                </c:pt>
                <c:pt idx="99">
                  <c:v>40163</c:v>
                </c:pt>
                <c:pt idx="100">
                  <c:v>40164</c:v>
                </c:pt>
                <c:pt idx="101">
                  <c:v>40165</c:v>
                </c:pt>
                <c:pt idx="102">
                  <c:v>40168</c:v>
                </c:pt>
                <c:pt idx="103">
                  <c:v>40169</c:v>
                </c:pt>
                <c:pt idx="104">
                  <c:v>40170</c:v>
                </c:pt>
                <c:pt idx="105">
                  <c:v>40171</c:v>
                </c:pt>
                <c:pt idx="106">
                  <c:v>40175</c:v>
                </c:pt>
                <c:pt idx="107">
                  <c:v>40176</c:v>
                </c:pt>
                <c:pt idx="108">
                  <c:v>40177</c:v>
                </c:pt>
                <c:pt idx="109">
                  <c:v>40182</c:v>
                </c:pt>
                <c:pt idx="110">
                  <c:v>40183</c:v>
                </c:pt>
                <c:pt idx="111">
                  <c:v>40184</c:v>
                </c:pt>
                <c:pt idx="112">
                  <c:v>40185</c:v>
                </c:pt>
                <c:pt idx="113">
                  <c:v>40186</c:v>
                </c:pt>
                <c:pt idx="114">
                  <c:v>40189</c:v>
                </c:pt>
                <c:pt idx="115">
                  <c:v>40190</c:v>
                </c:pt>
                <c:pt idx="116">
                  <c:v>40191</c:v>
                </c:pt>
                <c:pt idx="117">
                  <c:v>40192</c:v>
                </c:pt>
                <c:pt idx="118">
                  <c:v>40193</c:v>
                </c:pt>
                <c:pt idx="119">
                  <c:v>40196</c:v>
                </c:pt>
                <c:pt idx="120">
                  <c:v>40197</c:v>
                </c:pt>
                <c:pt idx="121">
                  <c:v>40198</c:v>
                </c:pt>
                <c:pt idx="122">
                  <c:v>40199</c:v>
                </c:pt>
                <c:pt idx="123">
                  <c:v>40200</c:v>
                </c:pt>
                <c:pt idx="124">
                  <c:v>40203</c:v>
                </c:pt>
                <c:pt idx="125">
                  <c:v>40204</c:v>
                </c:pt>
                <c:pt idx="126">
                  <c:v>40205</c:v>
                </c:pt>
                <c:pt idx="127">
                  <c:v>40206</c:v>
                </c:pt>
                <c:pt idx="128">
                  <c:v>40207</c:v>
                </c:pt>
                <c:pt idx="129">
                  <c:v>40210</c:v>
                </c:pt>
                <c:pt idx="130">
                  <c:v>40211</c:v>
                </c:pt>
                <c:pt idx="131">
                  <c:v>40212</c:v>
                </c:pt>
                <c:pt idx="132">
                  <c:v>40213</c:v>
                </c:pt>
                <c:pt idx="133">
                  <c:v>40214</c:v>
                </c:pt>
                <c:pt idx="134">
                  <c:v>40217</c:v>
                </c:pt>
                <c:pt idx="135">
                  <c:v>40218</c:v>
                </c:pt>
                <c:pt idx="136">
                  <c:v>40219</c:v>
                </c:pt>
                <c:pt idx="137">
                  <c:v>40220</c:v>
                </c:pt>
                <c:pt idx="138">
                  <c:v>40221</c:v>
                </c:pt>
                <c:pt idx="139">
                  <c:v>40225</c:v>
                </c:pt>
                <c:pt idx="140">
                  <c:v>40226</c:v>
                </c:pt>
                <c:pt idx="141">
                  <c:v>40227</c:v>
                </c:pt>
                <c:pt idx="142">
                  <c:v>40228</c:v>
                </c:pt>
                <c:pt idx="143">
                  <c:v>40231</c:v>
                </c:pt>
                <c:pt idx="144">
                  <c:v>40232</c:v>
                </c:pt>
                <c:pt idx="145">
                  <c:v>40233</c:v>
                </c:pt>
                <c:pt idx="146">
                  <c:v>40234</c:v>
                </c:pt>
                <c:pt idx="147">
                  <c:v>40235</c:v>
                </c:pt>
                <c:pt idx="148">
                  <c:v>40239</c:v>
                </c:pt>
                <c:pt idx="149">
                  <c:v>40240</c:v>
                </c:pt>
                <c:pt idx="150">
                  <c:v>40241</c:v>
                </c:pt>
                <c:pt idx="151">
                  <c:v>40242</c:v>
                </c:pt>
                <c:pt idx="152">
                  <c:v>40245</c:v>
                </c:pt>
                <c:pt idx="153">
                  <c:v>40246</c:v>
                </c:pt>
                <c:pt idx="154">
                  <c:v>40247</c:v>
                </c:pt>
                <c:pt idx="155">
                  <c:v>40248</c:v>
                </c:pt>
                <c:pt idx="156">
                  <c:v>40249</c:v>
                </c:pt>
                <c:pt idx="157">
                  <c:v>40252</c:v>
                </c:pt>
                <c:pt idx="158">
                  <c:v>40253</c:v>
                </c:pt>
                <c:pt idx="159">
                  <c:v>40254</c:v>
                </c:pt>
                <c:pt idx="160">
                  <c:v>40255</c:v>
                </c:pt>
                <c:pt idx="161">
                  <c:v>40256</c:v>
                </c:pt>
                <c:pt idx="162">
                  <c:v>40259</c:v>
                </c:pt>
                <c:pt idx="163">
                  <c:v>40260</c:v>
                </c:pt>
                <c:pt idx="164">
                  <c:v>40261</c:v>
                </c:pt>
                <c:pt idx="165">
                  <c:v>40262</c:v>
                </c:pt>
                <c:pt idx="166">
                  <c:v>40263</c:v>
                </c:pt>
                <c:pt idx="167">
                  <c:v>40266</c:v>
                </c:pt>
                <c:pt idx="168">
                  <c:v>40267</c:v>
                </c:pt>
                <c:pt idx="169">
                  <c:v>40268</c:v>
                </c:pt>
                <c:pt idx="170">
                  <c:v>40269</c:v>
                </c:pt>
                <c:pt idx="171">
                  <c:v>40270</c:v>
                </c:pt>
                <c:pt idx="172">
                  <c:v>40273</c:v>
                </c:pt>
                <c:pt idx="173">
                  <c:v>40274</c:v>
                </c:pt>
                <c:pt idx="174">
                  <c:v>40275</c:v>
                </c:pt>
                <c:pt idx="175">
                  <c:v>40276</c:v>
                </c:pt>
                <c:pt idx="176">
                  <c:v>40277</c:v>
                </c:pt>
                <c:pt idx="177">
                  <c:v>40280</c:v>
                </c:pt>
                <c:pt idx="178">
                  <c:v>40281</c:v>
                </c:pt>
                <c:pt idx="179">
                  <c:v>40282</c:v>
                </c:pt>
                <c:pt idx="180">
                  <c:v>40283</c:v>
                </c:pt>
                <c:pt idx="181">
                  <c:v>40284</c:v>
                </c:pt>
                <c:pt idx="182">
                  <c:v>40287</c:v>
                </c:pt>
                <c:pt idx="183">
                  <c:v>40288</c:v>
                </c:pt>
                <c:pt idx="184">
                  <c:v>40289</c:v>
                </c:pt>
                <c:pt idx="185">
                  <c:v>40290</c:v>
                </c:pt>
                <c:pt idx="186">
                  <c:v>40291</c:v>
                </c:pt>
                <c:pt idx="187">
                  <c:v>40294</c:v>
                </c:pt>
                <c:pt idx="188">
                  <c:v>40295</c:v>
                </c:pt>
                <c:pt idx="189">
                  <c:v>40296</c:v>
                </c:pt>
                <c:pt idx="190">
                  <c:v>40297</c:v>
                </c:pt>
                <c:pt idx="191">
                  <c:v>40298</c:v>
                </c:pt>
                <c:pt idx="192">
                  <c:v>40301</c:v>
                </c:pt>
                <c:pt idx="193">
                  <c:v>40302</c:v>
                </c:pt>
                <c:pt idx="194">
                  <c:v>40304</c:v>
                </c:pt>
                <c:pt idx="195">
                  <c:v>40305</c:v>
                </c:pt>
                <c:pt idx="196">
                  <c:v>40308</c:v>
                </c:pt>
                <c:pt idx="197">
                  <c:v>40309</c:v>
                </c:pt>
                <c:pt idx="198">
                  <c:v>40310</c:v>
                </c:pt>
                <c:pt idx="199">
                  <c:v>40311</c:v>
                </c:pt>
                <c:pt idx="200">
                  <c:v>40312</c:v>
                </c:pt>
                <c:pt idx="201">
                  <c:v>40315</c:v>
                </c:pt>
                <c:pt idx="202">
                  <c:v>40316</c:v>
                </c:pt>
                <c:pt idx="203">
                  <c:v>40317</c:v>
                </c:pt>
                <c:pt idx="204">
                  <c:v>40318</c:v>
                </c:pt>
                <c:pt idx="205">
                  <c:v>40322</c:v>
                </c:pt>
                <c:pt idx="206">
                  <c:v>40323</c:v>
                </c:pt>
                <c:pt idx="207">
                  <c:v>40324</c:v>
                </c:pt>
                <c:pt idx="208">
                  <c:v>40325</c:v>
                </c:pt>
                <c:pt idx="209">
                  <c:v>40326</c:v>
                </c:pt>
                <c:pt idx="210">
                  <c:v>40329</c:v>
                </c:pt>
                <c:pt idx="211">
                  <c:v>40330</c:v>
                </c:pt>
                <c:pt idx="212">
                  <c:v>40332</c:v>
                </c:pt>
                <c:pt idx="213">
                  <c:v>40333</c:v>
                </c:pt>
                <c:pt idx="214">
                  <c:v>40336</c:v>
                </c:pt>
                <c:pt idx="215">
                  <c:v>40337</c:v>
                </c:pt>
                <c:pt idx="216">
                  <c:v>40338</c:v>
                </c:pt>
                <c:pt idx="217">
                  <c:v>40339</c:v>
                </c:pt>
                <c:pt idx="218">
                  <c:v>40340</c:v>
                </c:pt>
                <c:pt idx="219">
                  <c:v>40343</c:v>
                </c:pt>
                <c:pt idx="220">
                  <c:v>40344</c:v>
                </c:pt>
                <c:pt idx="221">
                  <c:v>40345</c:v>
                </c:pt>
                <c:pt idx="222">
                  <c:v>40346</c:v>
                </c:pt>
                <c:pt idx="223">
                  <c:v>40347</c:v>
                </c:pt>
                <c:pt idx="224">
                  <c:v>40350</c:v>
                </c:pt>
                <c:pt idx="225">
                  <c:v>40351</c:v>
                </c:pt>
                <c:pt idx="226">
                  <c:v>40352</c:v>
                </c:pt>
                <c:pt idx="227">
                  <c:v>40353</c:v>
                </c:pt>
                <c:pt idx="228">
                  <c:v>40354</c:v>
                </c:pt>
                <c:pt idx="229">
                  <c:v>40357</c:v>
                </c:pt>
                <c:pt idx="230">
                  <c:v>40358</c:v>
                </c:pt>
                <c:pt idx="231">
                  <c:v>40359</c:v>
                </c:pt>
                <c:pt idx="232">
                  <c:v>40360</c:v>
                </c:pt>
                <c:pt idx="233">
                  <c:v>40361</c:v>
                </c:pt>
                <c:pt idx="234">
                  <c:v>40364</c:v>
                </c:pt>
                <c:pt idx="235">
                  <c:v>40365</c:v>
                </c:pt>
                <c:pt idx="236">
                  <c:v>40366</c:v>
                </c:pt>
                <c:pt idx="237">
                  <c:v>40367</c:v>
                </c:pt>
                <c:pt idx="238">
                  <c:v>40368</c:v>
                </c:pt>
                <c:pt idx="239">
                  <c:v>40371</c:v>
                </c:pt>
                <c:pt idx="240">
                  <c:v>40372</c:v>
                </c:pt>
                <c:pt idx="241">
                  <c:v>40373</c:v>
                </c:pt>
                <c:pt idx="242">
                  <c:v>40374</c:v>
                </c:pt>
                <c:pt idx="243">
                  <c:v>40375</c:v>
                </c:pt>
                <c:pt idx="244">
                  <c:v>40378</c:v>
                </c:pt>
                <c:pt idx="245">
                  <c:v>40379</c:v>
                </c:pt>
                <c:pt idx="246">
                  <c:v>40380</c:v>
                </c:pt>
                <c:pt idx="247">
                  <c:v>40381</c:v>
                </c:pt>
                <c:pt idx="248">
                  <c:v>40382</c:v>
                </c:pt>
                <c:pt idx="249">
                  <c:v>40385</c:v>
                </c:pt>
                <c:pt idx="250">
                  <c:v>40386</c:v>
                </c:pt>
                <c:pt idx="251">
                  <c:v>40387</c:v>
                </c:pt>
                <c:pt idx="252">
                  <c:v>40388</c:v>
                </c:pt>
                <c:pt idx="253">
                  <c:v>40389</c:v>
                </c:pt>
                <c:pt idx="254">
                  <c:v>40392</c:v>
                </c:pt>
                <c:pt idx="255">
                  <c:v>40393</c:v>
                </c:pt>
                <c:pt idx="256">
                  <c:v>40394</c:v>
                </c:pt>
                <c:pt idx="257">
                  <c:v>40395</c:v>
                </c:pt>
                <c:pt idx="258">
                  <c:v>40396</c:v>
                </c:pt>
                <c:pt idx="259">
                  <c:v>40399</c:v>
                </c:pt>
                <c:pt idx="260">
                  <c:v>40400</c:v>
                </c:pt>
                <c:pt idx="261">
                  <c:v>40401</c:v>
                </c:pt>
                <c:pt idx="262">
                  <c:v>40402</c:v>
                </c:pt>
                <c:pt idx="263">
                  <c:v>40403</c:v>
                </c:pt>
                <c:pt idx="264">
                  <c:v>40406</c:v>
                </c:pt>
                <c:pt idx="265">
                  <c:v>40407</c:v>
                </c:pt>
                <c:pt idx="266">
                  <c:v>40408</c:v>
                </c:pt>
                <c:pt idx="267">
                  <c:v>40409</c:v>
                </c:pt>
                <c:pt idx="268">
                  <c:v>40410</c:v>
                </c:pt>
                <c:pt idx="269">
                  <c:v>40413</c:v>
                </c:pt>
                <c:pt idx="270">
                  <c:v>40414</c:v>
                </c:pt>
                <c:pt idx="271">
                  <c:v>40415</c:v>
                </c:pt>
                <c:pt idx="272">
                  <c:v>40416</c:v>
                </c:pt>
                <c:pt idx="273">
                  <c:v>40417</c:v>
                </c:pt>
                <c:pt idx="274">
                  <c:v>40420</c:v>
                </c:pt>
                <c:pt idx="275">
                  <c:v>40421</c:v>
                </c:pt>
                <c:pt idx="276">
                  <c:v>40422</c:v>
                </c:pt>
                <c:pt idx="277">
                  <c:v>40423</c:v>
                </c:pt>
                <c:pt idx="278">
                  <c:v>40424</c:v>
                </c:pt>
                <c:pt idx="279">
                  <c:v>40427</c:v>
                </c:pt>
                <c:pt idx="280">
                  <c:v>40428</c:v>
                </c:pt>
                <c:pt idx="281">
                  <c:v>40429</c:v>
                </c:pt>
                <c:pt idx="282">
                  <c:v>40430</c:v>
                </c:pt>
                <c:pt idx="283">
                  <c:v>40431</c:v>
                </c:pt>
                <c:pt idx="284">
                  <c:v>40434</c:v>
                </c:pt>
                <c:pt idx="285">
                  <c:v>40435</c:v>
                </c:pt>
                <c:pt idx="286">
                  <c:v>40436</c:v>
                </c:pt>
                <c:pt idx="287">
                  <c:v>40437</c:v>
                </c:pt>
                <c:pt idx="288">
                  <c:v>40438</c:v>
                </c:pt>
                <c:pt idx="289">
                  <c:v>40441</c:v>
                </c:pt>
                <c:pt idx="290">
                  <c:v>40445</c:v>
                </c:pt>
                <c:pt idx="291">
                  <c:v>40448</c:v>
                </c:pt>
                <c:pt idx="292">
                  <c:v>40449</c:v>
                </c:pt>
                <c:pt idx="293">
                  <c:v>40450</c:v>
                </c:pt>
                <c:pt idx="294">
                  <c:v>40451</c:v>
                </c:pt>
                <c:pt idx="295">
                  <c:v>40452</c:v>
                </c:pt>
                <c:pt idx="296">
                  <c:v>40455</c:v>
                </c:pt>
                <c:pt idx="297">
                  <c:v>40456</c:v>
                </c:pt>
                <c:pt idx="298">
                  <c:v>40457</c:v>
                </c:pt>
                <c:pt idx="299">
                  <c:v>40458</c:v>
                </c:pt>
                <c:pt idx="300">
                  <c:v>40459</c:v>
                </c:pt>
                <c:pt idx="301">
                  <c:v>40462</c:v>
                </c:pt>
                <c:pt idx="302">
                  <c:v>40463</c:v>
                </c:pt>
                <c:pt idx="303">
                  <c:v>40464</c:v>
                </c:pt>
                <c:pt idx="304">
                  <c:v>40465</c:v>
                </c:pt>
                <c:pt idx="305">
                  <c:v>40466</c:v>
                </c:pt>
                <c:pt idx="306">
                  <c:v>40469</c:v>
                </c:pt>
                <c:pt idx="307">
                  <c:v>40470</c:v>
                </c:pt>
                <c:pt idx="308">
                  <c:v>40471</c:v>
                </c:pt>
                <c:pt idx="309">
                  <c:v>40472</c:v>
                </c:pt>
                <c:pt idx="310">
                  <c:v>40473</c:v>
                </c:pt>
                <c:pt idx="311">
                  <c:v>40476</c:v>
                </c:pt>
                <c:pt idx="312">
                  <c:v>40477</c:v>
                </c:pt>
                <c:pt idx="313">
                  <c:v>40478</c:v>
                </c:pt>
                <c:pt idx="314">
                  <c:v>40479</c:v>
                </c:pt>
                <c:pt idx="315">
                  <c:v>40480</c:v>
                </c:pt>
                <c:pt idx="316">
                  <c:v>40483</c:v>
                </c:pt>
                <c:pt idx="317">
                  <c:v>40484</c:v>
                </c:pt>
                <c:pt idx="318">
                  <c:v>40485</c:v>
                </c:pt>
                <c:pt idx="319">
                  <c:v>40486</c:v>
                </c:pt>
                <c:pt idx="320">
                  <c:v>40487</c:v>
                </c:pt>
                <c:pt idx="321">
                  <c:v>40490</c:v>
                </c:pt>
                <c:pt idx="322">
                  <c:v>40491</c:v>
                </c:pt>
                <c:pt idx="323">
                  <c:v>40492</c:v>
                </c:pt>
                <c:pt idx="324">
                  <c:v>40493</c:v>
                </c:pt>
                <c:pt idx="325">
                  <c:v>40494</c:v>
                </c:pt>
                <c:pt idx="326">
                  <c:v>40497</c:v>
                </c:pt>
                <c:pt idx="327">
                  <c:v>40498</c:v>
                </c:pt>
                <c:pt idx="328">
                  <c:v>40499</c:v>
                </c:pt>
                <c:pt idx="329">
                  <c:v>40500</c:v>
                </c:pt>
                <c:pt idx="330">
                  <c:v>40501</c:v>
                </c:pt>
                <c:pt idx="331">
                  <c:v>40504</c:v>
                </c:pt>
                <c:pt idx="332">
                  <c:v>40505</c:v>
                </c:pt>
                <c:pt idx="333">
                  <c:v>40506</c:v>
                </c:pt>
                <c:pt idx="334">
                  <c:v>40507</c:v>
                </c:pt>
                <c:pt idx="335">
                  <c:v>40508</c:v>
                </c:pt>
                <c:pt idx="336">
                  <c:v>40511</c:v>
                </c:pt>
                <c:pt idx="337">
                  <c:v>40512</c:v>
                </c:pt>
                <c:pt idx="338">
                  <c:v>40513</c:v>
                </c:pt>
                <c:pt idx="339">
                  <c:v>40514</c:v>
                </c:pt>
                <c:pt idx="340">
                  <c:v>40515</c:v>
                </c:pt>
                <c:pt idx="341">
                  <c:v>40518</c:v>
                </c:pt>
                <c:pt idx="342">
                  <c:v>40519</c:v>
                </c:pt>
                <c:pt idx="343">
                  <c:v>40520</c:v>
                </c:pt>
                <c:pt idx="344">
                  <c:v>40521</c:v>
                </c:pt>
                <c:pt idx="345">
                  <c:v>40522</c:v>
                </c:pt>
                <c:pt idx="346">
                  <c:v>40525</c:v>
                </c:pt>
                <c:pt idx="347">
                  <c:v>40526</c:v>
                </c:pt>
                <c:pt idx="348">
                  <c:v>40527</c:v>
                </c:pt>
                <c:pt idx="349">
                  <c:v>40528</c:v>
                </c:pt>
                <c:pt idx="350">
                  <c:v>40529</c:v>
                </c:pt>
                <c:pt idx="351">
                  <c:v>40532</c:v>
                </c:pt>
                <c:pt idx="352">
                  <c:v>40533</c:v>
                </c:pt>
                <c:pt idx="353">
                  <c:v>40534</c:v>
                </c:pt>
                <c:pt idx="354">
                  <c:v>40535</c:v>
                </c:pt>
                <c:pt idx="355">
                  <c:v>40536</c:v>
                </c:pt>
                <c:pt idx="356">
                  <c:v>40539</c:v>
                </c:pt>
                <c:pt idx="357">
                  <c:v>40540</c:v>
                </c:pt>
                <c:pt idx="358">
                  <c:v>40541</c:v>
                </c:pt>
                <c:pt idx="359">
                  <c:v>40542</c:v>
                </c:pt>
                <c:pt idx="360">
                  <c:v>40546</c:v>
                </c:pt>
                <c:pt idx="361">
                  <c:v>40547</c:v>
                </c:pt>
                <c:pt idx="362">
                  <c:v>40548</c:v>
                </c:pt>
                <c:pt idx="363">
                  <c:v>40549</c:v>
                </c:pt>
                <c:pt idx="364">
                  <c:v>40550</c:v>
                </c:pt>
                <c:pt idx="365">
                  <c:v>40553</c:v>
                </c:pt>
                <c:pt idx="366">
                  <c:v>40554</c:v>
                </c:pt>
                <c:pt idx="367">
                  <c:v>40555</c:v>
                </c:pt>
                <c:pt idx="368">
                  <c:v>40556</c:v>
                </c:pt>
                <c:pt idx="369">
                  <c:v>40557</c:v>
                </c:pt>
                <c:pt idx="370">
                  <c:v>40560</c:v>
                </c:pt>
                <c:pt idx="371">
                  <c:v>40561</c:v>
                </c:pt>
                <c:pt idx="372">
                  <c:v>40562</c:v>
                </c:pt>
                <c:pt idx="373">
                  <c:v>40563</c:v>
                </c:pt>
                <c:pt idx="374">
                  <c:v>40564</c:v>
                </c:pt>
                <c:pt idx="375">
                  <c:v>40567</c:v>
                </c:pt>
                <c:pt idx="376">
                  <c:v>40568</c:v>
                </c:pt>
                <c:pt idx="377">
                  <c:v>40569</c:v>
                </c:pt>
                <c:pt idx="378">
                  <c:v>40570</c:v>
                </c:pt>
                <c:pt idx="379">
                  <c:v>40571</c:v>
                </c:pt>
                <c:pt idx="380">
                  <c:v>40574</c:v>
                </c:pt>
                <c:pt idx="381">
                  <c:v>40575</c:v>
                </c:pt>
                <c:pt idx="382">
                  <c:v>40581</c:v>
                </c:pt>
                <c:pt idx="383">
                  <c:v>40582</c:v>
                </c:pt>
                <c:pt idx="384">
                  <c:v>40583</c:v>
                </c:pt>
                <c:pt idx="385">
                  <c:v>40584</c:v>
                </c:pt>
                <c:pt idx="386">
                  <c:v>40585</c:v>
                </c:pt>
                <c:pt idx="387">
                  <c:v>40588</c:v>
                </c:pt>
                <c:pt idx="388">
                  <c:v>40589</c:v>
                </c:pt>
                <c:pt idx="389">
                  <c:v>40590</c:v>
                </c:pt>
                <c:pt idx="390">
                  <c:v>40591</c:v>
                </c:pt>
                <c:pt idx="391">
                  <c:v>40592</c:v>
                </c:pt>
                <c:pt idx="392">
                  <c:v>40595</c:v>
                </c:pt>
                <c:pt idx="393">
                  <c:v>40596</c:v>
                </c:pt>
                <c:pt idx="394">
                  <c:v>40597</c:v>
                </c:pt>
                <c:pt idx="395">
                  <c:v>40598</c:v>
                </c:pt>
                <c:pt idx="396">
                  <c:v>40599</c:v>
                </c:pt>
                <c:pt idx="397">
                  <c:v>40602</c:v>
                </c:pt>
                <c:pt idx="398">
                  <c:v>40604</c:v>
                </c:pt>
                <c:pt idx="399">
                  <c:v>40605</c:v>
                </c:pt>
                <c:pt idx="400">
                  <c:v>40606</c:v>
                </c:pt>
                <c:pt idx="401">
                  <c:v>40609</c:v>
                </c:pt>
                <c:pt idx="402">
                  <c:v>40610</c:v>
                </c:pt>
                <c:pt idx="403">
                  <c:v>40611</c:v>
                </c:pt>
                <c:pt idx="404">
                  <c:v>40612</c:v>
                </c:pt>
                <c:pt idx="405">
                  <c:v>40613</c:v>
                </c:pt>
                <c:pt idx="406">
                  <c:v>40616</c:v>
                </c:pt>
                <c:pt idx="407">
                  <c:v>40617</c:v>
                </c:pt>
                <c:pt idx="408">
                  <c:v>40618</c:v>
                </c:pt>
                <c:pt idx="409">
                  <c:v>40619</c:v>
                </c:pt>
                <c:pt idx="410">
                  <c:v>40620</c:v>
                </c:pt>
                <c:pt idx="411">
                  <c:v>40623</c:v>
                </c:pt>
                <c:pt idx="412">
                  <c:v>40624</c:v>
                </c:pt>
                <c:pt idx="413">
                  <c:v>40625</c:v>
                </c:pt>
                <c:pt idx="414">
                  <c:v>40626</c:v>
                </c:pt>
                <c:pt idx="415">
                  <c:v>40627</c:v>
                </c:pt>
                <c:pt idx="416">
                  <c:v>40630</c:v>
                </c:pt>
                <c:pt idx="417">
                  <c:v>40631</c:v>
                </c:pt>
                <c:pt idx="418">
                  <c:v>40632</c:v>
                </c:pt>
                <c:pt idx="419">
                  <c:v>40633</c:v>
                </c:pt>
                <c:pt idx="420">
                  <c:v>40634</c:v>
                </c:pt>
                <c:pt idx="421">
                  <c:v>40637</c:v>
                </c:pt>
                <c:pt idx="422">
                  <c:v>40638</c:v>
                </c:pt>
                <c:pt idx="423">
                  <c:v>40639</c:v>
                </c:pt>
                <c:pt idx="424">
                  <c:v>40640</c:v>
                </c:pt>
                <c:pt idx="425">
                  <c:v>40641</c:v>
                </c:pt>
                <c:pt idx="426">
                  <c:v>40644</c:v>
                </c:pt>
                <c:pt idx="427">
                  <c:v>40645</c:v>
                </c:pt>
                <c:pt idx="428">
                  <c:v>40646</c:v>
                </c:pt>
                <c:pt idx="429">
                  <c:v>40647</c:v>
                </c:pt>
                <c:pt idx="430">
                  <c:v>40648</c:v>
                </c:pt>
                <c:pt idx="431">
                  <c:v>40651</c:v>
                </c:pt>
                <c:pt idx="432">
                  <c:v>40652</c:v>
                </c:pt>
                <c:pt idx="433">
                  <c:v>40653</c:v>
                </c:pt>
                <c:pt idx="434">
                  <c:v>40654</c:v>
                </c:pt>
                <c:pt idx="435">
                  <c:v>40655</c:v>
                </c:pt>
                <c:pt idx="436">
                  <c:v>40658</c:v>
                </c:pt>
                <c:pt idx="437">
                  <c:v>40659</c:v>
                </c:pt>
                <c:pt idx="438">
                  <c:v>40660</c:v>
                </c:pt>
                <c:pt idx="439">
                  <c:v>40661</c:v>
                </c:pt>
                <c:pt idx="440">
                  <c:v>40662</c:v>
                </c:pt>
                <c:pt idx="441">
                  <c:v>40665</c:v>
                </c:pt>
                <c:pt idx="442">
                  <c:v>40666</c:v>
                </c:pt>
                <c:pt idx="443">
                  <c:v>40667</c:v>
                </c:pt>
                <c:pt idx="444">
                  <c:v>40669</c:v>
                </c:pt>
                <c:pt idx="445">
                  <c:v>40672</c:v>
                </c:pt>
                <c:pt idx="446">
                  <c:v>40674</c:v>
                </c:pt>
                <c:pt idx="447">
                  <c:v>40675</c:v>
                </c:pt>
                <c:pt idx="448">
                  <c:v>40676</c:v>
                </c:pt>
                <c:pt idx="449">
                  <c:v>40679</c:v>
                </c:pt>
                <c:pt idx="450">
                  <c:v>40680</c:v>
                </c:pt>
                <c:pt idx="451">
                  <c:v>40681</c:v>
                </c:pt>
                <c:pt idx="452">
                  <c:v>40682</c:v>
                </c:pt>
                <c:pt idx="453">
                  <c:v>40683</c:v>
                </c:pt>
                <c:pt idx="454">
                  <c:v>40686</c:v>
                </c:pt>
                <c:pt idx="455">
                  <c:v>40687</c:v>
                </c:pt>
                <c:pt idx="456">
                  <c:v>40688</c:v>
                </c:pt>
                <c:pt idx="457">
                  <c:v>40689</c:v>
                </c:pt>
                <c:pt idx="458">
                  <c:v>40690</c:v>
                </c:pt>
                <c:pt idx="459">
                  <c:v>40693</c:v>
                </c:pt>
                <c:pt idx="460">
                  <c:v>40694</c:v>
                </c:pt>
                <c:pt idx="461">
                  <c:v>40695</c:v>
                </c:pt>
                <c:pt idx="462">
                  <c:v>40696</c:v>
                </c:pt>
                <c:pt idx="463">
                  <c:v>40697</c:v>
                </c:pt>
                <c:pt idx="464">
                  <c:v>40701</c:v>
                </c:pt>
                <c:pt idx="465">
                  <c:v>40702</c:v>
                </c:pt>
                <c:pt idx="466">
                  <c:v>40703</c:v>
                </c:pt>
                <c:pt idx="467">
                  <c:v>40704</c:v>
                </c:pt>
                <c:pt idx="468">
                  <c:v>40707</c:v>
                </c:pt>
                <c:pt idx="469">
                  <c:v>40708</c:v>
                </c:pt>
                <c:pt idx="470">
                  <c:v>40709</c:v>
                </c:pt>
                <c:pt idx="471">
                  <c:v>40710</c:v>
                </c:pt>
                <c:pt idx="472">
                  <c:v>40711</c:v>
                </c:pt>
                <c:pt idx="473">
                  <c:v>40714</c:v>
                </c:pt>
                <c:pt idx="474">
                  <c:v>40715</c:v>
                </c:pt>
                <c:pt idx="475">
                  <c:v>40716</c:v>
                </c:pt>
                <c:pt idx="476">
                  <c:v>40717</c:v>
                </c:pt>
                <c:pt idx="477">
                  <c:v>40718</c:v>
                </c:pt>
                <c:pt idx="478">
                  <c:v>40721</c:v>
                </c:pt>
                <c:pt idx="479">
                  <c:v>40722</c:v>
                </c:pt>
                <c:pt idx="480">
                  <c:v>40723</c:v>
                </c:pt>
                <c:pt idx="481">
                  <c:v>40724</c:v>
                </c:pt>
                <c:pt idx="482">
                  <c:v>40725</c:v>
                </c:pt>
                <c:pt idx="483">
                  <c:v>40728</c:v>
                </c:pt>
                <c:pt idx="484">
                  <c:v>40729</c:v>
                </c:pt>
                <c:pt idx="485">
                  <c:v>40730</c:v>
                </c:pt>
                <c:pt idx="486">
                  <c:v>40731</c:v>
                </c:pt>
                <c:pt idx="487">
                  <c:v>40732</c:v>
                </c:pt>
                <c:pt idx="488">
                  <c:v>40735</c:v>
                </c:pt>
                <c:pt idx="489">
                  <c:v>40736</c:v>
                </c:pt>
                <c:pt idx="490">
                  <c:v>40737</c:v>
                </c:pt>
                <c:pt idx="491">
                  <c:v>40738</c:v>
                </c:pt>
                <c:pt idx="492">
                  <c:v>40739</c:v>
                </c:pt>
                <c:pt idx="493">
                  <c:v>40742</c:v>
                </c:pt>
                <c:pt idx="494">
                  <c:v>40743</c:v>
                </c:pt>
                <c:pt idx="495">
                  <c:v>40744</c:v>
                </c:pt>
                <c:pt idx="496">
                  <c:v>40745</c:v>
                </c:pt>
                <c:pt idx="497">
                  <c:v>40746</c:v>
                </c:pt>
                <c:pt idx="498">
                  <c:v>40749</c:v>
                </c:pt>
                <c:pt idx="499">
                  <c:v>40750</c:v>
                </c:pt>
                <c:pt idx="500">
                  <c:v>40751</c:v>
                </c:pt>
                <c:pt idx="501">
                  <c:v>40752</c:v>
                </c:pt>
                <c:pt idx="502">
                  <c:v>40753</c:v>
                </c:pt>
                <c:pt idx="503">
                  <c:v>40756</c:v>
                </c:pt>
                <c:pt idx="504">
                  <c:v>40757</c:v>
                </c:pt>
                <c:pt idx="505">
                  <c:v>40758</c:v>
                </c:pt>
                <c:pt idx="506">
                  <c:v>40759</c:v>
                </c:pt>
                <c:pt idx="507">
                  <c:v>40760</c:v>
                </c:pt>
                <c:pt idx="508">
                  <c:v>40763</c:v>
                </c:pt>
                <c:pt idx="509">
                  <c:v>40764</c:v>
                </c:pt>
                <c:pt idx="510">
                  <c:v>40765</c:v>
                </c:pt>
                <c:pt idx="511">
                  <c:v>40766</c:v>
                </c:pt>
                <c:pt idx="512">
                  <c:v>40767</c:v>
                </c:pt>
                <c:pt idx="513">
                  <c:v>40771</c:v>
                </c:pt>
                <c:pt idx="514">
                  <c:v>40772</c:v>
                </c:pt>
                <c:pt idx="515">
                  <c:v>40773</c:v>
                </c:pt>
                <c:pt idx="516">
                  <c:v>40774</c:v>
                </c:pt>
                <c:pt idx="517">
                  <c:v>40777</c:v>
                </c:pt>
                <c:pt idx="518">
                  <c:v>40778</c:v>
                </c:pt>
                <c:pt idx="519">
                  <c:v>40779</c:v>
                </c:pt>
                <c:pt idx="520">
                  <c:v>40780</c:v>
                </c:pt>
                <c:pt idx="521">
                  <c:v>40781</c:v>
                </c:pt>
                <c:pt idx="522">
                  <c:v>40784</c:v>
                </c:pt>
                <c:pt idx="523">
                  <c:v>40785</c:v>
                </c:pt>
                <c:pt idx="524">
                  <c:v>40786</c:v>
                </c:pt>
                <c:pt idx="525">
                  <c:v>40787</c:v>
                </c:pt>
                <c:pt idx="526">
                  <c:v>40788</c:v>
                </c:pt>
                <c:pt idx="527">
                  <c:v>40791</c:v>
                </c:pt>
                <c:pt idx="528">
                  <c:v>40792</c:v>
                </c:pt>
                <c:pt idx="529">
                  <c:v>40793</c:v>
                </c:pt>
                <c:pt idx="530">
                  <c:v>40794</c:v>
                </c:pt>
                <c:pt idx="531">
                  <c:v>40795</c:v>
                </c:pt>
                <c:pt idx="532">
                  <c:v>40800</c:v>
                </c:pt>
                <c:pt idx="533">
                  <c:v>40801</c:v>
                </c:pt>
                <c:pt idx="534">
                  <c:v>40802</c:v>
                </c:pt>
                <c:pt idx="535">
                  <c:v>40805</c:v>
                </c:pt>
                <c:pt idx="536">
                  <c:v>40806</c:v>
                </c:pt>
                <c:pt idx="537">
                  <c:v>40807</c:v>
                </c:pt>
                <c:pt idx="538">
                  <c:v>40808</c:v>
                </c:pt>
                <c:pt idx="539">
                  <c:v>40809</c:v>
                </c:pt>
                <c:pt idx="540">
                  <c:v>40812</c:v>
                </c:pt>
                <c:pt idx="541">
                  <c:v>40813</c:v>
                </c:pt>
                <c:pt idx="542">
                  <c:v>40814</c:v>
                </c:pt>
                <c:pt idx="543">
                  <c:v>40815</c:v>
                </c:pt>
                <c:pt idx="544">
                  <c:v>40816</c:v>
                </c:pt>
                <c:pt idx="545">
                  <c:v>40820</c:v>
                </c:pt>
                <c:pt idx="546">
                  <c:v>40821</c:v>
                </c:pt>
                <c:pt idx="547">
                  <c:v>40822</c:v>
                </c:pt>
                <c:pt idx="548">
                  <c:v>40823</c:v>
                </c:pt>
                <c:pt idx="549">
                  <c:v>40826</c:v>
                </c:pt>
                <c:pt idx="550">
                  <c:v>40827</c:v>
                </c:pt>
                <c:pt idx="551">
                  <c:v>40828</c:v>
                </c:pt>
                <c:pt idx="552">
                  <c:v>40829</c:v>
                </c:pt>
                <c:pt idx="553">
                  <c:v>40830</c:v>
                </c:pt>
                <c:pt idx="554">
                  <c:v>40833</c:v>
                </c:pt>
                <c:pt idx="555">
                  <c:v>40834</c:v>
                </c:pt>
                <c:pt idx="556">
                  <c:v>40835</c:v>
                </c:pt>
                <c:pt idx="557">
                  <c:v>40836</c:v>
                </c:pt>
                <c:pt idx="558">
                  <c:v>40837</c:v>
                </c:pt>
                <c:pt idx="559">
                  <c:v>40840</c:v>
                </c:pt>
                <c:pt idx="560">
                  <c:v>40841</c:v>
                </c:pt>
                <c:pt idx="561">
                  <c:v>40842</c:v>
                </c:pt>
                <c:pt idx="562">
                  <c:v>40843</c:v>
                </c:pt>
                <c:pt idx="563">
                  <c:v>40844</c:v>
                </c:pt>
                <c:pt idx="564">
                  <c:v>40847</c:v>
                </c:pt>
                <c:pt idx="565">
                  <c:v>40848</c:v>
                </c:pt>
                <c:pt idx="566">
                  <c:v>40849</c:v>
                </c:pt>
                <c:pt idx="567">
                  <c:v>40850</c:v>
                </c:pt>
                <c:pt idx="568">
                  <c:v>40851</c:v>
                </c:pt>
                <c:pt idx="569">
                  <c:v>40854</c:v>
                </c:pt>
                <c:pt idx="570">
                  <c:v>40855</c:v>
                </c:pt>
                <c:pt idx="571">
                  <c:v>40856</c:v>
                </c:pt>
                <c:pt idx="572">
                  <c:v>40857</c:v>
                </c:pt>
                <c:pt idx="573">
                  <c:v>40858</c:v>
                </c:pt>
                <c:pt idx="574">
                  <c:v>40861</c:v>
                </c:pt>
                <c:pt idx="575">
                  <c:v>40862</c:v>
                </c:pt>
                <c:pt idx="576">
                  <c:v>40863</c:v>
                </c:pt>
                <c:pt idx="577">
                  <c:v>40864</c:v>
                </c:pt>
                <c:pt idx="578">
                  <c:v>40865</c:v>
                </c:pt>
                <c:pt idx="579">
                  <c:v>40868</c:v>
                </c:pt>
                <c:pt idx="580">
                  <c:v>40869</c:v>
                </c:pt>
                <c:pt idx="581">
                  <c:v>40870</c:v>
                </c:pt>
                <c:pt idx="582">
                  <c:v>40871</c:v>
                </c:pt>
                <c:pt idx="583">
                  <c:v>40872</c:v>
                </c:pt>
                <c:pt idx="584">
                  <c:v>40875</c:v>
                </c:pt>
                <c:pt idx="585">
                  <c:v>40876</c:v>
                </c:pt>
                <c:pt idx="586">
                  <c:v>40877</c:v>
                </c:pt>
                <c:pt idx="587">
                  <c:v>40878</c:v>
                </c:pt>
                <c:pt idx="588">
                  <c:v>40879</c:v>
                </c:pt>
                <c:pt idx="589">
                  <c:v>40882</c:v>
                </c:pt>
                <c:pt idx="590">
                  <c:v>40883</c:v>
                </c:pt>
                <c:pt idx="591">
                  <c:v>40884</c:v>
                </c:pt>
                <c:pt idx="592">
                  <c:v>40885</c:v>
                </c:pt>
                <c:pt idx="593">
                  <c:v>40886</c:v>
                </c:pt>
                <c:pt idx="594">
                  <c:v>40889</c:v>
                </c:pt>
                <c:pt idx="595">
                  <c:v>40890</c:v>
                </c:pt>
                <c:pt idx="596">
                  <c:v>40891</c:v>
                </c:pt>
                <c:pt idx="597">
                  <c:v>40892</c:v>
                </c:pt>
                <c:pt idx="598">
                  <c:v>40893</c:v>
                </c:pt>
                <c:pt idx="599">
                  <c:v>40896</c:v>
                </c:pt>
                <c:pt idx="600">
                  <c:v>40897</c:v>
                </c:pt>
                <c:pt idx="601">
                  <c:v>40898</c:v>
                </c:pt>
                <c:pt idx="602">
                  <c:v>40899</c:v>
                </c:pt>
                <c:pt idx="603">
                  <c:v>40900</c:v>
                </c:pt>
                <c:pt idx="604">
                  <c:v>40903</c:v>
                </c:pt>
                <c:pt idx="605">
                  <c:v>40904</c:v>
                </c:pt>
                <c:pt idx="606">
                  <c:v>40905</c:v>
                </c:pt>
                <c:pt idx="607">
                  <c:v>40906</c:v>
                </c:pt>
                <c:pt idx="608">
                  <c:v>40910</c:v>
                </c:pt>
                <c:pt idx="609">
                  <c:v>40911</c:v>
                </c:pt>
                <c:pt idx="610">
                  <c:v>40912</c:v>
                </c:pt>
                <c:pt idx="611">
                  <c:v>40913</c:v>
                </c:pt>
                <c:pt idx="612">
                  <c:v>40914</c:v>
                </c:pt>
                <c:pt idx="613">
                  <c:v>40917</c:v>
                </c:pt>
                <c:pt idx="614">
                  <c:v>40918</c:v>
                </c:pt>
                <c:pt idx="615">
                  <c:v>40919</c:v>
                </c:pt>
                <c:pt idx="616">
                  <c:v>40920</c:v>
                </c:pt>
                <c:pt idx="617">
                  <c:v>40921</c:v>
                </c:pt>
                <c:pt idx="618">
                  <c:v>40924</c:v>
                </c:pt>
                <c:pt idx="619">
                  <c:v>40925</c:v>
                </c:pt>
                <c:pt idx="620">
                  <c:v>40926</c:v>
                </c:pt>
                <c:pt idx="621">
                  <c:v>40927</c:v>
                </c:pt>
                <c:pt idx="622">
                  <c:v>40928</c:v>
                </c:pt>
                <c:pt idx="623">
                  <c:v>40933</c:v>
                </c:pt>
                <c:pt idx="624">
                  <c:v>40934</c:v>
                </c:pt>
                <c:pt idx="625">
                  <c:v>40935</c:v>
                </c:pt>
                <c:pt idx="626">
                  <c:v>40938</c:v>
                </c:pt>
                <c:pt idx="627">
                  <c:v>40939</c:v>
                </c:pt>
                <c:pt idx="628">
                  <c:v>40940</c:v>
                </c:pt>
                <c:pt idx="629">
                  <c:v>40941</c:v>
                </c:pt>
                <c:pt idx="630">
                  <c:v>40942</c:v>
                </c:pt>
                <c:pt idx="631">
                  <c:v>40945</c:v>
                </c:pt>
                <c:pt idx="632">
                  <c:v>40946</c:v>
                </c:pt>
                <c:pt idx="633">
                  <c:v>40947</c:v>
                </c:pt>
                <c:pt idx="634">
                  <c:v>40948</c:v>
                </c:pt>
                <c:pt idx="635">
                  <c:v>40949</c:v>
                </c:pt>
                <c:pt idx="636">
                  <c:v>40952</c:v>
                </c:pt>
                <c:pt idx="637">
                  <c:v>40953</c:v>
                </c:pt>
                <c:pt idx="638">
                  <c:v>40954</c:v>
                </c:pt>
                <c:pt idx="639">
                  <c:v>40955</c:v>
                </c:pt>
                <c:pt idx="640">
                  <c:v>40956</c:v>
                </c:pt>
                <c:pt idx="641">
                  <c:v>40959</c:v>
                </c:pt>
                <c:pt idx="642">
                  <c:v>40960</c:v>
                </c:pt>
                <c:pt idx="643">
                  <c:v>40961</c:v>
                </c:pt>
                <c:pt idx="644">
                  <c:v>40962</c:v>
                </c:pt>
                <c:pt idx="645">
                  <c:v>40963</c:v>
                </c:pt>
                <c:pt idx="646">
                  <c:v>40966</c:v>
                </c:pt>
                <c:pt idx="647">
                  <c:v>40967</c:v>
                </c:pt>
                <c:pt idx="648">
                  <c:v>40968</c:v>
                </c:pt>
                <c:pt idx="649">
                  <c:v>40970</c:v>
                </c:pt>
                <c:pt idx="650">
                  <c:v>40973</c:v>
                </c:pt>
                <c:pt idx="651">
                  <c:v>40974</c:v>
                </c:pt>
                <c:pt idx="652">
                  <c:v>40975</c:v>
                </c:pt>
                <c:pt idx="653">
                  <c:v>40976</c:v>
                </c:pt>
                <c:pt idx="654">
                  <c:v>40977</c:v>
                </c:pt>
                <c:pt idx="655">
                  <c:v>40980</c:v>
                </c:pt>
                <c:pt idx="656">
                  <c:v>40981</c:v>
                </c:pt>
                <c:pt idx="657">
                  <c:v>40982</c:v>
                </c:pt>
                <c:pt idx="658">
                  <c:v>40983</c:v>
                </c:pt>
                <c:pt idx="659">
                  <c:v>40984</c:v>
                </c:pt>
                <c:pt idx="660">
                  <c:v>40987</c:v>
                </c:pt>
                <c:pt idx="661">
                  <c:v>40988</c:v>
                </c:pt>
                <c:pt idx="662">
                  <c:v>40989</c:v>
                </c:pt>
                <c:pt idx="663">
                  <c:v>40990</c:v>
                </c:pt>
                <c:pt idx="664">
                  <c:v>40991</c:v>
                </c:pt>
                <c:pt idx="665">
                  <c:v>40994</c:v>
                </c:pt>
                <c:pt idx="666">
                  <c:v>40995</c:v>
                </c:pt>
                <c:pt idx="667">
                  <c:v>40996</c:v>
                </c:pt>
                <c:pt idx="668">
                  <c:v>40997</c:v>
                </c:pt>
                <c:pt idx="669">
                  <c:v>40998</c:v>
                </c:pt>
                <c:pt idx="670">
                  <c:v>41001</c:v>
                </c:pt>
                <c:pt idx="671">
                  <c:v>41002</c:v>
                </c:pt>
                <c:pt idx="672">
                  <c:v>41003</c:v>
                </c:pt>
                <c:pt idx="673">
                  <c:v>41004</c:v>
                </c:pt>
                <c:pt idx="674">
                  <c:v>41005</c:v>
                </c:pt>
                <c:pt idx="675">
                  <c:v>41008</c:v>
                </c:pt>
                <c:pt idx="676">
                  <c:v>41009</c:v>
                </c:pt>
                <c:pt idx="677">
                  <c:v>41011</c:v>
                </c:pt>
                <c:pt idx="678">
                  <c:v>41012</c:v>
                </c:pt>
                <c:pt idx="679">
                  <c:v>41015</c:v>
                </c:pt>
                <c:pt idx="680">
                  <c:v>41016</c:v>
                </c:pt>
                <c:pt idx="681">
                  <c:v>41017</c:v>
                </c:pt>
                <c:pt idx="682">
                  <c:v>41018</c:v>
                </c:pt>
                <c:pt idx="683">
                  <c:v>41019</c:v>
                </c:pt>
                <c:pt idx="684">
                  <c:v>41022</c:v>
                </c:pt>
                <c:pt idx="685">
                  <c:v>41023</c:v>
                </c:pt>
                <c:pt idx="686">
                  <c:v>41024</c:v>
                </c:pt>
                <c:pt idx="687">
                  <c:v>41025</c:v>
                </c:pt>
                <c:pt idx="688">
                  <c:v>41026</c:v>
                </c:pt>
                <c:pt idx="689">
                  <c:v>41029</c:v>
                </c:pt>
                <c:pt idx="690">
                  <c:v>41031</c:v>
                </c:pt>
                <c:pt idx="691">
                  <c:v>41032</c:v>
                </c:pt>
                <c:pt idx="692">
                  <c:v>41033</c:v>
                </c:pt>
                <c:pt idx="693">
                  <c:v>41036</c:v>
                </c:pt>
                <c:pt idx="694">
                  <c:v>41037</c:v>
                </c:pt>
                <c:pt idx="695">
                  <c:v>41038</c:v>
                </c:pt>
                <c:pt idx="696">
                  <c:v>41039</c:v>
                </c:pt>
                <c:pt idx="697">
                  <c:v>41040</c:v>
                </c:pt>
                <c:pt idx="698">
                  <c:v>41043</c:v>
                </c:pt>
                <c:pt idx="699">
                  <c:v>41044</c:v>
                </c:pt>
                <c:pt idx="700">
                  <c:v>41045</c:v>
                </c:pt>
                <c:pt idx="701">
                  <c:v>41046</c:v>
                </c:pt>
                <c:pt idx="702">
                  <c:v>41047</c:v>
                </c:pt>
                <c:pt idx="703">
                  <c:v>41050</c:v>
                </c:pt>
                <c:pt idx="704">
                  <c:v>41051</c:v>
                </c:pt>
                <c:pt idx="705">
                  <c:v>41052</c:v>
                </c:pt>
                <c:pt idx="706">
                  <c:v>41053</c:v>
                </c:pt>
                <c:pt idx="707">
                  <c:v>41054</c:v>
                </c:pt>
                <c:pt idx="708">
                  <c:v>41058</c:v>
                </c:pt>
                <c:pt idx="709">
                  <c:v>41059</c:v>
                </c:pt>
                <c:pt idx="710">
                  <c:v>41060</c:v>
                </c:pt>
                <c:pt idx="711">
                  <c:v>41061</c:v>
                </c:pt>
                <c:pt idx="712">
                  <c:v>41064</c:v>
                </c:pt>
                <c:pt idx="713">
                  <c:v>41065</c:v>
                </c:pt>
                <c:pt idx="714">
                  <c:v>41067</c:v>
                </c:pt>
                <c:pt idx="715">
                  <c:v>41068</c:v>
                </c:pt>
                <c:pt idx="716">
                  <c:v>41071</c:v>
                </c:pt>
                <c:pt idx="717">
                  <c:v>41072</c:v>
                </c:pt>
                <c:pt idx="718">
                  <c:v>41073</c:v>
                </c:pt>
                <c:pt idx="719">
                  <c:v>41074</c:v>
                </c:pt>
                <c:pt idx="720">
                  <c:v>41075</c:v>
                </c:pt>
                <c:pt idx="721">
                  <c:v>41078</c:v>
                </c:pt>
                <c:pt idx="722">
                  <c:v>41079</c:v>
                </c:pt>
                <c:pt idx="723">
                  <c:v>41080</c:v>
                </c:pt>
                <c:pt idx="724">
                  <c:v>41081</c:v>
                </c:pt>
                <c:pt idx="725">
                  <c:v>41082</c:v>
                </c:pt>
                <c:pt idx="726">
                  <c:v>41085</c:v>
                </c:pt>
                <c:pt idx="727">
                  <c:v>41086</c:v>
                </c:pt>
                <c:pt idx="728">
                  <c:v>41087</c:v>
                </c:pt>
                <c:pt idx="729">
                  <c:v>41088</c:v>
                </c:pt>
                <c:pt idx="730">
                  <c:v>41089</c:v>
                </c:pt>
                <c:pt idx="731">
                  <c:v>41092</c:v>
                </c:pt>
                <c:pt idx="732">
                  <c:v>41093</c:v>
                </c:pt>
                <c:pt idx="733">
                  <c:v>41094</c:v>
                </c:pt>
                <c:pt idx="734">
                  <c:v>41095</c:v>
                </c:pt>
                <c:pt idx="735">
                  <c:v>41096</c:v>
                </c:pt>
                <c:pt idx="736">
                  <c:v>41099</c:v>
                </c:pt>
                <c:pt idx="737">
                  <c:v>41100</c:v>
                </c:pt>
                <c:pt idx="738">
                  <c:v>41101</c:v>
                </c:pt>
                <c:pt idx="739">
                  <c:v>41102</c:v>
                </c:pt>
                <c:pt idx="740">
                  <c:v>41103</c:v>
                </c:pt>
                <c:pt idx="741">
                  <c:v>41106</c:v>
                </c:pt>
                <c:pt idx="742">
                  <c:v>41107</c:v>
                </c:pt>
                <c:pt idx="743">
                  <c:v>41108</c:v>
                </c:pt>
                <c:pt idx="744">
                  <c:v>41109</c:v>
                </c:pt>
                <c:pt idx="745">
                  <c:v>41110</c:v>
                </c:pt>
                <c:pt idx="746">
                  <c:v>41113</c:v>
                </c:pt>
                <c:pt idx="747">
                  <c:v>41114</c:v>
                </c:pt>
                <c:pt idx="748">
                  <c:v>41115</c:v>
                </c:pt>
                <c:pt idx="749">
                  <c:v>41116</c:v>
                </c:pt>
                <c:pt idx="750">
                  <c:v>41117</c:v>
                </c:pt>
                <c:pt idx="751">
                  <c:v>41120</c:v>
                </c:pt>
                <c:pt idx="752">
                  <c:v>41121</c:v>
                </c:pt>
                <c:pt idx="753">
                  <c:v>41122</c:v>
                </c:pt>
                <c:pt idx="754">
                  <c:v>41123</c:v>
                </c:pt>
                <c:pt idx="755">
                  <c:v>41124</c:v>
                </c:pt>
                <c:pt idx="756">
                  <c:v>41127</c:v>
                </c:pt>
                <c:pt idx="757">
                  <c:v>41128</c:v>
                </c:pt>
                <c:pt idx="758">
                  <c:v>41129</c:v>
                </c:pt>
                <c:pt idx="759">
                  <c:v>41130</c:v>
                </c:pt>
                <c:pt idx="760">
                  <c:v>41131</c:v>
                </c:pt>
                <c:pt idx="761">
                  <c:v>41134</c:v>
                </c:pt>
                <c:pt idx="762">
                  <c:v>41135</c:v>
                </c:pt>
                <c:pt idx="763">
                  <c:v>41137</c:v>
                </c:pt>
                <c:pt idx="764">
                  <c:v>41138</c:v>
                </c:pt>
                <c:pt idx="765">
                  <c:v>41141</c:v>
                </c:pt>
                <c:pt idx="766">
                  <c:v>41142</c:v>
                </c:pt>
                <c:pt idx="767">
                  <c:v>41143</c:v>
                </c:pt>
                <c:pt idx="768">
                  <c:v>41144</c:v>
                </c:pt>
                <c:pt idx="769">
                  <c:v>41145</c:v>
                </c:pt>
                <c:pt idx="770">
                  <c:v>41148</c:v>
                </c:pt>
                <c:pt idx="771">
                  <c:v>41149</c:v>
                </c:pt>
                <c:pt idx="772">
                  <c:v>41150</c:v>
                </c:pt>
                <c:pt idx="773">
                  <c:v>41151</c:v>
                </c:pt>
                <c:pt idx="774">
                  <c:v>41152</c:v>
                </c:pt>
                <c:pt idx="775">
                  <c:v>41155</c:v>
                </c:pt>
                <c:pt idx="776">
                  <c:v>41156</c:v>
                </c:pt>
                <c:pt idx="777">
                  <c:v>41157</c:v>
                </c:pt>
                <c:pt idx="778">
                  <c:v>41158</c:v>
                </c:pt>
                <c:pt idx="779">
                  <c:v>41159</c:v>
                </c:pt>
                <c:pt idx="780">
                  <c:v>41162</c:v>
                </c:pt>
                <c:pt idx="781">
                  <c:v>41163</c:v>
                </c:pt>
                <c:pt idx="782">
                  <c:v>41164</c:v>
                </c:pt>
                <c:pt idx="783">
                  <c:v>41165</c:v>
                </c:pt>
                <c:pt idx="784">
                  <c:v>41166</c:v>
                </c:pt>
                <c:pt idx="785">
                  <c:v>41169</c:v>
                </c:pt>
                <c:pt idx="786">
                  <c:v>41170</c:v>
                </c:pt>
                <c:pt idx="787">
                  <c:v>41171</c:v>
                </c:pt>
                <c:pt idx="788">
                  <c:v>41172</c:v>
                </c:pt>
                <c:pt idx="789">
                  <c:v>41173</c:v>
                </c:pt>
                <c:pt idx="790">
                  <c:v>41176</c:v>
                </c:pt>
                <c:pt idx="791">
                  <c:v>41177</c:v>
                </c:pt>
                <c:pt idx="792">
                  <c:v>41178</c:v>
                </c:pt>
                <c:pt idx="793">
                  <c:v>41179</c:v>
                </c:pt>
                <c:pt idx="794">
                  <c:v>41180</c:v>
                </c:pt>
                <c:pt idx="795">
                  <c:v>41184</c:v>
                </c:pt>
                <c:pt idx="796">
                  <c:v>41186</c:v>
                </c:pt>
                <c:pt idx="797">
                  <c:v>41187</c:v>
                </c:pt>
                <c:pt idx="798">
                  <c:v>41190</c:v>
                </c:pt>
                <c:pt idx="799">
                  <c:v>41191</c:v>
                </c:pt>
                <c:pt idx="800">
                  <c:v>41192</c:v>
                </c:pt>
                <c:pt idx="801">
                  <c:v>41193</c:v>
                </c:pt>
                <c:pt idx="802">
                  <c:v>41194</c:v>
                </c:pt>
                <c:pt idx="803">
                  <c:v>41197</c:v>
                </c:pt>
                <c:pt idx="804">
                  <c:v>41198</c:v>
                </c:pt>
                <c:pt idx="805">
                  <c:v>41199</c:v>
                </c:pt>
                <c:pt idx="806">
                  <c:v>41200</c:v>
                </c:pt>
                <c:pt idx="807">
                  <c:v>41201</c:v>
                </c:pt>
                <c:pt idx="808">
                  <c:v>41204</c:v>
                </c:pt>
                <c:pt idx="809">
                  <c:v>41205</c:v>
                </c:pt>
                <c:pt idx="810">
                  <c:v>41206</c:v>
                </c:pt>
                <c:pt idx="811">
                  <c:v>41207</c:v>
                </c:pt>
                <c:pt idx="812">
                  <c:v>41208</c:v>
                </c:pt>
                <c:pt idx="813">
                  <c:v>41211</c:v>
                </c:pt>
                <c:pt idx="814">
                  <c:v>41212</c:v>
                </c:pt>
                <c:pt idx="815">
                  <c:v>41213</c:v>
                </c:pt>
                <c:pt idx="816">
                  <c:v>41214</c:v>
                </c:pt>
                <c:pt idx="817">
                  <c:v>41215</c:v>
                </c:pt>
                <c:pt idx="818">
                  <c:v>41218</c:v>
                </c:pt>
                <c:pt idx="819">
                  <c:v>41219</c:v>
                </c:pt>
                <c:pt idx="820">
                  <c:v>41220</c:v>
                </c:pt>
                <c:pt idx="821">
                  <c:v>41221</c:v>
                </c:pt>
                <c:pt idx="822">
                  <c:v>41222</c:v>
                </c:pt>
                <c:pt idx="823">
                  <c:v>41225</c:v>
                </c:pt>
                <c:pt idx="824">
                  <c:v>41226</c:v>
                </c:pt>
                <c:pt idx="825">
                  <c:v>41227</c:v>
                </c:pt>
                <c:pt idx="826">
                  <c:v>41228</c:v>
                </c:pt>
                <c:pt idx="827">
                  <c:v>41229</c:v>
                </c:pt>
                <c:pt idx="828">
                  <c:v>41232</c:v>
                </c:pt>
                <c:pt idx="829">
                  <c:v>41233</c:v>
                </c:pt>
                <c:pt idx="830">
                  <c:v>41234</c:v>
                </c:pt>
                <c:pt idx="831">
                  <c:v>41235</c:v>
                </c:pt>
                <c:pt idx="832">
                  <c:v>41236</c:v>
                </c:pt>
                <c:pt idx="833">
                  <c:v>41239</c:v>
                </c:pt>
                <c:pt idx="834">
                  <c:v>41240</c:v>
                </c:pt>
                <c:pt idx="835">
                  <c:v>41241</c:v>
                </c:pt>
                <c:pt idx="836">
                  <c:v>41242</c:v>
                </c:pt>
                <c:pt idx="837">
                  <c:v>41243</c:v>
                </c:pt>
                <c:pt idx="838">
                  <c:v>41246</c:v>
                </c:pt>
                <c:pt idx="839">
                  <c:v>41247</c:v>
                </c:pt>
                <c:pt idx="840">
                  <c:v>41248</c:v>
                </c:pt>
                <c:pt idx="841">
                  <c:v>41249</c:v>
                </c:pt>
                <c:pt idx="842">
                  <c:v>41250</c:v>
                </c:pt>
                <c:pt idx="843">
                  <c:v>41253</c:v>
                </c:pt>
                <c:pt idx="844">
                  <c:v>41254</c:v>
                </c:pt>
                <c:pt idx="845">
                  <c:v>41255</c:v>
                </c:pt>
                <c:pt idx="846">
                  <c:v>41256</c:v>
                </c:pt>
                <c:pt idx="847">
                  <c:v>41257</c:v>
                </c:pt>
                <c:pt idx="848">
                  <c:v>41260</c:v>
                </c:pt>
                <c:pt idx="849">
                  <c:v>41261</c:v>
                </c:pt>
                <c:pt idx="850">
                  <c:v>41263</c:v>
                </c:pt>
                <c:pt idx="851">
                  <c:v>41264</c:v>
                </c:pt>
                <c:pt idx="852">
                  <c:v>41267</c:v>
                </c:pt>
                <c:pt idx="853">
                  <c:v>41269</c:v>
                </c:pt>
                <c:pt idx="854">
                  <c:v>41270</c:v>
                </c:pt>
                <c:pt idx="855">
                  <c:v>41271</c:v>
                </c:pt>
                <c:pt idx="856">
                  <c:v>41276</c:v>
                </c:pt>
                <c:pt idx="857">
                  <c:v>41277</c:v>
                </c:pt>
                <c:pt idx="858">
                  <c:v>41278</c:v>
                </c:pt>
                <c:pt idx="859">
                  <c:v>41281</c:v>
                </c:pt>
                <c:pt idx="860">
                  <c:v>41282</c:v>
                </c:pt>
                <c:pt idx="861">
                  <c:v>41283</c:v>
                </c:pt>
                <c:pt idx="862">
                  <c:v>41284</c:v>
                </c:pt>
                <c:pt idx="863">
                  <c:v>41285</c:v>
                </c:pt>
                <c:pt idx="864">
                  <c:v>41288</c:v>
                </c:pt>
                <c:pt idx="865">
                  <c:v>41289</c:v>
                </c:pt>
                <c:pt idx="866">
                  <c:v>41290</c:v>
                </c:pt>
                <c:pt idx="867">
                  <c:v>41291</c:v>
                </c:pt>
                <c:pt idx="868">
                  <c:v>41292</c:v>
                </c:pt>
                <c:pt idx="869">
                  <c:v>41295</c:v>
                </c:pt>
                <c:pt idx="870">
                  <c:v>41296</c:v>
                </c:pt>
                <c:pt idx="871">
                  <c:v>41297</c:v>
                </c:pt>
                <c:pt idx="872">
                  <c:v>41298</c:v>
                </c:pt>
                <c:pt idx="873">
                  <c:v>41299</c:v>
                </c:pt>
                <c:pt idx="874">
                  <c:v>41302</c:v>
                </c:pt>
                <c:pt idx="875">
                  <c:v>41303</c:v>
                </c:pt>
                <c:pt idx="876">
                  <c:v>41304</c:v>
                </c:pt>
                <c:pt idx="877">
                  <c:v>41305</c:v>
                </c:pt>
                <c:pt idx="878">
                  <c:v>41306</c:v>
                </c:pt>
                <c:pt idx="879">
                  <c:v>41309</c:v>
                </c:pt>
                <c:pt idx="880">
                  <c:v>41310</c:v>
                </c:pt>
                <c:pt idx="881">
                  <c:v>41311</c:v>
                </c:pt>
                <c:pt idx="882">
                  <c:v>41312</c:v>
                </c:pt>
                <c:pt idx="883">
                  <c:v>41313</c:v>
                </c:pt>
                <c:pt idx="884">
                  <c:v>41317</c:v>
                </c:pt>
                <c:pt idx="885">
                  <c:v>41318</c:v>
                </c:pt>
                <c:pt idx="886">
                  <c:v>41319</c:v>
                </c:pt>
                <c:pt idx="887">
                  <c:v>41320</c:v>
                </c:pt>
                <c:pt idx="888">
                  <c:v>41323</c:v>
                </c:pt>
                <c:pt idx="889">
                  <c:v>41324</c:v>
                </c:pt>
                <c:pt idx="890">
                  <c:v>41325</c:v>
                </c:pt>
                <c:pt idx="891">
                  <c:v>41326</c:v>
                </c:pt>
                <c:pt idx="892">
                  <c:v>41327</c:v>
                </c:pt>
                <c:pt idx="893">
                  <c:v>41330</c:v>
                </c:pt>
                <c:pt idx="894">
                  <c:v>41331</c:v>
                </c:pt>
                <c:pt idx="895">
                  <c:v>41332</c:v>
                </c:pt>
                <c:pt idx="896">
                  <c:v>41333</c:v>
                </c:pt>
                <c:pt idx="897">
                  <c:v>41337</c:v>
                </c:pt>
                <c:pt idx="898">
                  <c:v>41338</c:v>
                </c:pt>
                <c:pt idx="899">
                  <c:v>41339</c:v>
                </c:pt>
                <c:pt idx="900">
                  <c:v>41340</c:v>
                </c:pt>
                <c:pt idx="901">
                  <c:v>41341</c:v>
                </c:pt>
                <c:pt idx="902">
                  <c:v>41344</c:v>
                </c:pt>
                <c:pt idx="903">
                  <c:v>41345</c:v>
                </c:pt>
                <c:pt idx="904">
                  <c:v>41346</c:v>
                </c:pt>
                <c:pt idx="905">
                  <c:v>41347</c:v>
                </c:pt>
                <c:pt idx="906">
                  <c:v>41348</c:v>
                </c:pt>
                <c:pt idx="907">
                  <c:v>41351</c:v>
                </c:pt>
                <c:pt idx="908">
                  <c:v>41352</c:v>
                </c:pt>
                <c:pt idx="909">
                  <c:v>41353</c:v>
                </c:pt>
                <c:pt idx="910">
                  <c:v>41354</c:v>
                </c:pt>
                <c:pt idx="911">
                  <c:v>41355</c:v>
                </c:pt>
                <c:pt idx="912">
                  <c:v>41358</c:v>
                </c:pt>
                <c:pt idx="913">
                  <c:v>41359</c:v>
                </c:pt>
                <c:pt idx="914">
                  <c:v>41360</c:v>
                </c:pt>
                <c:pt idx="915">
                  <c:v>41361</c:v>
                </c:pt>
                <c:pt idx="916">
                  <c:v>41362</c:v>
                </c:pt>
                <c:pt idx="917">
                  <c:v>41365</c:v>
                </c:pt>
                <c:pt idx="918">
                  <c:v>41366</c:v>
                </c:pt>
                <c:pt idx="919">
                  <c:v>41367</c:v>
                </c:pt>
                <c:pt idx="920">
                  <c:v>41368</c:v>
                </c:pt>
                <c:pt idx="921">
                  <c:v>41369</c:v>
                </c:pt>
                <c:pt idx="922">
                  <c:v>41372</c:v>
                </c:pt>
                <c:pt idx="923">
                  <c:v>41373</c:v>
                </c:pt>
                <c:pt idx="924">
                  <c:v>41374</c:v>
                </c:pt>
                <c:pt idx="925">
                  <c:v>41375</c:v>
                </c:pt>
                <c:pt idx="926">
                  <c:v>41376</c:v>
                </c:pt>
                <c:pt idx="927">
                  <c:v>41379</c:v>
                </c:pt>
                <c:pt idx="928">
                  <c:v>41380</c:v>
                </c:pt>
                <c:pt idx="929">
                  <c:v>41381</c:v>
                </c:pt>
                <c:pt idx="930">
                  <c:v>41382</c:v>
                </c:pt>
                <c:pt idx="931">
                  <c:v>41383</c:v>
                </c:pt>
                <c:pt idx="932">
                  <c:v>41386</c:v>
                </c:pt>
                <c:pt idx="933">
                  <c:v>41387</c:v>
                </c:pt>
                <c:pt idx="934">
                  <c:v>41388</c:v>
                </c:pt>
                <c:pt idx="935">
                  <c:v>41389</c:v>
                </c:pt>
                <c:pt idx="936">
                  <c:v>41390</c:v>
                </c:pt>
                <c:pt idx="937">
                  <c:v>41393</c:v>
                </c:pt>
                <c:pt idx="938">
                  <c:v>41394</c:v>
                </c:pt>
                <c:pt idx="939">
                  <c:v>41396</c:v>
                </c:pt>
                <c:pt idx="940">
                  <c:v>41397</c:v>
                </c:pt>
                <c:pt idx="941">
                  <c:v>41400</c:v>
                </c:pt>
                <c:pt idx="942">
                  <c:v>41401</c:v>
                </c:pt>
                <c:pt idx="943">
                  <c:v>41402</c:v>
                </c:pt>
                <c:pt idx="944">
                  <c:v>41403</c:v>
                </c:pt>
                <c:pt idx="945">
                  <c:v>41404</c:v>
                </c:pt>
                <c:pt idx="946">
                  <c:v>41407</c:v>
                </c:pt>
                <c:pt idx="947">
                  <c:v>41408</c:v>
                </c:pt>
                <c:pt idx="948">
                  <c:v>41409</c:v>
                </c:pt>
                <c:pt idx="949">
                  <c:v>41410</c:v>
                </c:pt>
                <c:pt idx="950">
                  <c:v>41414</c:v>
                </c:pt>
                <c:pt idx="951">
                  <c:v>41415</c:v>
                </c:pt>
                <c:pt idx="952">
                  <c:v>41416</c:v>
                </c:pt>
                <c:pt idx="953">
                  <c:v>41417</c:v>
                </c:pt>
                <c:pt idx="954">
                  <c:v>41418</c:v>
                </c:pt>
                <c:pt idx="955">
                  <c:v>41421</c:v>
                </c:pt>
                <c:pt idx="956">
                  <c:v>41422</c:v>
                </c:pt>
                <c:pt idx="957">
                  <c:v>41423</c:v>
                </c:pt>
                <c:pt idx="958">
                  <c:v>41424</c:v>
                </c:pt>
                <c:pt idx="959">
                  <c:v>41425</c:v>
                </c:pt>
                <c:pt idx="960">
                  <c:v>41428</c:v>
                </c:pt>
                <c:pt idx="961">
                  <c:v>41429</c:v>
                </c:pt>
                <c:pt idx="962">
                  <c:v>41430</c:v>
                </c:pt>
                <c:pt idx="963">
                  <c:v>41432</c:v>
                </c:pt>
                <c:pt idx="964">
                  <c:v>41435</c:v>
                </c:pt>
                <c:pt idx="965">
                  <c:v>41436</c:v>
                </c:pt>
                <c:pt idx="966">
                  <c:v>41437</c:v>
                </c:pt>
                <c:pt idx="967">
                  <c:v>41437</c:v>
                </c:pt>
                <c:pt idx="968">
                  <c:v>41437</c:v>
                </c:pt>
                <c:pt idx="969">
                  <c:v>41437</c:v>
                </c:pt>
                <c:pt idx="970">
                  <c:v>41437</c:v>
                </c:pt>
                <c:pt idx="971">
                  <c:v>41437</c:v>
                </c:pt>
                <c:pt idx="972">
                  <c:v>41437</c:v>
                </c:pt>
                <c:pt idx="973">
                  <c:v>41437</c:v>
                </c:pt>
              </c:numCache>
            </c:numRef>
          </c:cat>
          <c:val>
            <c:numRef>
              <c:f>'ETF StepUp'!$P$15:$P$988</c:f>
              <c:numCache>
                <c:formatCode>General</c:formatCode>
                <c:ptCount val="974"/>
                <c:pt idx="0">
                  <c:v>0</c:v>
                </c:pt>
                <c:pt idx="1">
                  <c:v>0</c:v>
                </c:pt>
                <c:pt idx="2" formatCode="0.00%">
                  <c:v>1.4693042469734241E-2</c:v>
                </c:pt>
                <c:pt idx="3" formatCode="0.00%">
                  <c:v>1.970366316118688E-2</c:v>
                </c:pt>
                <c:pt idx="4" formatCode="0.00%">
                  <c:v>2.0609354027392168E-2</c:v>
                </c:pt>
                <c:pt idx="5" formatCode="0.00%">
                  <c:v>1.611347850450251E-2</c:v>
                </c:pt>
                <c:pt idx="6" formatCode="0.00%">
                  <c:v>1.9742757730951244E-2</c:v>
                </c:pt>
                <c:pt idx="7" formatCode="0.00%">
                  <c:v>2.6884032474555841E-2</c:v>
                </c:pt>
                <c:pt idx="8" formatCode="0.00%">
                  <c:v>2.695570585245699E-2</c:v>
                </c:pt>
                <c:pt idx="9" formatCode="0.00%">
                  <c:v>2.897559195694388E-2</c:v>
                </c:pt>
                <c:pt idx="10" formatCode="0.00%">
                  <c:v>1.9944746341399755E-2</c:v>
                </c:pt>
                <c:pt idx="11" formatCode="0.00%">
                  <c:v>1.9482127265856075E-2</c:v>
                </c:pt>
                <c:pt idx="12" formatCode="0.00%">
                  <c:v>3.6924821142343411E-2</c:v>
                </c:pt>
                <c:pt idx="13" formatCode="0.00%">
                  <c:v>8.0274183249280373E-3</c:v>
                </c:pt>
                <c:pt idx="14" formatCode="0.00%">
                  <c:v>1.0099430522433783E-2</c:v>
                </c:pt>
                <c:pt idx="15" formatCode="0.00%">
                  <c:v>7.3106845459165459E-3</c:v>
                </c:pt>
                <c:pt idx="16" formatCode="0.00%">
                  <c:v>2.7138147178023653E-2</c:v>
                </c:pt>
                <c:pt idx="17" formatCode="0.00%">
                  <c:v>3.0128881764989623E-2</c:v>
                </c:pt>
                <c:pt idx="18" formatCode="0.00%">
                  <c:v>5.0484121088914202E-2</c:v>
                </c:pt>
                <c:pt idx="19" formatCode="0.00%">
                  <c:v>4.3421035484837889E-2</c:v>
                </c:pt>
                <c:pt idx="20" formatCode="0.00%">
                  <c:v>5.1722115798115587E-2</c:v>
                </c:pt>
                <c:pt idx="21" formatCode="0.00%">
                  <c:v>4.2085304351225483E-2</c:v>
                </c:pt>
                <c:pt idx="22" formatCode="0.00%">
                  <c:v>4.7695375112396965E-2</c:v>
                </c:pt>
                <c:pt idx="23" formatCode="0.00%">
                  <c:v>3.7211514653947786E-2</c:v>
                </c:pt>
                <c:pt idx="24" formatCode="0.00%">
                  <c:v>5.7547206692990294E-2</c:v>
                </c:pt>
                <c:pt idx="25" formatCode="0.00%">
                  <c:v>5.1096602681887537E-2</c:v>
                </c:pt>
                <c:pt idx="26" formatCode="0.00%">
                  <c:v>5.1337685862100413E-2</c:v>
                </c:pt>
                <c:pt idx="27" formatCode="0.00%">
                  <c:v>4.8320888228625014E-2</c:v>
                </c:pt>
                <c:pt idx="28" formatCode="0.00%">
                  <c:v>4.8105868094921567E-2</c:v>
                </c:pt>
                <c:pt idx="29" formatCode="0.00%">
                  <c:v>5.5351395024564543E-2</c:v>
                </c:pt>
                <c:pt idx="30" formatCode="0.00%">
                  <c:v>4.7584607164731452E-2</c:v>
                </c:pt>
                <c:pt idx="31" formatCode="0.00%">
                  <c:v>7.1634283331378557E-2</c:v>
                </c:pt>
                <c:pt idx="32" formatCode="0.00%">
                  <c:v>7.6208347993796943E-2</c:v>
                </c:pt>
                <c:pt idx="33" formatCode="0.00%">
                  <c:v>6.5268384221431663E-2</c:v>
                </c:pt>
                <c:pt idx="34" formatCode="0.00%">
                  <c:v>7.7316027470450965E-2</c:v>
                </c:pt>
                <c:pt idx="35" formatCode="0.00%">
                  <c:v>9.6817702021189112E-2</c:v>
                </c:pt>
                <c:pt idx="36" formatCode="0.00%">
                  <c:v>0.1047278366368245</c:v>
                </c:pt>
                <c:pt idx="37" formatCode="0.00%">
                  <c:v>0.10749051956683209</c:v>
                </c:pt>
                <c:pt idx="38" formatCode="0.00%">
                  <c:v>0.10474738392170657</c:v>
                </c:pt>
                <c:pt idx="39" formatCode="0.00%">
                  <c:v>0.11998123460651322</c:v>
                </c:pt>
                <c:pt idx="40" formatCode="0.00%">
                  <c:v>0.11515305524062702</c:v>
                </c:pt>
                <c:pt idx="41" formatCode="0.00%">
                  <c:v>0.10369183053807163</c:v>
                </c:pt>
                <c:pt idx="42" formatCode="0.00%">
                  <c:v>0.10212804774750128</c:v>
                </c:pt>
                <c:pt idx="43" formatCode="0.00%">
                  <c:v>9.174843947509026E-2</c:v>
                </c:pt>
                <c:pt idx="44" formatCode="0.00%">
                  <c:v>0.10119629383478634</c:v>
                </c:pt>
                <c:pt idx="45" formatCode="0.00%">
                  <c:v>9.0178140922892558E-2</c:v>
                </c:pt>
                <c:pt idx="46" formatCode="0.00%">
                  <c:v>7.1601704523241771E-2</c:v>
                </c:pt>
                <c:pt idx="47" formatCode="0.00%">
                  <c:v>4.7017735903149838E-2</c:v>
                </c:pt>
                <c:pt idx="48" formatCode="0.00%">
                  <c:v>4.1505401566389155E-2</c:v>
                </c:pt>
                <c:pt idx="49" formatCode="0.00%">
                  <c:v>4.1218708054784559E-2</c:v>
                </c:pt>
                <c:pt idx="50" formatCode="0.00%">
                  <c:v>5.259522785618409E-2</c:v>
                </c:pt>
                <c:pt idx="51" formatCode="0.00%">
                  <c:v>7.3009109034755104E-2</c:v>
                </c:pt>
                <c:pt idx="52" formatCode="0.00%">
                  <c:v>6.8461107418846145E-2</c:v>
                </c:pt>
                <c:pt idx="53" formatCode="0.00%">
                  <c:v>6.1371958768260404E-2</c:v>
                </c:pt>
                <c:pt idx="54" formatCode="0.00%">
                  <c:v>7.4507734209051657E-2</c:v>
                </c:pt>
                <c:pt idx="55" formatCode="0.00%">
                  <c:v>8.0958338220154635E-2</c:v>
                </c:pt>
                <c:pt idx="56" formatCode="0.00%">
                  <c:v>6.8819474308351891E-2</c:v>
                </c:pt>
                <c:pt idx="57" formatCode="0.00%">
                  <c:v>7.4494702685796943E-2</c:v>
                </c:pt>
                <c:pt idx="58" formatCode="0.00%">
                  <c:v>8.106259040619257E-2</c:v>
                </c:pt>
                <c:pt idx="59" formatCode="0.00%">
                  <c:v>7.7615752505310276E-2</c:v>
                </c:pt>
                <c:pt idx="60" formatCode="0.00%">
                  <c:v>6.228416539609305E-2</c:v>
                </c:pt>
                <c:pt idx="61" formatCode="0.00%">
                  <c:v>6.8695674837431886E-2</c:v>
                </c:pt>
                <c:pt idx="62" formatCode="0.00%">
                  <c:v>7.9733375034207743E-2</c:v>
                </c:pt>
                <c:pt idx="63" formatCode="0.00%">
                  <c:v>7.4794427720656254E-2</c:v>
                </c:pt>
                <c:pt idx="64" formatCode="0.00%">
                  <c:v>4.8848664920442486E-2</c:v>
                </c:pt>
                <c:pt idx="65" formatCode="0.00%">
                  <c:v>3.3302057677521812E-2</c:v>
                </c:pt>
                <c:pt idx="66" formatCode="0.00%">
                  <c:v>2.9939924677795604E-2</c:v>
                </c:pt>
                <c:pt idx="67" formatCode="0.00%">
                  <c:v>1.5865879562662055E-2</c:v>
                </c:pt>
                <c:pt idx="68" formatCode="0.00%">
                  <c:v>9.8909261503576928E-3</c:v>
                </c:pt>
                <c:pt idx="69" formatCode="0.00%">
                  <c:v>2.9444726794114917E-2</c:v>
                </c:pt>
                <c:pt idx="70" formatCode="0.00%">
                  <c:v>1.1402582847909182E-2</c:v>
                </c:pt>
                <c:pt idx="71" formatCode="0.00%">
                  <c:v>2.4577452858464577E-2</c:v>
                </c:pt>
                <c:pt idx="72" formatCode="0.00%">
                  <c:v>2.7398777643118599E-2</c:v>
                </c:pt>
                <c:pt idx="73" formatCode="0.00%">
                  <c:v>3.0988962299803191E-2</c:v>
                </c:pt>
                <c:pt idx="74" formatCode="0.00%">
                  <c:v>3.9146695857278813E-2</c:v>
                </c:pt>
                <c:pt idx="75" formatCode="0.00%">
                  <c:v>2.4753378422403882E-2</c:v>
                </c:pt>
                <c:pt idx="76" formatCode="0.00%">
                  <c:v>2.4271212061977909E-2</c:v>
                </c:pt>
                <c:pt idx="77" formatCode="0.00%">
                  <c:v>3.7615491874845253E-2</c:v>
                </c:pt>
                <c:pt idx="78" formatCode="0.00%">
                  <c:v>3.3386762578677898E-2</c:v>
                </c:pt>
                <c:pt idx="79" formatCode="0.00%">
                  <c:v>4.5108617746328461E-2</c:v>
                </c:pt>
                <c:pt idx="80" formatCode="0.00%">
                  <c:v>5.5905234762891443E-2</c:v>
                </c:pt>
                <c:pt idx="81" formatCode="0.00%">
                  <c:v>5.5944329332655585E-2</c:v>
                </c:pt>
                <c:pt idx="82" formatCode="0.00%">
                  <c:v>5.4934386280412362E-2</c:v>
                </c:pt>
                <c:pt idx="83" formatCode="0.00%">
                  <c:v>4.6704979345035591E-2</c:v>
                </c:pt>
                <c:pt idx="84" formatCode="0.00%">
                  <c:v>5.0262585193583398E-2</c:v>
                </c:pt>
                <c:pt idx="85" formatCode="0.00%">
                  <c:v>4.220910382214571E-2</c:v>
                </c:pt>
                <c:pt idx="86" formatCode="0.00%">
                  <c:v>-6.6721399064336717E-3</c:v>
                </c:pt>
                <c:pt idx="87" formatCode="0.00%">
                  <c:v>1.3591878754707576E-2</c:v>
                </c:pt>
                <c:pt idx="88" formatCode="0.00%">
                  <c:v>2.2792134172563427E-2</c:v>
                </c:pt>
                <c:pt idx="89" formatCode="0.00%">
                  <c:v>3.706816789814571E-2</c:v>
                </c:pt>
                <c:pt idx="90" formatCode="0.00%">
                  <c:v>5.229550282132478E-2</c:v>
                </c:pt>
                <c:pt idx="91" formatCode="0.00%">
                  <c:v>5.8654886169644316E-2</c:v>
                </c:pt>
                <c:pt idx="92" formatCode="0.00%">
                  <c:v>6.3795822093644539E-2</c:v>
                </c:pt>
                <c:pt idx="93" formatCode="0.00%">
                  <c:v>6.0622646181112128E-2</c:v>
                </c:pt>
                <c:pt idx="94" formatCode="0.00%">
                  <c:v>6.4786217861005913E-2</c:v>
                </c:pt>
                <c:pt idx="95" formatCode="0.00%">
                  <c:v>7.6879471441416714E-2</c:v>
                </c:pt>
                <c:pt idx="96" formatCode="0.00%">
                  <c:v>7.9596544040032802E-2</c:v>
                </c:pt>
                <c:pt idx="97" formatCode="0.00%">
                  <c:v>8.472444844077831E-2</c:v>
                </c:pt>
                <c:pt idx="98" formatCode="0.00%">
                  <c:v>8.5428150696534866E-2</c:v>
                </c:pt>
                <c:pt idx="99" formatCode="0.00%">
                  <c:v>8.4379113074527279E-2</c:v>
                </c:pt>
                <c:pt idx="100" formatCode="0.00%">
                  <c:v>7.3693264005629588E-2</c:v>
                </c:pt>
                <c:pt idx="101" formatCode="0.00%">
                  <c:v>7.3172003075439473E-2</c:v>
                </c:pt>
                <c:pt idx="102" formatCode="0.00%">
                  <c:v>7.1341074058146603E-2</c:v>
                </c:pt>
                <c:pt idx="103" formatCode="0.00%">
                  <c:v>7.8710400458709584E-2</c:v>
                </c:pt>
                <c:pt idx="104" formatCode="0.00%">
                  <c:v>8.249605796421533E-2</c:v>
                </c:pt>
                <c:pt idx="105" formatCode="0.00%">
                  <c:v>9.6172641620078991E-2</c:v>
                </c:pt>
                <c:pt idx="106" formatCode="0.00%">
                  <c:v>9.8290264148976236E-2</c:v>
                </c:pt>
                <c:pt idx="107" formatCode="0.00%">
                  <c:v>8.9748100655485663E-2</c:v>
                </c:pt>
                <c:pt idx="108" formatCode="0.00%">
                  <c:v>9.6452819370056231E-2</c:v>
                </c:pt>
                <c:pt idx="109" formatCode="0.00%">
                  <c:v>0.10516439266585875</c:v>
                </c:pt>
                <c:pt idx="110" formatCode="0.00%">
                  <c:v>0.1015676922475468</c:v>
                </c:pt>
                <c:pt idx="111" formatCode="0.00%">
                  <c:v>0.11114586183979047</c:v>
                </c:pt>
                <c:pt idx="112" formatCode="0.00%">
                  <c:v>9.689589116071784E-2</c:v>
                </c:pt>
                <c:pt idx="113" formatCode="0.00%">
                  <c:v>0.10459100564264956</c:v>
                </c:pt>
                <c:pt idx="114" formatCode="0.00%">
                  <c:v>0.10384820881712864</c:v>
                </c:pt>
                <c:pt idx="115" formatCode="0.00%">
                  <c:v>0.10679333307270289</c:v>
                </c:pt>
                <c:pt idx="116" formatCode="0.00%">
                  <c:v>8.9050914161356465E-2</c:v>
                </c:pt>
                <c:pt idx="117" formatCode="0.00%">
                  <c:v>9.8407547858269107E-2</c:v>
                </c:pt>
                <c:pt idx="118" formatCode="0.00%">
                  <c:v>0.10885231374695392</c:v>
                </c:pt>
                <c:pt idx="119" formatCode="0.00%">
                  <c:v>0.11535504385107576</c:v>
                </c:pt>
                <c:pt idx="120" formatCode="0.00%">
                  <c:v>0.11433858503720495</c:v>
                </c:pt>
                <c:pt idx="121" formatCode="0.00%">
                  <c:v>0.11704914187419369</c:v>
                </c:pt>
                <c:pt idx="122" formatCode="0.00%">
                  <c:v>0.12202066799588196</c:v>
                </c:pt>
                <c:pt idx="123" formatCode="0.00%">
                  <c:v>9.7482309707181525E-2</c:v>
                </c:pt>
                <c:pt idx="124" formatCode="0.00%">
                  <c:v>8.8262507004443824E-2</c:v>
                </c:pt>
                <c:pt idx="125" formatCode="0.00%">
                  <c:v>6.6851714296884079E-2</c:v>
                </c:pt>
                <c:pt idx="126" formatCode="0.00%">
                  <c:v>5.9124021006815575E-2</c:v>
                </c:pt>
                <c:pt idx="127" formatCode="0.00%">
                  <c:v>7.0168236965218789E-2</c:v>
                </c:pt>
                <c:pt idx="128" formatCode="0.00%">
                  <c:v>4.4105190455712373E-2</c:v>
                </c:pt>
                <c:pt idx="129" formatCode="0.00%">
                  <c:v>4.6718010868290527E-2</c:v>
                </c:pt>
                <c:pt idx="130" formatCode="0.00%">
                  <c:v>3.9791756258388933E-2</c:v>
                </c:pt>
                <c:pt idx="131" formatCode="0.00%">
                  <c:v>5.2308534344579494E-2</c:v>
                </c:pt>
                <c:pt idx="132" formatCode="0.00%">
                  <c:v>5.3220740972412361E-2</c:v>
                </c:pt>
                <c:pt idx="133" formatCode="0.00%">
                  <c:v>2.1098036149445498E-2</c:v>
                </c:pt>
                <c:pt idx="134" formatCode="0.00%">
                  <c:v>1.1760949737414705E-2</c:v>
                </c:pt>
                <c:pt idx="135" formatCode="0.00%">
                  <c:v>2.3293847817871471E-2</c:v>
                </c:pt>
                <c:pt idx="136" formatCode="0.00%">
                  <c:v>2.3052764637658374E-2</c:v>
                </c:pt>
                <c:pt idx="137" formatCode="0.00%">
                  <c:v>4.1094908583864331E-2</c:v>
                </c:pt>
                <c:pt idx="138" formatCode="0.00%">
                  <c:v>3.8390867508503179E-2</c:v>
                </c:pt>
                <c:pt idx="139" formatCode="0.00%">
                  <c:v>4.3206015351134441E-2</c:v>
                </c:pt>
                <c:pt idx="140" formatCode="0.00%">
                  <c:v>6.0394594524153966E-2</c:v>
                </c:pt>
                <c:pt idx="141" formatCode="0.00%">
                  <c:v>5.632875926867098E-2</c:v>
                </c:pt>
                <c:pt idx="142" formatCode="0.00%">
                  <c:v>3.8547245787560191E-2</c:v>
                </c:pt>
                <c:pt idx="143" formatCode="0.00%">
                  <c:v>6.0179574390450519E-2</c:v>
                </c:pt>
                <c:pt idx="144" formatCode="0.00%">
                  <c:v>6.1352411483378333E-2</c:v>
                </c:pt>
                <c:pt idx="145" formatCode="0.00%">
                  <c:v>5.088158254818409E-2</c:v>
                </c:pt>
                <c:pt idx="146" formatCode="0.00%">
                  <c:v>3.4383674107666407E-2</c:v>
                </c:pt>
                <c:pt idx="147" formatCode="0.00%">
                  <c:v>3.8990317578221578E-2</c:v>
                </c:pt>
                <c:pt idx="148" formatCode="0.00%">
                  <c:v>5.2373691960853286E-2</c:v>
                </c:pt>
                <c:pt idx="149" formatCode="0.00%">
                  <c:v>5.7143229472093049E-2</c:v>
                </c:pt>
                <c:pt idx="150" formatCode="0.00%">
                  <c:v>5.438054654208524E-2</c:v>
                </c:pt>
                <c:pt idx="151" formatCode="0.00%">
                  <c:v>6.5046848326100859E-2</c:v>
                </c:pt>
                <c:pt idx="152" formatCode="0.00%">
                  <c:v>8.164249319102912E-2</c:v>
                </c:pt>
                <c:pt idx="153" formatCode="0.00%">
                  <c:v>8.2157238359591878E-2</c:v>
                </c:pt>
                <c:pt idx="154" formatCode="0.00%">
                  <c:v>8.307596074905188E-2</c:v>
                </c:pt>
                <c:pt idx="155" formatCode="0.00%">
                  <c:v>7.9414102714466139E-2</c:v>
                </c:pt>
                <c:pt idx="156" formatCode="0.00%">
                  <c:v>8.3401748830420841E-2</c:v>
                </c:pt>
                <c:pt idx="157" formatCode="0.00%">
                  <c:v>7.4774880435774183E-2</c:v>
                </c:pt>
                <c:pt idx="158" formatCode="0.00%">
                  <c:v>7.3804031953295102E-2</c:v>
                </c:pt>
                <c:pt idx="159" formatCode="0.00%">
                  <c:v>9.6511461224702444E-2</c:v>
                </c:pt>
                <c:pt idx="160" formatCode="0.00%">
                  <c:v>9.1500840533250027E-2</c:v>
                </c:pt>
                <c:pt idx="161" formatCode="0.00%">
                  <c:v>9.8629083753599911E-2</c:v>
                </c:pt>
                <c:pt idx="162" formatCode="0.00%">
                  <c:v>8.987190012640589E-2</c:v>
                </c:pt>
                <c:pt idx="163" formatCode="0.00%">
                  <c:v>9.5833822015455317E-2</c:v>
                </c:pt>
                <c:pt idx="164" formatCode="0.00%">
                  <c:v>9.5306045323637845E-2</c:v>
                </c:pt>
                <c:pt idx="165" formatCode="0.00%">
                  <c:v>0.10011467740464197</c:v>
                </c:pt>
                <c:pt idx="166" formatCode="0.00%">
                  <c:v>0.10619388300298427</c:v>
                </c:pt>
                <c:pt idx="167" formatCode="0.00%">
                  <c:v>0.10246035159049738</c:v>
                </c:pt>
                <c:pt idx="168" formatCode="0.00%">
                  <c:v>0.10780327612494633</c:v>
                </c:pt>
                <c:pt idx="169" formatCode="0.00%">
                  <c:v>0.10302070709045164</c:v>
                </c:pt>
                <c:pt idx="170" formatCode="0.00%">
                  <c:v>0.12017019169370702</c:v>
                </c:pt>
                <c:pt idx="171" formatCode="0.00%">
                  <c:v>0.12298500071673368</c:v>
                </c:pt>
                <c:pt idx="172" formatCode="0.00%">
                  <c:v>0.12396236496084034</c:v>
                </c:pt>
                <c:pt idx="173" formatCode="0.00%">
                  <c:v>0.12467909873985161</c:v>
                </c:pt>
                <c:pt idx="174" formatCode="0.00%">
                  <c:v>0.12501140258284793</c:v>
                </c:pt>
                <c:pt idx="175" formatCode="0.00%">
                  <c:v>0.12968971943130425</c:v>
                </c:pt>
                <c:pt idx="176" formatCode="0.00%">
                  <c:v>0.12362354535621667</c:v>
                </c:pt>
                <c:pt idx="177" formatCode="0.00%">
                  <c:v>0.11439071113022403</c:v>
                </c:pt>
                <c:pt idx="178" formatCode="0.00%">
                  <c:v>0.11457966821741783</c:v>
                </c:pt>
                <c:pt idx="179" formatCode="0.00%">
                  <c:v>0.1306996624835477</c:v>
                </c:pt>
                <c:pt idx="180" formatCode="0.00%">
                  <c:v>0.13629018595983688</c:v>
                </c:pt>
                <c:pt idx="181" formatCode="0.00%">
                  <c:v>0.13015233850684815</c:v>
                </c:pt>
                <c:pt idx="182" formatCode="0.00%">
                  <c:v>0.11113283031653576</c:v>
                </c:pt>
                <c:pt idx="183" formatCode="0.00%">
                  <c:v>0.1194273948681861</c:v>
                </c:pt>
                <c:pt idx="184" formatCode="0.00%">
                  <c:v>0.13868147047708401</c:v>
                </c:pt>
                <c:pt idx="185" formatCode="0.00%">
                  <c:v>0.1334297666054185</c:v>
                </c:pt>
                <c:pt idx="186" formatCode="0.00%">
                  <c:v>0.13180734196020172</c:v>
                </c:pt>
                <c:pt idx="187" formatCode="0.00%">
                  <c:v>0.14169175234893205</c:v>
                </c:pt>
                <c:pt idx="188" formatCode="0.00%">
                  <c:v>0.13996507551767712</c:v>
                </c:pt>
                <c:pt idx="189" formatCode="0.00%">
                  <c:v>0.12977442433246034</c:v>
                </c:pt>
                <c:pt idx="190" formatCode="0.00%">
                  <c:v>0.12619727119903046</c:v>
                </c:pt>
                <c:pt idx="191" formatCode="0.00%">
                  <c:v>0.13475898197740332</c:v>
                </c:pt>
                <c:pt idx="192" formatCode="0.00%">
                  <c:v>0.12149940706569184</c:v>
                </c:pt>
                <c:pt idx="193" formatCode="0.00%">
                  <c:v>0.11989652970535736</c:v>
                </c:pt>
                <c:pt idx="194" formatCode="0.00%">
                  <c:v>9.7716877125767265E-2</c:v>
                </c:pt>
                <c:pt idx="195" formatCode="0.00%">
                  <c:v>7.3471728110298784E-2</c:v>
                </c:pt>
                <c:pt idx="196" formatCode="0.00%">
                  <c:v>9.3103717893584736E-2</c:v>
                </c:pt>
                <c:pt idx="197" formatCode="0.00%">
                  <c:v>8.8288570050953252E-2</c:v>
                </c:pt>
                <c:pt idx="198" formatCode="0.00%">
                  <c:v>8.3590705917614638E-2</c:v>
                </c:pt>
                <c:pt idx="199" formatCode="0.00%">
                  <c:v>0.10414793385198795</c:v>
                </c:pt>
                <c:pt idx="200" formatCode="0.00%">
                  <c:v>0.10483208882286266</c:v>
                </c:pt>
                <c:pt idx="201" formatCode="0.00%">
                  <c:v>7.6084548522876716E-2</c:v>
                </c:pt>
                <c:pt idx="202" formatCode="0.00%">
                  <c:v>7.0696013657036261E-2</c:v>
                </c:pt>
                <c:pt idx="203" formatCode="0.00%">
                  <c:v>6.212127135540868E-2</c:v>
                </c:pt>
                <c:pt idx="204" formatCode="0.00%">
                  <c:v>4.2639144089552605E-2</c:v>
                </c:pt>
                <c:pt idx="205" formatCode="0.00%">
                  <c:v>4.573413086255651E-2</c:v>
                </c:pt>
                <c:pt idx="206" formatCode="0.00%">
                  <c:v>1.6999622085825505E-2</c:v>
                </c:pt>
                <c:pt idx="207" formatCode="0.00%">
                  <c:v>3.0871678590510321E-2</c:v>
                </c:pt>
                <c:pt idx="208" formatCode="0.00%">
                  <c:v>4.7408681600792368E-2</c:v>
                </c:pt>
                <c:pt idx="209" formatCode="0.00%">
                  <c:v>5.7364765367423853E-2</c:v>
                </c:pt>
                <c:pt idx="210" formatCode="0.00%">
                  <c:v>6.9399377093188441E-2</c:v>
                </c:pt>
                <c:pt idx="211" formatCode="0.00%">
                  <c:v>6.2329775727484771E-2</c:v>
                </c:pt>
                <c:pt idx="212" formatCode="0.00%">
                  <c:v>8.2815330283956934E-2</c:v>
                </c:pt>
                <c:pt idx="213" formatCode="0.00%">
                  <c:v>8.430743969662613E-2</c:v>
                </c:pt>
                <c:pt idx="214" formatCode="0.00%">
                  <c:v>6.7262207279408903E-2</c:v>
                </c:pt>
                <c:pt idx="215" formatCode="0.00%">
                  <c:v>7.6065001237994645E-2</c:v>
                </c:pt>
                <c:pt idx="216" formatCode="0.00%">
                  <c:v>7.3289286784732344E-2</c:v>
                </c:pt>
                <c:pt idx="217" formatCode="0.00%">
                  <c:v>7.6208347993796943E-2</c:v>
                </c:pt>
                <c:pt idx="218" formatCode="0.00%">
                  <c:v>9.1611608480915319E-2</c:v>
                </c:pt>
                <c:pt idx="219" formatCode="0.00%">
                  <c:v>0.10155466072429209</c:v>
                </c:pt>
                <c:pt idx="220" formatCode="0.00%">
                  <c:v>0.10118326231153163</c:v>
                </c:pt>
                <c:pt idx="221" formatCode="0.00%">
                  <c:v>0.11115237760141783</c:v>
                </c:pt>
                <c:pt idx="222" formatCode="0.00%">
                  <c:v>0.1128399598629084</c:v>
                </c:pt>
                <c:pt idx="223" formatCode="0.00%">
                  <c:v>0.11546581179874127</c:v>
                </c:pt>
                <c:pt idx="224" formatCode="0.00%">
                  <c:v>0.13353401879145665</c:v>
                </c:pt>
                <c:pt idx="225" formatCode="0.00%">
                  <c:v>0.1281910942570077</c:v>
                </c:pt>
                <c:pt idx="226" formatCode="0.00%">
                  <c:v>0.12450317317591253</c:v>
                </c:pt>
                <c:pt idx="227" formatCode="0.00%">
                  <c:v>0.13365781826237666</c:v>
                </c:pt>
                <c:pt idx="228" formatCode="0.00%">
                  <c:v>0.12712250935011782</c:v>
                </c:pt>
                <c:pt idx="229" formatCode="0.00%">
                  <c:v>0.12854946114651344</c:v>
                </c:pt>
                <c:pt idx="230" formatCode="0.00%">
                  <c:v>0.11273570767687024</c:v>
                </c:pt>
                <c:pt idx="231" formatCode="0.00%">
                  <c:v>0.10656528141574473</c:v>
                </c:pt>
                <c:pt idx="232" formatCode="0.00%">
                  <c:v>9.8713788654755774E-2</c:v>
                </c:pt>
                <c:pt idx="233" formatCode="0.00%">
                  <c:v>8.9318060388078768E-2</c:v>
                </c:pt>
                <c:pt idx="234" formatCode="0.00%">
                  <c:v>9.163115576579739E-2</c:v>
                </c:pt>
                <c:pt idx="235" formatCode="0.00%">
                  <c:v>9.7866739643196921E-2</c:v>
                </c:pt>
                <c:pt idx="236" formatCode="0.00%">
                  <c:v>9.1813597091364052E-2</c:v>
                </c:pt>
                <c:pt idx="237" formatCode="0.00%">
                  <c:v>0.10679333307270289</c:v>
                </c:pt>
                <c:pt idx="238" formatCode="0.00%">
                  <c:v>0.12267224415861966</c:v>
                </c:pt>
                <c:pt idx="239" formatCode="0.00%">
                  <c:v>0.12986564499524356</c:v>
                </c:pt>
                <c:pt idx="240" formatCode="0.00%">
                  <c:v>0.13053676844286333</c:v>
                </c:pt>
                <c:pt idx="241" formatCode="0.00%">
                  <c:v>0.1454774098544378</c:v>
                </c:pt>
                <c:pt idx="242" formatCode="0.00%">
                  <c:v>0.14109881804084079</c:v>
                </c:pt>
                <c:pt idx="243" formatCode="0.00%">
                  <c:v>0.1327325801112893</c:v>
                </c:pt>
                <c:pt idx="244" formatCode="0.00%">
                  <c:v>0.12849733505349437</c:v>
                </c:pt>
                <c:pt idx="245" formatCode="0.00%">
                  <c:v>0.13163793215788999</c:v>
                </c:pt>
                <c:pt idx="246" formatCode="0.00%">
                  <c:v>0.1394633618723693</c:v>
                </c:pt>
                <c:pt idx="247" formatCode="0.00%">
                  <c:v>0.13082997771609528</c:v>
                </c:pt>
                <c:pt idx="248" formatCode="0.00%">
                  <c:v>0.14550998866257481</c:v>
                </c:pt>
                <c:pt idx="249" formatCode="0.00%">
                  <c:v>0.15268384221431641</c:v>
                </c:pt>
                <c:pt idx="250" formatCode="0.00%">
                  <c:v>0.15218864433063573</c:v>
                </c:pt>
                <c:pt idx="251" formatCode="0.00%">
                  <c:v>0.15555077733036216</c:v>
                </c:pt>
                <c:pt idx="252" formatCode="0.00%">
                  <c:v>0.15386319506887158</c:v>
                </c:pt>
                <c:pt idx="253" formatCode="0.00%">
                  <c:v>0.14633749038925159</c:v>
                </c:pt>
                <c:pt idx="254" formatCode="0.00%">
                  <c:v>0.16128464756245364</c:v>
                </c:pt>
                <c:pt idx="255" formatCode="0.00%">
                  <c:v>0.16671227699805824</c:v>
                </c:pt>
                <c:pt idx="256" formatCode="0.00%">
                  <c:v>0.16583916493998974</c:v>
                </c:pt>
                <c:pt idx="257" formatCode="0.00%">
                  <c:v>0.16232065366120629</c:v>
                </c:pt>
                <c:pt idx="258" formatCode="0.00%">
                  <c:v>0.16230110637632422</c:v>
                </c:pt>
                <c:pt idx="259" formatCode="0.00%">
                  <c:v>0.16643209924808122</c:v>
                </c:pt>
                <c:pt idx="260" formatCode="0.00%">
                  <c:v>0.16054185073693272</c:v>
                </c:pt>
                <c:pt idx="261" formatCode="0.00%">
                  <c:v>0.14559469356373067</c:v>
                </c:pt>
                <c:pt idx="262" formatCode="0.00%">
                  <c:v>0.12185125819357023</c:v>
                </c:pt>
                <c:pt idx="263" formatCode="0.00%">
                  <c:v>0.13780835841901551</c:v>
                </c:pt>
                <c:pt idx="264" formatCode="0.00%">
                  <c:v>0.13589924026219413</c:v>
                </c:pt>
                <c:pt idx="265" formatCode="0.00%">
                  <c:v>0.14353571288947964</c:v>
                </c:pt>
                <c:pt idx="266" formatCode="0.00%">
                  <c:v>0.14807068298213388</c:v>
                </c:pt>
                <c:pt idx="267" formatCode="0.00%">
                  <c:v>0.15957100225445364</c:v>
                </c:pt>
                <c:pt idx="268" formatCode="0.00%">
                  <c:v>0.15689953998722905</c:v>
                </c:pt>
                <c:pt idx="269" formatCode="0.00%">
                  <c:v>0.15179769863299319</c:v>
                </c:pt>
                <c:pt idx="270" formatCode="0.00%">
                  <c:v>0.14711938178453687</c:v>
                </c:pt>
                <c:pt idx="271" formatCode="0.00%">
                  <c:v>0.13034781135566931</c:v>
                </c:pt>
                <c:pt idx="272" formatCode="0.00%">
                  <c:v>0.12707038325709896</c:v>
                </c:pt>
                <c:pt idx="273" formatCode="0.00%">
                  <c:v>0.12694006802455138</c:v>
                </c:pt>
                <c:pt idx="274" formatCode="0.00%">
                  <c:v>0.1468587513194417</c:v>
                </c:pt>
                <c:pt idx="275" formatCode="0.00%">
                  <c:v>0.13553435761106125</c:v>
                </c:pt>
                <c:pt idx="276" formatCode="0.00%">
                  <c:v>0.1498299386215256</c:v>
                </c:pt>
                <c:pt idx="277" formatCode="0.00%">
                  <c:v>0.15702333945814928</c:v>
                </c:pt>
                <c:pt idx="278" formatCode="0.00%">
                  <c:v>0.15981860119629387</c:v>
                </c:pt>
                <c:pt idx="279" formatCode="0.00%">
                  <c:v>0.16789814561424099</c:v>
                </c:pt>
                <c:pt idx="280" formatCode="0.00%">
                  <c:v>0.16484876917262858</c:v>
                </c:pt>
                <c:pt idx="281" formatCode="0.00%">
                  <c:v>0.15929734026610376</c:v>
                </c:pt>
                <c:pt idx="282" formatCode="0.00%">
                  <c:v>0.16264644174257525</c:v>
                </c:pt>
                <c:pt idx="283" formatCode="0.00%">
                  <c:v>0.17451815942765547</c:v>
                </c:pt>
                <c:pt idx="284" formatCode="0.00%">
                  <c:v>0.18512581935702466</c:v>
                </c:pt>
                <c:pt idx="285" formatCode="0.00%">
                  <c:v>0.18277362940954167</c:v>
                </c:pt>
                <c:pt idx="286" formatCode="0.00%">
                  <c:v>0.18839673169396787</c:v>
                </c:pt>
                <c:pt idx="287" formatCode="0.00%">
                  <c:v>0.18055827045623363</c:v>
                </c:pt>
                <c:pt idx="288" formatCode="0.00%">
                  <c:v>0.19065770097866741</c:v>
                </c:pt>
                <c:pt idx="289" formatCode="0.00%">
                  <c:v>0.19409802311792235</c:v>
                </c:pt>
                <c:pt idx="290" formatCode="0.00%">
                  <c:v>0.2032005421113674</c:v>
                </c:pt>
                <c:pt idx="291" formatCode="0.00%">
                  <c:v>0.21247247090712418</c:v>
                </c:pt>
                <c:pt idx="292" formatCode="0.00%">
                  <c:v>0.20930581075621935</c:v>
                </c:pt>
                <c:pt idx="293" formatCode="0.00%">
                  <c:v>0.21613432894170992</c:v>
                </c:pt>
                <c:pt idx="294" formatCode="0.00%">
                  <c:v>0.22027835333672141</c:v>
                </c:pt>
                <c:pt idx="295" formatCode="0.00%">
                  <c:v>0.22283253189465313</c:v>
                </c:pt>
                <c:pt idx="296" formatCode="0.00%">
                  <c:v>0.22450056687126163</c:v>
                </c:pt>
                <c:pt idx="297" formatCode="0.00%">
                  <c:v>0.22427251521430347</c:v>
                </c:pt>
                <c:pt idx="298" formatCode="0.00%">
                  <c:v>0.24056843504437242</c:v>
                </c:pt>
                <c:pt idx="299" formatCode="0.00%">
                  <c:v>0.23854854893988553</c:v>
                </c:pt>
                <c:pt idx="300" formatCode="0.00%">
                  <c:v>0.23608559104473725</c:v>
                </c:pt>
                <c:pt idx="301" formatCode="0.00%">
                  <c:v>0.23142030571953565</c:v>
                </c:pt>
                <c:pt idx="302" formatCode="0.00%">
                  <c:v>0.21717033504046279</c:v>
                </c:pt>
                <c:pt idx="303" formatCode="0.00%">
                  <c:v>0.22245461772026531</c:v>
                </c:pt>
                <c:pt idx="304" formatCode="0.00%">
                  <c:v>0.23783833092250162</c:v>
                </c:pt>
                <c:pt idx="305" formatCode="0.00%">
                  <c:v>0.23948681861422783</c:v>
                </c:pt>
                <c:pt idx="306" formatCode="0.00%">
                  <c:v>0.22197896712146692</c:v>
                </c:pt>
                <c:pt idx="307" formatCode="0.00%">
                  <c:v>0.21018543857591498</c:v>
                </c:pt>
                <c:pt idx="308" formatCode="0.00%">
                  <c:v>0.21873411783103336</c:v>
                </c:pt>
                <c:pt idx="309" formatCode="0.00%">
                  <c:v>0.2215033165226683</c:v>
                </c:pt>
                <c:pt idx="310" formatCode="0.00%">
                  <c:v>0.23624196932379427</c:v>
                </c:pt>
                <c:pt idx="311" formatCode="0.00%">
                  <c:v>0.24823097071816735</c:v>
                </c:pt>
                <c:pt idx="312" formatCode="0.00%">
                  <c:v>0.25064180252029655</c:v>
                </c:pt>
                <c:pt idx="313" formatCode="0.00%">
                  <c:v>0.24421074579407587</c:v>
                </c:pt>
                <c:pt idx="314" formatCode="0.00%">
                  <c:v>0.24312261360230392</c:v>
                </c:pt>
                <c:pt idx="315" formatCode="0.00%">
                  <c:v>0.2268853356268814</c:v>
                </c:pt>
                <c:pt idx="316" formatCode="0.00%">
                  <c:v>0.24759894184031173</c:v>
                </c:pt>
                <c:pt idx="317" formatCode="0.00%">
                  <c:v>0.24974914317734598</c:v>
                </c:pt>
                <c:pt idx="318" formatCode="0.00%">
                  <c:v>0.2614319037752324</c:v>
                </c:pt>
                <c:pt idx="319" formatCode="0.00%">
                  <c:v>0.26568669611790918</c:v>
                </c:pt>
                <c:pt idx="320" formatCode="0.00%">
                  <c:v>0.26338011650181792</c:v>
                </c:pt>
                <c:pt idx="321" formatCode="0.00%">
                  <c:v>0.26562805426326297</c:v>
                </c:pt>
                <c:pt idx="322" formatCode="0.00%">
                  <c:v>0.26891851388508803</c:v>
                </c:pt>
                <c:pt idx="323" formatCode="0.00%">
                  <c:v>0.28220415184330894</c:v>
                </c:pt>
                <c:pt idx="324" formatCode="0.00%">
                  <c:v>0.24759242607868437</c:v>
                </c:pt>
                <c:pt idx="325" formatCode="0.00%">
                  <c:v>0.24654338845667656</c:v>
                </c:pt>
                <c:pt idx="326" formatCode="0.00%">
                  <c:v>0.24699297600896575</c:v>
                </c:pt>
                <c:pt idx="327" formatCode="0.00%">
                  <c:v>0.23742783793997679</c:v>
                </c:pt>
                <c:pt idx="328" formatCode="0.00%">
                  <c:v>0.23611165409124668</c:v>
                </c:pt>
                <c:pt idx="329" formatCode="0.00%">
                  <c:v>0.25614762109542988</c:v>
                </c:pt>
                <c:pt idx="330" formatCode="0.00%">
                  <c:v>0.26468326882729332</c:v>
                </c:pt>
                <c:pt idx="331" formatCode="0.00%">
                  <c:v>0.26688559625734642</c:v>
                </c:pt>
                <c:pt idx="332" formatCode="0.00%">
                  <c:v>0.25685132335118666</c:v>
                </c:pt>
                <c:pt idx="333" formatCode="0.00%">
                  <c:v>0.25492265790948299</c:v>
                </c:pt>
                <c:pt idx="334" formatCode="0.00%">
                  <c:v>0.25603033738613701</c:v>
                </c:pt>
                <c:pt idx="335" formatCode="0.00%">
                  <c:v>0.23916754629448622</c:v>
                </c:pt>
                <c:pt idx="336" formatCode="0.00%">
                  <c:v>0.23508867951574852</c:v>
                </c:pt>
                <c:pt idx="337" formatCode="0.00%">
                  <c:v>0.24101150683503403</c:v>
                </c:pt>
                <c:pt idx="338" formatCode="0.00%">
                  <c:v>0.25709892229302689</c:v>
                </c:pt>
                <c:pt idx="339" formatCode="0.00%">
                  <c:v>0.27074292714075354</c:v>
                </c:pt>
                <c:pt idx="340" formatCode="0.00%">
                  <c:v>0.27530396027991721</c:v>
                </c:pt>
                <c:pt idx="341" formatCode="0.00%">
                  <c:v>0.27294525457080687</c:v>
                </c:pt>
                <c:pt idx="342" formatCode="0.00%">
                  <c:v>0.27873125089591722</c:v>
                </c:pt>
                <c:pt idx="343" formatCode="0.00%">
                  <c:v>0.27430053298930113</c:v>
                </c:pt>
                <c:pt idx="344" formatCode="0.00%">
                  <c:v>0.2959589246387011</c:v>
                </c:pt>
                <c:pt idx="345" formatCode="0.00%">
                  <c:v>0.29412147985978088</c:v>
                </c:pt>
                <c:pt idx="346" formatCode="0.00%">
                  <c:v>0.30093045076038938</c:v>
                </c:pt>
                <c:pt idx="347" formatCode="0.00%">
                  <c:v>0.30904908974810064</c:v>
                </c:pt>
                <c:pt idx="348" formatCode="0.00%">
                  <c:v>0.31454187679997925</c:v>
                </c:pt>
                <c:pt idx="349" formatCode="0.00%">
                  <c:v>0.30917288921902086</c:v>
                </c:pt>
                <c:pt idx="350" formatCode="0.00%">
                  <c:v>0.32028877855532523</c:v>
                </c:pt>
                <c:pt idx="351" formatCode="0.00%">
                  <c:v>0.31636629005564454</c:v>
                </c:pt>
                <c:pt idx="352" formatCode="0.00%">
                  <c:v>0.32731928535126475</c:v>
                </c:pt>
                <c:pt idx="353" formatCode="0.00%">
                  <c:v>0.32798389303725695</c:v>
                </c:pt>
                <c:pt idx="354" formatCode="0.00%">
                  <c:v>0.32760597886286935</c:v>
                </c:pt>
                <c:pt idx="355" formatCode="0.00%">
                  <c:v>0.32243897989235948</c:v>
                </c:pt>
                <c:pt idx="356" formatCode="0.00%">
                  <c:v>0.3176108005264735</c:v>
                </c:pt>
                <c:pt idx="357" formatCode="0.00%">
                  <c:v>0.32486284321774361</c:v>
                </c:pt>
                <c:pt idx="358" formatCode="0.00%">
                  <c:v>0.33148937279278567</c:v>
                </c:pt>
                <c:pt idx="359" formatCode="0.00%">
                  <c:v>0.33638270977494567</c:v>
                </c:pt>
                <c:pt idx="360" formatCode="0.00%">
                  <c:v>0.34881478295998014</c:v>
                </c:pt>
                <c:pt idx="361" formatCode="0.00%">
                  <c:v>0.35862751997080933</c:v>
                </c:pt>
                <c:pt idx="362" formatCode="0.00%">
                  <c:v>0.35693993770931898</c:v>
                </c:pt>
                <c:pt idx="363" formatCode="0.00%">
                  <c:v>0.35372115146539485</c:v>
                </c:pt>
                <c:pt idx="364" formatCode="0.00%">
                  <c:v>0.35931819070331117</c:v>
                </c:pt>
                <c:pt idx="365" formatCode="0.00%">
                  <c:v>0.35580619518615531</c:v>
                </c:pt>
                <c:pt idx="366" formatCode="0.00%">
                  <c:v>0.3606995321683153</c:v>
                </c:pt>
                <c:pt idx="367" formatCode="0.00%">
                  <c:v>0.36501948212726565</c:v>
                </c:pt>
                <c:pt idx="368" formatCode="0.00%">
                  <c:v>0.36145536051709093</c:v>
                </c:pt>
                <c:pt idx="369" formatCode="0.00%">
                  <c:v>0.37363331899865782</c:v>
                </c:pt>
                <c:pt idx="370" formatCode="0.00%">
                  <c:v>0.36821220532468035</c:v>
                </c:pt>
                <c:pt idx="371" formatCode="0.00%">
                  <c:v>0.36601639365625438</c:v>
                </c:pt>
                <c:pt idx="372" formatCode="0.00%">
                  <c:v>0.37853317174244494</c:v>
                </c:pt>
                <c:pt idx="373" formatCode="0.00%">
                  <c:v>0.3726494389929238</c:v>
                </c:pt>
                <c:pt idx="374" formatCode="0.00%">
                  <c:v>0.34871053077394221</c:v>
                </c:pt>
                <c:pt idx="375" formatCode="0.00%">
                  <c:v>0.35668582300585094</c:v>
                </c:pt>
                <c:pt idx="376" formatCode="0.00%">
                  <c:v>0.35962443149979806</c:v>
                </c:pt>
                <c:pt idx="377" formatCode="0.00%">
                  <c:v>0.37512542841132701</c:v>
                </c:pt>
                <c:pt idx="378" formatCode="0.00%">
                  <c:v>0.37809009995178355</c:v>
                </c:pt>
                <c:pt idx="379" formatCode="0.00%">
                  <c:v>0.37343784614983644</c:v>
                </c:pt>
                <c:pt idx="380" formatCode="0.00%">
                  <c:v>0.34858673130302198</c:v>
                </c:pt>
                <c:pt idx="381" formatCode="0.00%">
                  <c:v>0.35008535647731875</c:v>
                </c:pt>
                <c:pt idx="382" formatCode="0.00%">
                  <c:v>0.35641216101750128</c:v>
                </c:pt>
                <c:pt idx="383" formatCode="0.00%">
                  <c:v>0.34856718401813969</c:v>
                </c:pt>
                <c:pt idx="384" formatCode="0.00%">
                  <c:v>0.33285116697290751</c:v>
                </c:pt>
                <c:pt idx="385" formatCode="0.00%">
                  <c:v>0.30869072285859489</c:v>
                </c:pt>
                <c:pt idx="386" formatCode="0.00%">
                  <c:v>0.28828987320327881</c:v>
                </c:pt>
                <c:pt idx="387" formatCode="0.00%">
                  <c:v>0.3126588216896673</c:v>
                </c:pt>
                <c:pt idx="388" formatCode="0.00%">
                  <c:v>0.310006906707325</c:v>
                </c:pt>
                <c:pt idx="389" formatCode="0.00%">
                  <c:v>0.29605666106311168</c:v>
                </c:pt>
                <c:pt idx="390" formatCode="0.00%">
                  <c:v>0.28830942048816088</c:v>
                </c:pt>
                <c:pt idx="391" formatCode="0.00%">
                  <c:v>0.31171403625369765</c:v>
                </c:pt>
                <c:pt idx="392" formatCode="0.00%">
                  <c:v>0.30660567913783443</c:v>
                </c:pt>
                <c:pt idx="393" formatCode="0.00%">
                  <c:v>0.28355291450017606</c:v>
                </c:pt>
                <c:pt idx="394" formatCode="0.00%">
                  <c:v>0.27815134811108067</c:v>
                </c:pt>
                <c:pt idx="395" formatCode="0.00%">
                  <c:v>0.27049532819891331</c:v>
                </c:pt>
                <c:pt idx="396" formatCode="0.00%">
                  <c:v>0.27932418520400848</c:v>
                </c:pt>
                <c:pt idx="397" formatCode="0.00%">
                  <c:v>0.26360165239714872</c:v>
                </c:pt>
                <c:pt idx="398" formatCode="0.00%">
                  <c:v>0.25639522003727011</c:v>
                </c:pt>
                <c:pt idx="399" formatCode="0.00%">
                  <c:v>0.28403508086060181</c:v>
                </c:pt>
                <c:pt idx="400" formatCode="0.00%">
                  <c:v>0.30620170191693719</c:v>
                </c:pt>
                <c:pt idx="401" formatCode="0.00%">
                  <c:v>0.29029672778451077</c:v>
                </c:pt>
                <c:pt idx="402" formatCode="0.00%">
                  <c:v>0.30075452519645007</c:v>
                </c:pt>
                <c:pt idx="403" formatCode="0.00%">
                  <c:v>0.30411014243454915</c:v>
                </c:pt>
                <c:pt idx="404" formatCode="0.00%">
                  <c:v>0.29115029255769698</c:v>
                </c:pt>
                <c:pt idx="405" formatCode="0.00%">
                  <c:v>0.27418324928000826</c:v>
                </c:pt>
                <c:pt idx="406" formatCode="0.00%">
                  <c:v>0.28440647927336227</c:v>
                </c:pt>
                <c:pt idx="407" formatCode="0.00%">
                  <c:v>0.25358041101424345</c:v>
                </c:pt>
                <c:pt idx="408" formatCode="0.00%">
                  <c:v>0.27576657935546089</c:v>
                </c:pt>
                <c:pt idx="409" formatCode="0.00%">
                  <c:v>0.27645725008796274</c:v>
                </c:pt>
                <c:pt idx="410" formatCode="0.00%">
                  <c:v>0.29085708328446525</c:v>
                </c:pt>
                <c:pt idx="411" formatCode="0.00%">
                  <c:v>0.30538071595188776</c:v>
                </c:pt>
                <c:pt idx="412" formatCode="0.00%">
                  <c:v>0.31205285585832132</c:v>
                </c:pt>
                <c:pt idx="413" formatCode="0.00%">
                  <c:v>0.3110885231374696</c:v>
                </c:pt>
                <c:pt idx="414" formatCode="0.00%">
                  <c:v>0.32711729674081602</c:v>
                </c:pt>
                <c:pt idx="415" formatCode="0.00%">
                  <c:v>0.33836350130966797</c:v>
                </c:pt>
                <c:pt idx="416" formatCode="0.00%">
                  <c:v>0.33989470529210153</c:v>
                </c:pt>
                <c:pt idx="417" formatCode="0.00%">
                  <c:v>0.35015051409359255</c:v>
                </c:pt>
                <c:pt idx="418" formatCode="0.00%">
                  <c:v>0.36269335522629254</c:v>
                </c:pt>
                <c:pt idx="419" formatCode="0.00%">
                  <c:v>0.37267550203943323</c:v>
                </c:pt>
                <c:pt idx="420" formatCode="0.00%">
                  <c:v>0.38199955692820953</c:v>
                </c:pt>
                <c:pt idx="421" formatCode="0.00%">
                  <c:v>0.37865045545173759</c:v>
                </c:pt>
                <c:pt idx="422" formatCode="0.00%">
                  <c:v>0.38813740438119804</c:v>
                </c:pt>
                <c:pt idx="423" formatCode="0.00%">
                  <c:v>0.38571354105581412</c:v>
                </c:pt>
                <c:pt idx="424" formatCode="0.00%">
                  <c:v>0.38273583799210287</c:v>
                </c:pt>
                <c:pt idx="425" formatCode="0.00%">
                  <c:v>0.38653452702086333</c:v>
                </c:pt>
                <c:pt idx="426" formatCode="0.00%">
                  <c:v>0.38289873203278724</c:v>
                </c:pt>
                <c:pt idx="427" formatCode="0.00%">
                  <c:v>0.36140323442407185</c:v>
                </c:pt>
                <c:pt idx="428" formatCode="0.00%">
                  <c:v>0.38259249123630057</c:v>
                </c:pt>
                <c:pt idx="429" formatCode="0.00%">
                  <c:v>0.39506365899109941</c:v>
                </c:pt>
                <c:pt idx="430" formatCode="0.00%">
                  <c:v>0.39469877633996631</c:v>
                </c:pt>
                <c:pt idx="431" formatCode="0.00%">
                  <c:v>0.39288739460755551</c:v>
                </c:pt>
                <c:pt idx="432" formatCode="0.00%">
                  <c:v>0.38308768911998103</c:v>
                </c:pt>
                <c:pt idx="433" formatCode="0.00%">
                  <c:v>0.413861631286081</c:v>
                </c:pt>
                <c:pt idx="434" formatCode="0.00%">
                  <c:v>0.43251625682526029</c:v>
                </c:pt>
                <c:pt idx="435" formatCode="0.00%">
                  <c:v>0.43204712198808926</c:v>
                </c:pt>
                <c:pt idx="436" formatCode="0.00%">
                  <c:v>0.44389277662665982</c:v>
                </c:pt>
                <c:pt idx="437" formatCode="0.00%">
                  <c:v>0.43757248784810465</c:v>
                </c:pt>
                <c:pt idx="438" formatCode="0.00%">
                  <c:v>0.4378331183131996</c:v>
                </c:pt>
                <c:pt idx="439" formatCode="0.00%">
                  <c:v>0.43890821898171661</c:v>
                </c:pt>
                <c:pt idx="440" formatCode="0.00%">
                  <c:v>0.42848951613954167</c:v>
                </c:pt>
                <c:pt idx="441" formatCode="0.00%">
                  <c:v>0.45233720369574004</c:v>
                </c:pt>
                <c:pt idx="442" formatCode="0.00%">
                  <c:v>0.4339432086216557</c:v>
                </c:pt>
                <c:pt idx="443" formatCode="0.00%">
                  <c:v>0.42085304351225616</c:v>
                </c:pt>
                <c:pt idx="444" formatCode="0.00%">
                  <c:v>0.39922723067099297</c:v>
                </c:pt>
                <c:pt idx="445" formatCode="0.00%">
                  <c:v>0.39383218004352538</c:v>
                </c:pt>
                <c:pt idx="446" formatCode="0.00%">
                  <c:v>0.41172446147230146</c:v>
                </c:pt>
                <c:pt idx="447" formatCode="0.00%">
                  <c:v>0.38306814183509919</c:v>
                </c:pt>
                <c:pt idx="448" formatCode="0.00%">
                  <c:v>0.38139359109686333</c:v>
                </c:pt>
                <c:pt idx="449" formatCode="0.00%">
                  <c:v>0.37103353010933438</c:v>
                </c:pt>
                <c:pt idx="450" formatCode="0.00%">
                  <c:v>0.36988024030128863</c:v>
                </c:pt>
                <c:pt idx="451" formatCode="0.00%">
                  <c:v>0.39162333685184469</c:v>
                </c:pt>
                <c:pt idx="452" formatCode="0.00%">
                  <c:v>0.36538436477839897</c:v>
                </c:pt>
                <c:pt idx="453" formatCode="0.00%">
                  <c:v>0.37580306762057414</c:v>
                </c:pt>
                <c:pt idx="454" formatCode="0.00%">
                  <c:v>0.33945163350143992</c:v>
                </c:pt>
                <c:pt idx="455" formatCode="0.00%">
                  <c:v>0.3433936692860029</c:v>
                </c:pt>
                <c:pt idx="456" formatCode="0.00%">
                  <c:v>0.32652436243272476</c:v>
                </c:pt>
                <c:pt idx="457" formatCode="0.00%">
                  <c:v>0.36303869059254334</c:v>
                </c:pt>
                <c:pt idx="458" formatCode="0.00%">
                  <c:v>0.36846632002814794</c:v>
                </c:pt>
                <c:pt idx="459" formatCode="0.00%">
                  <c:v>0.36426365377849024</c:v>
                </c:pt>
                <c:pt idx="460" formatCode="0.00%">
                  <c:v>0.39598238138055941</c:v>
                </c:pt>
                <c:pt idx="461" formatCode="0.00%">
                  <c:v>0.39524610031666607</c:v>
                </c:pt>
                <c:pt idx="462" formatCode="0.00%">
                  <c:v>0.37756232325996564</c:v>
                </c:pt>
                <c:pt idx="463" formatCode="0.00%">
                  <c:v>0.37708667266116724</c:v>
                </c:pt>
                <c:pt idx="464" formatCode="0.00%">
                  <c:v>0.36812098466189713</c:v>
                </c:pt>
                <c:pt idx="465" formatCode="0.00%">
                  <c:v>0.35746119863950887</c:v>
                </c:pt>
                <c:pt idx="466" formatCode="0.00%">
                  <c:v>0.34968789501804864</c:v>
                </c:pt>
                <c:pt idx="467" formatCode="0.00%">
                  <c:v>0.33356138499029164</c:v>
                </c:pt>
                <c:pt idx="468" formatCode="0.00%">
                  <c:v>0.33491014764715832</c:v>
                </c:pt>
                <c:pt idx="469" formatCode="0.00%">
                  <c:v>0.35321292205845944</c:v>
                </c:pt>
                <c:pt idx="470" formatCode="0.00%">
                  <c:v>0.35953321083701484</c:v>
                </c:pt>
                <c:pt idx="471" formatCode="0.00%">
                  <c:v>0.33353532194378199</c:v>
                </c:pt>
                <c:pt idx="472" formatCode="0.00%">
                  <c:v>0.32395715235153832</c:v>
                </c:pt>
                <c:pt idx="473" formatCode="0.00%">
                  <c:v>0.31595579707311994</c:v>
                </c:pt>
                <c:pt idx="474" formatCode="0.00%">
                  <c:v>0.33453874923439808</c:v>
                </c:pt>
                <c:pt idx="475" formatCode="0.00%">
                  <c:v>0.34478804227426152</c:v>
                </c:pt>
                <c:pt idx="476" formatCode="0.00%">
                  <c:v>0.33954936992585072</c:v>
                </c:pt>
                <c:pt idx="477" formatCode="0.00%">
                  <c:v>0.36232195681353185</c:v>
                </c:pt>
                <c:pt idx="478" formatCode="0.00%">
                  <c:v>0.34895161395415508</c:v>
                </c:pt>
                <c:pt idx="479" formatCode="0.00%">
                  <c:v>0.34414298187315095</c:v>
                </c:pt>
                <c:pt idx="480" formatCode="0.00%">
                  <c:v>0.36467414676101484</c:v>
                </c:pt>
                <c:pt idx="481" formatCode="0.00%">
                  <c:v>0.36875952930138012</c:v>
                </c:pt>
                <c:pt idx="482" formatCode="0.00%">
                  <c:v>0.38508151217795827</c:v>
                </c:pt>
                <c:pt idx="483" formatCode="0.00%">
                  <c:v>0.39782634192110722</c:v>
                </c:pt>
                <c:pt idx="484" formatCode="0.00%">
                  <c:v>0.40854476979814169</c:v>
                </c:pt>
                <c:pt idx="485" formatCode="0.00%">
                  <c:v>0.41469564877438536</c:v>
                </c:pt>
                <c:pt idx="486" formatCode="0.00%">
                  <c:v>0.42082046470411938</c:v>
                </c:pt>
                <c:pt idx="487" formatCode="0.00%">
                  <c:v>0.42066408642506214</c:v>
                </c:pt>
                <c:pt idx="488" formatCode="0.00%">
                  <c:v>0.40555403521117572</c:v>
                </c:pt>
                <c:pt idx="489" formatCode="0.00%">
                  <c:v>0.37464977781252862</c:v>
                </c:pt>
                <c:pt idx="490" formatCode="0.00%">
                  <c:v>0.38762265921263528</c:v>
                </c:pt>
                <c:pt idx="491" formatCode="0.00%">
                  <c:v>0.38790283696261274</c:v>
                </c:pt>
                <c:pt idx="492" formatCode="0.00%">
                  <c:v>0.3977611843048332</c:v>
                </c:pt>
                <c:pt idx="493" formatCode="0.00%">
                  <c:v>0.38816998318933504</c:v>
                </c:pt>
                <c:pt idx="494" formatCode="0.00%">
                  <c:v>0.38799405762539574</c:v>
                </c:pt>
                <c:pt idx="495" formatCode="0.00%">
                  <c:v>0.40411405189152538</c:v>
                </c:pt>
                <c:pt idx="496" formatCode="0.00%">
                  <c:v>0.39765693211879527</c:v>
                </c:pt>
                <c:pt idx="497" formatCode="0.00%">
                  <c:v>0.41472171182089479</c:v>
                </c:pt>
                <c:pt idx="498" formatCode="0.00%">
                  <c:v>0.40120150644408836</c:v>
                </c:pt>
                <c:pt idx="499" formatCode="0.00%">
                  <c:v>0.41307322412916836</c:v>
                </c:pt>
                <c:pt idx="500" formatCode="0.00%">
                  <c:v>0.41672856640212674</c:v>
                </c:pt>
                <c:pt idx="501" formatCode="0.00%">
                  <c:v>0.40470047043798951</c:v>
                </c:pt>
                <c:pt idx="502" formatCode="0.00%">
                  <c:v>0.38994878611360884</c:v>
                </c:pt>
                <c:pt idx="503" formatCode="0.00%">
                  <c:v>0.41542541407665134</c:v>
                </c:pt>
                <c:pt idx="504" formatCode="0.00%">
                  <c:v>0.38216896673052103</c:v>
                </c:pt>
                <c:pt idx="505" formatCode="0.00%">
                  <c:v>0.34632576201832244</c:v>
                </c:pt>
                <c:pt idx="506" formatCode="0.00%">
                  <c:v>0.31518693720108937</c:v>
                </c:pt>
                <c:pt idx="507" formatCode="0.00%">
                  <c:v>0.26650116632133125</c:v>
                </c:pt>
                <c:pt idx="508" formatCode="0.00%">
                  <c:v>0.21808905742992302</c:v>
                </c:pt>
                <c:pt idx="509" formatCode="0.00%">
                  <c:v>0.17371672074748812</c:v>
                </c:pt>
                <c:pt idx="510" formatCode="0.00%">
                  <c:v>0.17690292818327524</c:v>
                </c:pt>
                <c:pt idx="511" formatCode="0.00%">
                  <c:v>0.1842005812059373</c:v>
                </c:pt>
                <c:pt idx="512" formatCode="0.00%">
                  <c:v>0.16847804839907732</c:v>
                </c:pt>
                <c:pt idx="513" formatCode="0.00%">
                  <c:v>0.22487848104564945</c:v>
                </c:pt>
                <c:pt idx="514" formatCode="0.00%">
                  <c:v>0.23321865592869151</c:v>
                </c:pt>
                <c:pt idx="515" formatCode="0.00%">
                  <c:v>0.21230957686643981</c:v>
                </c:pt>
                <c:pt idx="516" formatCode="0.00%">
                  <c:v>0.13692221483769251</c:v>
                </c:pt>
                <c:pt idx="517" formatCode="0.00%">
                  <c:v>0.1146513415953192</c:v>
                </c:pt>
                <c:pt idx="518" formatCode="0.00%">
                  <c:v>0.15764233681274997</c:v>
                </c:pt>
                <c:pt idx="519" formatCode="0.00%">
                  <c:v>0.14337281884879527</c:v>
                </c:pt>
                <c:pt idx="520" formatCode="0.00%">
                  <c:v>0.14975826524362423</c:v>
                </c:pt>
                <c:pt idx="521" formatCode="0.00%">
                  <c:v>0.15912141470216445</c:v>
                </c:pt>
                <c:pt idx="522" formatCode="0.00%">
                  <c:v>0.19205858972855339</c:v>
                </c:pt>
                <c:pt idx="523" formatCode="0.00%">
                  <c:v>0.2013891603789566</c:v>
                </c:pt>
                <c:pt idx="524" formatCode="0.00%">
                  <c:v>0.22503485932470646</c:v>
                </c:pt>
                <c:pt idx="525" formatCode="0.00%">
                  <c:v>0.22541928926072163</c:v>
                </c:pt>
                <c:pt idx="526" formatCode="0.00%">
                  <c:v>0.21698137795326899</c:v>
                </c:pt>
                <c:pt idx="527" formatCode="0.00%">
                  <c:v>0.16360425870179962</c:v>
                </c:pt>
                <c:pt idx="528" formatCode="0.00%">
                  <c:v>0.1511461224702555</c:v>
                </c:pt>
                <c:pt idx="529" formatCode="0.00%">
                  <c:v>0.19463883133299453</c:v>
                </c:pt>
                <c:pt idx="530" formatCode="0.00%">
                  <c:v>0.20322660515787705</c:v>
                </c:pt>
                <c:pt idx="531" formatCode="0.00%">
                  <c:v>0.1812619727119904</c:v>
                </c:pt>
                <c:pt idx="532" formatCode="0.00%">
                  <c:v>0.13971096081420953</c:v>
                </c:pt>
                <c:pt idx="533" formatCode="0.00%">
                  <c:v>0.15594823878963204</c:v>
                </c:pt>
                <c:pt idx="534" formatCode="0.00%">
                  <c:v>0.19896529705357247</c:v>
                </c:pt>
                <c:pt idx="535" formatCode="0.00%">
                  <c:v>0.18648109777551891</c:v>
                </c:pt>
                <c:pt idx="536" formatCode="0.00%">
                  <c:v>0.19757743982694143</c:v>
                </c:pt>
                <c:pt idx="537" formatCode="0.00%">
                  <c:v>0.20820464704119268</c:v>
                </c:pt>
                <c:pt idx="538" formatCode="0.00%">
                  <c:v>0.173195459817298</c:v>
                </c:pt>
                <c:pt idx="539" formatCode="0.00%">
                  <c:v>0.10601144167741761</c:v>
                </c:pt>
                <c:pt idx="540" formatCode="0.00%">
                  <c:v>7.6866439918162E-2</c:v>
                </c:pt>
                <c:pt idx="541" formatCode="0.00%">
                  <c:v>0.13094726142538793</c:v>
                </c:pt>
                <c:pt idx="542" formatCode="0.00%">
                  <c:v>0.12272437025163874</c:v>
                </c:pt>
                <c:pt idx="543" formatCode="0.00%">
                  <c:v>0.15282718897011871</c:v>
                </c:pt>
                <c:pt idx="544" formatCode="0.00%">
                  <c:v>0.15306175638870423</c:v>
                </c:pt>
                <c:pt idx="545" formatCode="0.00%">
                  <c:v>0.11171273310137231</c:v>
                </c:pt>
                <c:pt idx="546" formatCode="0.00%">
                  <c:v>8.5864706725569118E-2</c:v>
                </c:pt>
                <c:pt idx="547" formatCode="0.00%">
                  <c:v>0.11440374265347875</c:v>
                </c:pt>
                <c:pt idx="548" formatCode="0.00%">
                  <c:v>0.14662418390085619</c:v>
                </c:pt>
                <c:pt idx="549" formatCode="0.00%">
                  <c:v>0.15097019690631641</c:v>
                </c:pt>
                <c:pt idx="550" formatCode="0.00%">
                  <c:v>0.1695922436373587</c:v>
                </c:pt>
                <c:pt idx="551" formatCode="0.00%">
                  <c:v>0.17902706647380007</c:v>
                </c:pt>
                <c:pt idx="552" formatCode="0.00%">
                  <c:v>0.18788850228703224</c:v>
                </c:pt>
                <c:pt idx="553" formatCode="0.00%">
                  <c:v>0.19590288908870557</c:v>
                </c:pt>
                <c:pt idx="554" formatCode="0.00%">
                  <c:v>0.21530682721503314</c:v>
                </c:pt>
                <c:pt idx="555" formatCode="0.00%">
                  <c:v>0.1981834056582874</c:v>
                </c:pt>
                <c:pt idx="556" formatCode="0.00%">
                  <c:v>0.20927323194808256</c:v>
                </c:pt>
                <c:pt idx="557" formatCode="0.00%">
                  <c:v>0.17615361559612697</c:v>
                </c:pt>
                <c:pt idx="558" formatCode="0.00%">
                  <c:v>0.19784458605366395</c:v>
                </c:pt>
                <c:pt idx="559" formatCode="0.00%">
                  <c:v>0.23690006124815932</c:v>
                </c:pt>
                <c:pt idx="560" formatCode="0.00%">
                  <c:v>0.23059931975448622</c:v>
                </c:pt>
                <c:pt idx="561" formatCode="0.00%">
                  <c:v>0.23428724083558117</c:v>
                </c:pt>
                <c:pt idx="562" formatCode="0.00%">
                  <c:v>0.25235544782829655</c:v>
                </c:pt>
                <c:pt idx="563" formatCode="0.00%">
                  <c:v>0.25720317447906482</c:v>
                </c:pt>
                <c:pt idx="564" formatCode="0.00%">
                  <c:v>0.24387844195107955</c:v>
                </c:pt>
                <c:pt idx="565" formatCode="0.00%">
                  <c:v>0.2442693876487223</c:v>
                </c:pt>
                <c:pt idx="566" formatCode="0.00%">
                  <c:v>0.23669807263771059</c:v>
                </c:pt>
                <c:pt idx="567" formatCode="0.00%">
                  <c:v>0.21842136127291911</c:v>
                </c:pt>
                <c:pt idx="568" formatCode="0.00%">
                  <c:v>0.25650598798493562</c:v>
                </c:pt>
                <c:pt idx="569" formatCode="0.00%">
                  <c:v>0.25043981390984782</c:v>
                </c:pt>
                <c:pt idx="570" formatCode="0.00%">
                  <c:v>0.24004065835255495</c:v>
                </c:pt>
                <c:pt idx="571" formatCode="0.00%">
                  <c:v>0.24290107770697311</c:v>
                </c:pt>
                <c:pt idx="572" formatCode="0.00%">
                  <c:v>0.18147047708406627</c:v>
                </c:pt>
                <c:pt idx="573" formatCode="0.00%">
                  <c:v>0.21417960045349704</c:v>
                </c:pt>
                <c:pt idx="574" formatCode="0.00%">
                  <c:v>0.23982563821885128</c:v>
                </c:pt>
                <c:pt idx="575" formatCode="0.00%">
                  <c:v>0.22895083206275979</c:v>
                </c:pt>
                <c:pt idx="576" formatCode="0.00%">
                  <c:v>0.20937096837249292</c:v>
                </c:pt>
                <c:pt idx="577" formatCode="0.00%">
                  <c:v>0.22279343732488899</c:v>
                </c:pt>
                <c:pt idx="578" formatCode="0.00%">
                  <c:v>0.19835933122222671</c:v>
                </c:pt>
                <c:pt idx="579" formatCode="0.00%">
                  <c:v>0.18588816346742765</c:v>
                </c:pt>
                <c:pt idx="580" formatCode="0.00%">
                  <c:v>0.18996051448453799</c:v>
                </c:pt>
                <c:pt idx="581" formatCode="0.00%">
                  <c:v>0.16182545577752583</c:v>
                </c:pt>
                <c:pt idx="582" formatCode="0.00%">
                  <c:v>0.16961830668386813</c:v>
                </c:pt>
                <c:pt idx="583" formatCode="0.00%">
                  <c:v>0.15745989548718353</c:v>
                </c:pt>
                <c:pt idx="584" formatCode="0.00%">
                  <c:v>0.18279317669442374</c:v>
                </c:pt>
                <c:pt idx="585" formatCode="0.00%">
                  <c:v>0.20966417764572509</c:v>
                </c:pt>
                <c:pt idx="586" formatCode="0.00%">
                  <c:v>0.20379347641945866</c:v>
                </c:pt>
                <c:pt idx="587" formatCode="0.00%">
                  <c:v>0.24853721151465402</c:v>
                </c:pt>
                <c:pt idx="588" formatCode="0.00%">
                  <c:v>0.24844599085187058</c:v>
                </c:pt>
                <c:pt idx="589" formatCode="0.00%">
                  <c:v>0.25291580332825103</c:v>
                </c:pt>
                <c:pt idx="590" formatCode="0.00%">
                  <c:v>0.23983215398047864</c:v>
                </c:pt>
                <c:pt idx="591" formatCode="0.00%">
                  <c:v>0.25064831828192391</c:v>
                </c:pt>
                <c:pt idx="592" formatCode="0.00%">
                  <c:v>0.24606773785787817</c:v>
                </c:pt>
                <c:pt idx="593" formatCode="0.00%">
                  <c:v>0.22154241109243267</c:v>
                </c:pt>
                <c:pt idx="594" formatCode="0.00%">
                  <c:v>0.23783833092250162</c:v>
                </c:pt>
                <c:pt idx="595" formatCode="0.00%">
                  <c:v>0.21457706191276693</c:v>
                </c:pt>
                <c:pt idx="596" formatCode="0.00%">
                  <c:v>0.21046561632589222</c:v>
                </c:pt>
                <c:pt idx="597" formatCode="0.00%">
                  <c:v>0.18528871339770903</c:v>
                </c:pt>
                <c:pt idx="598" formatCode="0.00%">
                  <c:v>0.19887407639078925</c:v>
                </c:pt>
                <c:pt idx="599" formatCode="0.00%">
                  <c:v>0.15780523085343456</c:v>
                </c:pt>
                <c:pt idx="600" formatCode="0.00%">
                  <c:v>0.16831515435839295</c:v>
                </c:pt>
                <c:pt idx="601" formatCode="0.00%">
                  <c:v>0.20437989496592257</c:v>
                </c:pt>
                <c:pt idx="602" formatCode="0.00%">
                  <c:v>0.20378044489620395</c:v>
                </c:pt>
                <c:pt idx="603" formatCode="0.00%">
                  <c:v>0.21663604258701796</c:v>
                </c:pt>
                <c:pt idx="604" formatCode="0.00%">
                  <c:v>0.20978146135501774</c:v>
                </c:pt>
                <c:pt idx="605" formatCode="0.00%">
                  <c:v>0.20021632328602879</c:v>
                </c:pt>
                <c:pt idx="606" formatCode="0.00%">
                  <c:v>0.18920468613576236</c:v>
                </c:pt>
                <c:pt idx="607" formatCode="0.00%">
                  <c:v>0.18960866335665982</c:v>
                </c:pt>
                <c:pt idx="608" formatCode="0.00%">
                  <c:v>0.19001915633918443</c:v>
                </c:pt>
                <c:pt idx="609" formatCode="0.00%">
                  <c:v>0.22197245135983956</c:v>
                </c:pt>
                <c:pt idx="610" formatCode="0.00%">
                  <c:v>0.21598446642428026</c:v>
                </c:pt>
                <c:pt idx="611" formatCode="0.00%">
                  <c:v>0.21436855754069084</c:v>
                </c:pt>
                <c:pt idx="612" formatCode="0.00%">
                  <c:v>0.20094608858829521</c:v>
                </c:pt>
                <c:pt idx="613" formatCode="0.00%">
                  <c:v>0.19009734547871293</c:v>
                </c:pt>
                <c:pt idx="614" formatCode="0.00%">
                  <c:v>0.20751397630869084</c:v>
                </c:pt>
                <c:pt idx="615" formatCode="0.00%">
                  <c:v>0.20251638714049292</c:v>
                </c:pt>
                <c:pt idx="616" formatCode="0.00%">
                  <c:v>0.21490936575576325</c:v>
                </c:pt>
                <c:pt idx="617" formatCode="0.00%">
                  <c:v>0.22214837692377865</c:v>
                </c:pt>
                <c:pt idx="618" formatCode="0.00%">
                  <c:v>0.2114560120932536</c:v>
                </c:pt>
                <c:pt idx="619" formatCode="0.00%">
                  <c:v>0.23326426626008323</c:v>
                </c:pt>
                <c:pt idx="620" formatCode="0.00%">
                  <c:v>0.23303621460312507</c:v>
                </c:pt>
                <c:pt idx="621" formatCode="0.00%">
                  <c:v>0.24774880435774138</c:v>
                </c:pt>
                <c:pt idx="622" formatCode="0.00%">
                  <c:v>0.27050184396054067</c:v>
                </c:pt>
                <c:pt idx="623" formatCode="0.00%">
                  <c:v>0.27202653218134665</c:v>
                </c:pt>
                <c:pt idx="624" formatCode="0.00%">
                  <c:v>0.27525183418689814</c:v>
                </c:pt>
                <c:pt idx="625" formatCode="0.00%">
                  <c:v>0.28023639183184113</c:v>
                </c:pt>
                <c:pt idx="626" formatCode="0.00%">
                  <c:v>0.26441612260057079</c:v>
                </c:pt>
                <c:pt idx="627" formatCode="0.00%">
                  <c:v>0.27434614332069263</c:v>
                </c:pt>
                <c:pt idx="628" formatCode="0.00%">
                  <c:v>0.27659408108213768</c:v>
                </c:pt>
                <c:pt idx="629" formatCode="0.00%">
                  <c:v>0.29292257972034341</c:v>
                </c:pt>
                <c:pt idx="630" formatCode="0.00%">
                  <c:v>0.28512972881400112</c:v>
                </c:pt>
                <c:pt idx="631" formatCode="0.00%">
                  <c:v>0.28564447398256387</c:v>
                </c:pt>
                <c:pt idx="632" formatCode="0.00%">
                  <c:v>0.29115680831932433</c:v>
                </c:pt>
                <c:pt idx="633" formatCode="0.00%">
                  <c:v>0.30558270456233627</c:v>
                </c:pt>
                <c:pt idx="634" formatCode="0.00%">
                  <c:v>0.31267836897454937</c:v>
                </c:pt>
                <c:pt idx="635" formatCode="0.00%">
                  <c:v>0.29905391141170501</c:v>
                </c:pt>
                <c:pt idx="636" formatCode="0.00%">
                  <c:v>0.30689237264943903</c:v>
                </c:pt>
                <c:pt idx="637" formatCode="0.00%">
                  <c:v>0.30487248654495236</c:v>
                </c:pt>
                <c:pt idx="638" formatCode="0.00%">
                  <c:v>0.31965023391584246</c:v>
                </c:pt>
                <c:pt idx="639" formatCode="0.00%">
                  <c:v>0.30149080626034386</c:v>
                </c:pt>
                <c:pt idx="640" formatCode="0.00%">
                  <c:v>0.31844481801477786</c:v>
                </c:pt>
                <c:pt idx="641" formatCode="0.00%">
                  <c:v>0.31937657192749258</c:v>
                </c:pt>
                <c:pt idx="642" formatCode="0.00%">
                  <c:v>0.31894653166008569</c:v>
                </c:pt>
                <c:pt idx="643" formatCode="0.00%">
                  <c:v>0.32181998253775879</c:v>
                </c:pt>
                <c:pt idx="644" formatCode="0.00%">
                  <c:v>0.30823461954467857</c:v>
                </c:pt>
                <c:pt idx="645" formatCode="0.00%">
                  <c:v>0.31611217535217695</c:v>
                </c:pt>
                <c:pt idx="646" formatCode="0.00%">
                  <c:v>0.29739239219672386</c:v>
                </c:pt>
                <c:pt idx="647" formatCode="0.00%">
                  <c:v>0.30555664151582684</c:v>
                </c:pt>
                <c:pt idx="648" formatCode="0.00%">
                  <c:v>0.32286250439813902</c:v>
                </c:pt>
                <c:pt idx="649" formatCode="0.00%">
                  <c:v>0.32571640799093005</c:v>
                </c:pt>
                <c:pt idx="650" formatCode="0.00%">
                  <c:v>0.31361663864889167</c:v>
                </c:pt>
                <c:pt idx="651" formatCode="0.00%">
                  <c:v>0.3033868928939103</c:v>
                </c:pt>
                <c:pt idx="652" formatCode="0.00%">
                  <c:v>0.29152169097045766</c:v>
                </c:pt>
                <c:pt idx="653" formatCode="0.00%">
                  <c:v>0.30364752335900547</c:v>
                </c:pt>
                <c:pt idx="654" formatCode="0.00%">
                  <c:v>0.31507616925342408</c:v>
                </c:pt>
                <c:pt idx="655" formatCode="0.00%">
                  <c:v>0.30478126588216892</c:v>
                </c:pt>
                <c:pt idx="656" formatCode="0.00%">
                  <c:v>0.3194677925902758</c:v>
                </c:pt>
                <c:pt idx="657" formatCode="0.00%">
                  <c:v>0.33252537889153855</c:v>
                </c:pt>
                <c:pt idx="658" formatCode="0.00%">
                  <c:v>0.33166529835672498</c:v>
                </c:pt>
                <c:pt idx="659" formatCode="0.00%">
                  <c:v>0.32559260852001004</c:v>
                </c:pt>
                <c:pt idx="660" formatCode="0.00%">
                  <c:v>0.33377640512399487</c:v>
                </c:pt>
                <c:pt idx="661" formatCode="0.00%">
                  <c:v>0.33061626073471739</c:v>
                </c:pt>
                <c:pt idx="662" formatCode="0.00%">
                  <c:v>0.32089474438667143</c:v>
                </c:pt>
                <c:pt idx="663" formatCode="0.00%">
                  <c:v>0.32017149484603258</c:v>
                </c:pt>
                <c:pt idx="664" formatCode="0.00%">
                  <c:v>0.32063411392157626</c:v>
                </c:pt>
                <c:pt idx="665" formatCode="0.00%">
                  <c:v>0.31565607203826063</c:v>
                </c:pt>
                <c:pt idx="666" formatCode="0.00%">
                  <c:v>0.32905899370577418</c:v>
                </c:pt>
                <c:pt idx="667" formatCode="0.00%">
                  <c:v>0.32383335288061832</c:v>
                </c:pt>
                <c:pt idx="668" formatCode="0.00%">
                  <c:v>0.31254153798037465</c:v>
                </c:pt>
                <c:pt idx="669" formatCode="0.00%">
                  <c:v>0.31230045480016155</c:v>
                </c:pt>
                <c:pt idx="670" formatCode="0.00%">
                  <c:v>0.32223699128191097</c:v>
                </c:pt>
                <c:pt idx="671" formatCode="0.00%">
                  <c:v>0.33526199877503693</c:v>
                </c:pt>
                <c:pt idx="672" formatCode="0.00%">
                  <c:v>0.31527815786387259</c:v>
                </c:pt>
                <c:pt idx="673" formatCode="0.00%">
                  <c:v>0.32189817167728729</c:v>
                </c:pt>
                <c:pt idx="674" formatCode="0.00%">
                  <c:v>0.32206758147959902</c:v>
                </c:pt>
                <c:pt idx="675" formatCode="0.00%">
                  <c:v>0.30124972308013076</c:v>
                </c:pt>
                <c:pt idx="676" formatCode="0.00%">
                  <c:v>0.29951001472562133</c:v>
                </c:pt>
                <c:pt idx="677" formatCode="0.00%">
                  <c:v>0.29444075217952226</c:v>
                </c:pt>
                <c:pt idx="678" formatCode="0.00%">
                  <c:v>0.30895786908531742</c:v>
                </c:pt>
                <c:pt idx="679" formatCode="0.00%">
                  <c:v>0.29835020915594823</c:v>
                </c:pt>
                <c:pt idx="680" formatCode="0.00%">
                  <c:v>0.29357415588308111</c:v>
                </c:pt>
                <c:pt idx="681" formatCode="0.00%">
                  <c:v>0.30610396549252639</c:v>
                </c:pt>
                <c:pt idx="682" formatCode="0.00%">
                  <c:v>0.30306110481254156</c:v>
                </c:pt>
                <c:pt idx="683" formatCode="0.00%">
                  <c:v>0.28663486974992503</c:v>
                </c:pt>
                <c:pt idx="684" formatCode="0.00%">
                  <c:v>0.28531868590119513</c:v>
                </c:pt>
                <c:pt idx="685" formatCode="0.00%">
                  <c:v>0.27931766944238112</c:v>
                </c:pt>
                <c:pt idx="686" formatCode="0.00%">
                  <c:v>0.27837939976803883</c:v>
                </c:pt>
                <c:pt idx="687" formatCode="0.00%">
                  <c:v>0.27972164666327837</c:v>
                </c:pt>
                <c:pt idx="688" formatCode="0.00%">
                  <c:v>0.28709097306384135</c:v>
                </c:pt>
                <c:pt idx="689" formatCode="0.00%">
                  <c:v>0.2914174387844195</c:v>
                </c:pt>
                <c:pt idx="690" formatCode="0.00%">
                  <c:v>0.3025463596439788</c:v>
                </c:pt>
                <c:pt idx="691" formatCode="0.00%">
                  <c:v>0.29996611803953765</c:v>
                </c:pt>
                <c:pt idx="692" formatCode="0.00%">
                  <c:v>0.29608272410962133</c:v>
                </c:pt>
                <c:pt idx="693" formatCode="0.00%">
                  <c:v>0.27476966782647216</c:v>
                </c:pt>
                <c:pt idx="694" formatCode="0.00%">
                  <c:v>0.28165682786660939</c:v>
                </c:pt>
                <c:pt idx="695" formatCode="0.00%">
                  <c:v>0.27076247442563561</c:v>
                </c:pt>
                <c:pt idx="696" formatCode="0.00%">
                  <c:v>0.26727002619336182</c:v>
                </c:pt>
                <c:pt idx="697" formatCode="0.00%">
                  <c:v>0.24915620886925471</c:v>
                </c:pt>
                <c:pt idx="698" formatCode="0.00%">
                  <c:v>0.24694084991594667</c:v>
                </c:pt>
                <c:pt idx="699" formatCode="0.00%">
                  <c:v>0.2373170699923115</c:v>
                </c:pt>
                <c:pt idx="700" formatCode="0.00%">
                  <c:v>0.1992454748035497</c:v>
                </c:pt>
                <c:pt idx="701" formatCode="0.00%">
                  <c:v>0.20231439853004418</c:v>
                </c:pt>
                <c:pt idx="702" formatCode="0.00%">
                  <c:v>0.16140844703337365</c:v>
                </c:pt>
                <c:pt idx="703" formatCode="0.00%">
                  <c:v>0.17227022166621064</c:v>
                </c:pt>
                <c:pt idx="704" formatCode="0.00%">
                  <c:v>0.19153081303673591</c:v>
                </c:pt>
                <c:pt idx="705" formatCode="0.00%">
                  <c:v>0.17845367945059087</c:v>
                </c:pt>
                <c:pt idx="706" formatCode="0.00%">
                  <c:v>0.18226540000260627</c:v>
                </c:pt>
                <c:pt idx="707" formatCode="0.00%">
                  <c:v>0.18858568878116166</c:v>
                </c:pt>
                <c:pt idx="708" formatCode="0.00%">
                  <c:v>0.20535725921002901</c:v>
                </c:pt>
                <c:pt idx="709" formatCode="0.00%">
                  <c:v>0.20206679958820373</c:v>
                </c:pt>
                <c:pt idx="710" formatCode="0.00%">
                  <c:v>0.20116110872199844</c:v>
                </c:pt>
                <c:pt idx="711" formatCode="0.00%">
                  <c:v>0.19532298630386902</c:v>
                </c:pt>
                <c:pt idx="712" formatCode="0.00%">
                  <c:v>0.16184500306240812</c:v>
                </c:pt>
                <c:pt idx="713" formatCode="0.00%">
                  <c:v>0.17404250882885686</c:v>
                </c:pt>
                <c:pt idx="714" formatCode="0.00%">
                  <c:v>0.20408016993106326</c:v>
                </c:pt>
                <c:pt idx="715" formatCode="0.00%">
                  <c:v>0.19605926736776258</c:v>
                </c:pt>
                <c:pt idx="716" formatCode="0.00%">
                  <c:v>0.21651875887772509</c:v>
                </c:pt>
                <c:pt idx="717" formatCode="0.00%">
                  <c:v>0.20850437207605199</c:v>
                </c:pt>
                <c:pt idx="718" formatCode="0.00%">
                  <c:v>0.21148859090139038</c:v>
                </c:pt>
                <c:pt idx="719" formatCode="0.00%">
                  <c:v>0.21941175704028049</c:v>
                </c:pt>
                <c:pt idx="720" formatCode="0.00%">
                  <c:v>0.21073276255261475</c:v>
                </c:pt>
                <c:pt idx="721" formatCode="0.00%">
                  <c:v>0.23259314281246346</c:v>
                </c:pt>
                <c:pt idx="722" formatCode="0.00%">
                  <c:v>0.2326322373822276</c:v>
                </c:pt>
                <c:pt idx="723" formatCode="0.00%">
                  <c:v>0.24067920299203771</c:v>
                </c:pt>
                <c:pt idx="724" formatCode="0.00%">
                  <c:v>0.23092510783585496</c:v>
                </c:pt>
                <c:pt idx="725" formatCode="0.00%">
                  <c:v>0.20371528727993016</c:v>
                </c:pt>
                <c:pt idx="726" formatCode="0.00%">
                  <c:v>0.1893740959380743</c:v>
                </c:pt>
                <c:pt idx="727" formatCode="0.00%">
                  <c:v>0.18444166438614995</c:v>
                </c:pt>
                <c:pt idx="728" formatCode="0.00%">
                  <c:v>0.18433741220011202</c:v>
                </c:pt>
                <c:pt idx="729" formatCode="0.00%">
                  <c:v>0.18533432372910075</c:v>
                </c:pt>
                <c:pt idx="730" formatCode="0.00%">
                  <c:v>0.20802872147725338</c:v>
                </c:pt>
                <c:pt idx="731" formatCode="0.00%">
                  <c:v>0.20649100173319268</c:v>
                </c:pt>
                <c:pt idx="732" formatCode="0.00%">
                  <c:v>0.21702698828466049</c:v>
                </c:pt>
                <c:pt idx="733" formatCode="0.00%">
                  <c:v>0.22134693824361129</c:v>
                </c:pt>
                <c:pt idx="734" formatCode="0.00%">
                  <c:v>0.22202457745285842</c:v>
                </c:pt>
                <c:pt idx="735" formatCode="0.00%">
                  <c:v>0.2107588255991244</c:v>
                </c:pt>
                <c:pt idx="736" formatCode="0.00%">
                  <c:v>0.19637853968750418</c:v>
                </c:pt>
                <c:pt idx="737" formatCode="0.00%">
                  <c:v>0.1920260109204166</c:v>
                </c:pt>
                <c:pt idx="738" formatCode="0.00%">
                  <c:v>0.19003218786243936</c:v>
                </c:pt>
                <c:pt idx="739" formatCode="0.00%">
                  <c:v>0.16331756519019525</c:v>
                </c:pt>
                <c:pt idx="740" formatCode="0.00%">
                  <c:v>0.18123590966548075</c:v>
                </c:pt>
                <c:pt idx="741" formatCode="0.00%">
                  <c:v>0.18442863286289524</c:v>
                </c:pt>
                <c:pt idx="742" formatCode="0.00%">
                  <c:v>0.18714570546151132</c:v>
                </c:pt>
                <c:pt idx="743" formatCode="0.00%">
                  <c:v>0.16952057025945777</c:v>
                </c:pt>
                <c:pt idx="744" formatCode="0.00%">
                  <c:v>0.18779728162424902</c:v>
                </c:pt>
                <c:pt idx="745" formatCode="0.00%">
                  <c:v>0.18777773433936695</c:v>
                </c:pt>
                <c:pt idx="746" formatCode="0.00%">
                  <c:v>0.16595644864928261</c:v>
                </c:pt>
                <c:pt idx="747" formatCode="0.00%">
                  <c:v>0.16888202561997478</c:v>
                </c:pt>
                <c:pt idx="748" formatCode="0.00%">
                  <c:v>0.15284022049337342</c:v>
                </c:pt>
                <c:pt idx="749" formatCode="0.00%">
                  <c:v>0.16141496279500123</c:v>
                </c:pt>
                <c:pt idx="750" formatCode="0.00%">
                  <c:v>0.19183705383322258</c:v>
                </c:pt>
                <c:pt idx="751" formatCode="0.00%">
                  <c:v>0.20136961309407453</c:v>
                </c:pt>
                <c:pt idx="752" formatCode="0.00%">
                  <c:v>0.22625982251065335</c:v>
                </c:pt>
                <c:pt idx="753" formatCode="0.00%">
                  <c:v>0.22491757561541381</c:v>
                </c:pt>
                <c:pt idx="754" formatCode="0.00%">
                  <c:v>0.21805647862178623</c:v>
                </c:pt>
                <c:pt idx="755" formatCode="0.00%">
                  <c:v>0.20455582052986188</c:v>
                </c:pt>
                <c:pt idx="756" formatCode="0.00%">
                  <c:v>0.22879445378370278</c:v>
                </c:pt>
                <c:pt idx="757" formatCode="0.00%">
                  <c:v>0.2293939038534214</c:v>
                </c:pt>
                <c:pt idx="758" formatCode="0.00%">
                  <c:v>0.24009930020720116</c:v>
                </c:pt>
                <c:pt idx="759" formatCode="0.00%">
                  <c:v>0.26444218564708022</c:v>
                </c:pt>
                <c:pt idx="760" formatCode="0.00%">
                  <c:v>0.26822784315258619</c:v>
                </c:pt>
                <c:pt idx="761" formatCode="0.00%">
                  <c:v>0.25913183992076827</c:v>
                </c:pt>
                <c:pt idx="762" formatCode="0.00%">
                  <c:v>0.27510848743109584</c:v>
                </c:pt>
                <c:pt idx="763" formatCode="0.00%">
                  <c:v>0.27572748478569675</c:v>
                </c:pt>
                <c:pt idx="764" formatCode="0.00%">
                  <c:v>0.26831906381536941</c:v>
                </c:pt>
                <c:pt idx="765" formatCode="0.00%">
                  <c:v>0.26816920129793975</c:v>
                </c:pt>
                <c:pt idx="766" formatCode="0.00%">
                  <c:v>0.26615583095508044</c:v>
                </c:pt>
                <c:pt idx="767" formatCode="0.00%">
                  <c:v>0.260923674368297</c:v>
                </c:pt>
                <c:pt idx="768" formatCode="0.00%">
                  <c:v>0.26571275916441861</c:v>
                </c:pt>
                <c:pt idx="769" formatCode="0.00%">
                  <c:v>0.25090243298539172</c:v>
                </c:pt>
                <c:pt idx="770" formatCode="0.00%">
                  <c:v>0.24963837522968046</c:v>
                </c:pt>
                <c:pt idx="771" formatCode="0.00%">
                  <c:v>0.2486349479390646</c:v>
                </c:pt>
                <c:pt idx="772" formatCode="0.00%">
                  <c:v>0.25659069288609149</c:v>
                </c:pt>
                <c:pt idx="773" formatCode="0.00%">
                  <c:v>0.24215176511982484</c:v>
                </c:pt>
                <c:pt idx="774" formatCode="0.00%">
                  <c:v>0.24133077915477541</c:v>
                </c:pt>
                <c:pt idx="775" formatCode="0.00%">
                  <c:v>0.24627624222995426</c:v>
                </c:pt>
                <c:pt idx="776" formatCode="0.00%">
                  <c:v>0.24264044724187817</c:v>
                </c:pt>
                <c:pt idx="777" formatCode="0.00%">
                  <c:v>0.22107327625526141</c:v>
                </c:pt>
                <c:pt idx="778" formatCode="0.00%">
                  <c:v>0.22577114038860002</c:v>
                </c:pt>
                <c:pt idx="779" formatCode="0.00%">
                  <c:v>0.25726833209533861</c:v>
                </c:pt>
                <c:pt idx="780" formatCode="0.00%">
                  <c:v>0.25408864042117885</c:v>
                </c:pt>
                <c:pt idx="781" formatCode="0.00%">
                  <c:v>0.25102623245631173</c:v>
                </c:pt>
                <c:pt idx="782" formatCode="0.00%">
                  <c:v>0.27059306462332389</c:v>
                </c:pt>
                <c:pt idx="783" formatCode="0.00%">
                  <c:v>0.27102310489073078</c:v>
                </c:pt>
                <c:pt idx="784" formatCode="0.00%">
                  <c:v>0.30809127278887627</c:v>
                </c:pt>
                <c:pt idx="785" formatCode="0.00%">
                  <c:v>0.30468352945775834</c:v>
                </c:pt>
                <c:pt idx="786" formatCode="0.00%">
                  <c:v>0.30638414324250363</c:v>
                </c:pt>
                <c:pt idx="787" formatCode="0.00%">
                  <c:v>0.30828674563769765</c:v>
                </c:pt>
                <c:pt idx="788" formatCode="0.00%">
                  <c:v>0.29685158398165146</c:v>
                </c:pt>
                <c:pt idx="789" formatCode="0.00%">
                  <c:v>0.30469656098101305</c:v>
                </c:pt>
                <c:pt idx="790" formatCode="0.00%">
                  <c:v>0.30539374747514247</c:v>
                </c:pt>
                <c:pt idx="791" formatCode="0.00%">
                  <c:v>0.29755528623740823</c:v>
                </c:pt>
                <c:pt idx="792" formatCode="0.00%">
                  <c:v>0.29040749573217606</c:v>
                </c:pt>
                <c:pt idx="793" formatCode="0.00%">
                  <c:v>0.29578951483638916</c:v>
                </c:pt>
                <c:pt idx="794" formatCode="0.00%">
                  <c:v>0.30068285181854915</c:v>
                </c:pt>
                <c:pt idx="795" formatCode="0.00%">
                  <c:v>0.30056556810925628</c:v>
                </c:pt>
                <c:pt idx="796" formatCode="0.00%">
                  <c:v>0.29838278796408524</c:v>
                </c:pt>
                <c:pt idx="797" formatCode="0.00%">
                  <c:v>0.30000521260930202</c:v>
                </c:pt>
                <c:pt idx="798" formatCode="0.00%">
                  <c:v>0.29135228116814571</c:v>
                </c:pt>
                <c:pt idx="799" formatCode="0.00%">
                  <c:v>0.28949528910434341</c:v>
                </c:pt>
                <c:pt idx="800" formatCode="0.00%">
                  <c:v>0.26941371176876872</c:v>
                </c:pt>
                <c:pt idx="801" formatCode="0.00%">
                  <c:v>0.25955536442654781</c:v>
                </c:pt>
                <c:pt idx="802" formatCode="0.00%">
                  <c:v>0.2596661323742131</c:v>
                </c:pt>
                <c:pt idx="803" formatCode="0.00%">
                  <c:v>0.2546685432060154</c:v>
                </c:pt>
                <c:pt idx="804" formatCode="0.00%">
                  <c:v>0.26506118300168113</c:v>
                </c:pt>
                <c:pt idx="805" formatCode="0.00%">
                  <c:v>0.27392913457654067</c:v>
                </c:pt>
                <c:pt idx="806" formatCode="0.00%">
                  <c:v>0.27651589194260917</c:v>
                </c:pt>
                <c:pt idx="807" formatCode="0.00%">
                  <c:v>0.26655980817597769</c:v>
                </c:pt>
                <c:pt idx="808" formatCode="0.00%">
                  <c:v>0.26509376180981792</c:v>
                </c:pt>
                <c:pt idx="809" formatCode="0.00%">
                  <c:v>0.25546346612455517</c:v>
                </c:pt>
                <c:pt idx="810" formatCode="0.00%">
                  <c:v>0.24709071243337632</c:v>
                </c:pt>
                <c:pt idx="811" formatCode="0.00%">
                  <c:v>0.25395832518863126</c:v>
                </c:pt>
                <c:pt idx="812" formatCode="0.00%">
                  <c:v>0.2324107014868968</c:v>
                </c:pt>
                <c:pt idx="813" formatCode="0.00%">
                  <c:v>0.23246934334154323</c:v>
                </c:pt>
                <c:pt idx="814" formatCode="0.00%">
                  <c:v>0.23772104721320875</c:v>
                </c:pt>
                <c:pt idx="815" formatCode="0.00%">
                  <c:v>0.24585271772417472</c:v>
                </c:pt>
                <c:pt idx="816" formatCode="0.00%">
                  <c:v>0.23697825038768783</c:v>
                </c:pt>
                <c:pt idx="817" formatCode="0.00%">
                  <c:v>0.25019221496800759</c:v>
                </c:pt>
                <c:pt idx="818" formatCode="0.00%">
                  <c:v>0.24335066525926208</c:v>
                </c:pt>
                <c:pt idx="819" formatCode="0.00%">
                  <c:v>0.25634960970587861</c:v>
                </c:pt>
                <c:pt idx="820" formatCode="0.00%">
                  <c:v>0.26246139411235769</c:v>
                </c:pt>
                <c:pt idx="821" formatCode="0.00%">
                  <c:v>0.24738392170660828</c:v>
                </c:pt>
                <c:pt idx="822" formatCode="0.00%">
                  <c:v>0.24086816007923173</c:v>
                </c:pt>
                <c:pt idx="823" formatCode="0.00%">
                  <c:v>0.23856158046314024</c:v>
                </c:pt>
                <c:pt idx="824" formatCode="0.00%">
                  <c:v>0.2312834747253607</c:v>
                </c:pt>
                <c:pt idx="825" formatCode="0.00%">
                  <c:v>0.23411131527164208</c:v>
                </c:pt>
                <c:pt idx="826" formatCode="0.00%">
                  <c:v>0.2189165591565998</c:v>
                </c:pt>
                <c:pt idx="827" formatCode="0.00%">
                  <c:v>0.21247247090712418</c:v>
                </c:pt>
                <c:pt idx="828" formatCode="0.00%">
                  <c:v>0.2237251912376037</c:v>
                </c:pt>
                <c:pt idx="829" formatCode="0.00%">
                  <c:v>0.23159623128347473</c:v>
                </c:pt>
                <c:pt idx="830" formatCode="0.00%">
                  <c:v>0.22759555364426554</c:v>
                </c:pt>
                <c:pt idx="831" formatCode="0.00%">
                  <c:v>0.23766892112018967</c:v>
                </c:pt>
                <c:pt idx="832" formatCode="0.00%">
                  <c:v>0.24537706712537632</c:v>
                </c:pt>
                <c:pt idx="833" formatCode="0.00%">
                  <c:v>0.2435396223464561</c:v>
                </c:pt>
                <c:pt idx="834" formatCode="0.00%">
                  <c:v>0.25441442850254758</c:v>
                </c:pt>
                <c:pt idx="835" formatCode="0.00%">
                  <c:v>0.24632185256134598</c:v>
                </c:pt>
                <c:pt idx="836" formatCode="0.00%">
                  <c:v>0.26070213847296597</c:v>
                </c:pt>
                <c:pt idx="837" formatCode="0.00%">
                  <c:v>0.2594315649556278</c:v>
                </c:pt>
                <c:pt idx="838" formatCode="0.00%">
                  <c:v>0.26407078723431976</c:v>
                </c:pt>
                <c:pt idx="839" formatCode="0.00%">
                  <c:v>0.26091715860666964</c:v>
                </c:pt>
                <c:pt idx="840" formatCode="0.00%">
                  <c:v>0.26864485189673815</c:v>
                </c:pt>
                <c:pt idx="841" formatCode="0.00%">
                  <c:v>0.27032591839660136</c:v>
                </c:pt>
                <c:pt idx="842" formatCode="0.00%">
                  <c:v>0.27542775975083722</c:v>
                </c:pt>
                <c:pt idx="843" formatCode="0.00%">
                  <c:v>0.27540821246595515</c:v>
                </c:pt>
                <c:pt idx="844" formatCode="0.00%">
                  <c:v>0.28009956083766618</c:v>
                </c:pt>
                <c:pt idx="845" formatCode="0.00%">
                  <c:v>0.28714961491848778</c:v>
                </c:pt>
                <c:pt idx="846" formatCode="0.00%">
                  <c:v>0.30495719144610822</c:v>
                </c:pt>
                <c:pt idx="847" formatCode="0.00%">
                  <c:v>0.29992050770814593</c:v>
                </c:pt>
                <c:pt idx="848" formatCode="0.00%">
                  <c:v>0.29212114104017606</c:v>
                </c:pt>
                <c:pt idx="849" formatCode="0.00%">
                  <c:v>0.29864993419080754</c:v>
                </c:pt>
                <c:pt idx="850" formatCode="0.00%">
                  <c:v>0.30282653739395604</c:v>
                </c:pt>
                <c:pt idx="851" formatCode="0.00%">
                  <c:v>0.29039446420892134</c:v>
                </c:pt>
                <c:pt idx="852" formatCode="0.00%">
                  <c:v>0.29130667083675399</c:v>
                </c:pt>
                <c:pt idx="853" formatCode="0.00%">
                  <c:v>0.29158684858673123</c:v>
                </c:pt>
                <c:pt idx="854" formatCode="0.00%">
                  <c:v>0.2949098870166933</c:v>
                </c:pt>
                <c:pt idx="855" formatCode="0.00%">
                  <c:v>0.30123017579524869</c:v>
                </c:pt>
                <c:pt idx="856" formatCode="0.00%">
                  <c:v>0.32341634413646614</c:v>
                </c:pt>
                <c:pt idx="857" formatCode="0.00%">
                  <c:v>0.31579941879406292</c:v>
                </c:pt>
                <c:pt idx="858" formatCode="0.00%">
                  <c:v>0.31093214485841258</c:v>
                </c:pt>
                <c:pt idx="859" formatCode="0.00%">
                  <c:v>0.3104825573061234</c:v>
                </c:pt>
                <c:pt idx="860" formatCode="0.00%">
                  <c:v>0.30181007858008524</c:v>
                </c:pt>
                <c:pt idx="861" formatCode="0.00%">
                  <c:v>0.2978159167025034</c:v>
                </c:pt>
                <c:pt idx="862" formatCode="0.00%">
                  <c:v>0.30758304338194087</c:v>
                </c:pt>
                <c:pt idx="863" formatCode="0.00%">
                  <c:v>0.30098257685340846</c:v>
                </c:pt>
                <c:pt idx="864" formatCode="0.00%">
                  <c:v>0.30773942166099788</c:v>
                </c:pt>
                <c:pt idx="865" formatCode="0.00%">
                  <c:v>0.29255769706921031</c:v>
                </c:pt>
                <c:pt idx="866" formatCode="0.00%">
                  <c:v>0.28845928300559054</c:v>
                </c:pt>
                <c:pt idx="867" formatCode="0.00%">
                  <c:v>0.28638727080808479</c:v>
                </c:pt>
                <c:pt idx="868" formatCode="0.00%">
                  <c:v>0.29523567509806226</c:v>
                </c:pt>
                <c:pt idx="869" formatCode="0.00%">
                  <c:v>0.29459061469695191</c:v>
                </c:pt>
                <c:pt idx="870" formatCode="0.00%">
                  <c:v>0.30088484042899766</c:v>
                </c:pt>
                <c:pt idx="871" formatCode="0.00%">
                  <c:v>0.29038794844729399</c:v>
                </c:pt>
                <c:pt idx="872" formatCode="0.00%">
                  <c:v>0.28000834017488296</c:v>
                </c:pt>
                <c:pt idx="873" formatCode="0.00%">
                  <c:v>0.26841680023977998</c:v>
                </c:pt>
                <c:pt idx="874" formatCode="0.00%">
                  <c:v>0.26386879862387125</c:v>
                </c:pt>
                <c:pt idx="875" formatCode="0.00%">
                  <c:v>0.27445691126835814</c:v>
                </c:pt>
                <c:pt idx="876" formatCode="0.00%">
                  <c:v>0.27997576136674618</c:v>
                </c:pt>
                <c:pt idx="877" formatCode="0.00%">
                  <c:v>0.2783533367215294</c:v>
                </c:pt>
                <c:pt idx="878" formatCode="0.00%">
                  <c:v>0.27564929564616802</c:v>
                </c:pt>
                <c:pt idx="879" formatCode="0.00%">
                  <c:v>0.27266507682082963</c:v>
                </c:pt>
                <c:pt idx="880" formatCode="0.00%">
                  <c:v>0.26287188709488252</c:v>
                </c:pt>
                <c:pt idx="881" formatCode="0.00%">
                  <c:v>0.2615752505310347</c:v>
                </c:pt>
                <c:pt idx="882" formatCode="0.00%">
                  <c:v>0.25869528389173402</c:v>
                </c:pt>
                <c:pt idx="883" formatCode="0.00%">
                  <c:v>0.27115993588490572</c:v>
                </c:pt>
                <c:pt idx="884" formatCode="0.00%">
                  <c:v>0.26783038169331608</c:v>
                </c:pt>
                <c:pt idx="885" formatCode="0.00%">
                  <c:v>0.28756010790101261</c:v>
                </c:pt>
                <c:pt idx="886" formatCode="0.00%">
                  <c:v>0.28986668751710387</c:v>
                </c:pt>
                <c:pt idx="887" formatCode="0.00%">
                  <c:v>0.29088966209260203</c:v>
                </c:pt>
                <c:pt idx="888" formatCode="0.00%">
                  <c:v>0.29136531269140065</c:v>
                </c:pt>
                <c:pt idx="889" formatCode="0.00%">
                  <c:v>0.29391949124933214</c:v>
                </c:pt>
                <c:pt idx="890" formatCode="0.00%">
                  <c:v>0.31920716212518085</c:v>
                </c:pt>
                <c:pt idx="891" formatCode="0.00%">
                  <c:v>0.31306931467219212</c:v>
                </c:pt>
                <c:pt idx="892" formatCode="0.00%">
                  <c:v>0.31546059918943925</c:v>
                </c:pt>
                <c:pt idx="893" formatCode="0.00%">
                  <c:v>0.3093553305445873</c:v>
                </c:pt>
                <c:pt idx="894" formatCode="0.00%">
                  <c:v>0.30315884123695214</c:v>
                </c:pt>
                <c:pt idx="895" formatCode="0.00%">
                  <c:v>0.305784693172785</c:v>
                </c:pt>
                <c:pt idx="896" formatCode="0.00%">
                  <c:v>0.32041257802624545</c:v>
                </c:pt>
                <c:pt idx="897" formatCode="0.00%">
                  <c:v>0.31172055201532523</c:v>
                </c:pt>
                <c:pt idx="898" formatCode="0.00%">
                  <c:v>0.31397500553839741</c:v>
                </c:pt>
                <c:pt idx="899" formatCode="0.00%">
                  <c:v>0.31666601509050385</c:v>
                </c:pt>
                <c:pt idx="900" formatCode="0.00%">
                  <c:v>0.30601926059137052</c:v>
                </c:pt>
                <c:pt idx="901" formatCode="0.00%">
                  <c:v>0.30706829821337811</c:v>
                </c:pt>
                <c:pt idx="902" formatCode="0.00%">
                  <c:v>0.30533510562049582</c:v>
                </c:pt>
                <c:pt idx="903" formatCode="0.00%">
                  <c:v>0.29881282823149191</c:v>
                </c:pt>
                <c:pt idx="904" formatCode="0.00%">
                  <c:v>0.3029763999113857</c:v>
                </c:pt>
                <c:pt idx="905" formatCode="0.00%">
                  <c:v>0.30454018270195604</c:v>
                </c:pt>
                <c:pt idx="906" formatCode="0.00%">
                  <c:v>0.2943560472783664</c:v>
                </c:pt>
                <c:pt idx="907" formatCode="0.00%">
                  <c:v>0.28241917197701238</c:v>
                </c:pt>
                <c:pt idx="908" formatCode="0.00%">
                  <c:v>0.28918253254622939</c:v>
                </c:pt>
                <c:pt idx="909" formatCode="0.00%">
                  <c:v>0.27670484902980319</c:v>
                </c:pt>
                <c:pt idx="910" formatCode="0.00%">
                  <c:v>0.27110780979188642</c:v>
                </c:pt>
                <c:pt idx="911" formatCode="0.00%">
                  <c:v>0.2697329840885101</c:v>
                </c:pt>
                <c:pt idx="912" formatCode="0.00%">
                  <c:v>0.28860262976139284</c:v>
                </c:pt>
                <c:pt idx="913" formatCode="0.00%">
                  <c:v>0.29253163402270088</c:v>
                </c:pt>
                <c:pt idx="914" formatCode="0.00%">
                  <c:v>0.2988779858477657</c:v>
                </c:pt>
                <c:pt idx="915" formatCode="0.00%">
                  <c:v>0.29893011194078478</c:v>
                </c:pt>
                <c:pt idx="916" formatCode="0.00%">
                  <c:v>0.30633853291111213</c:v>
                </c:pt>
                <c:pt idx="917" formatCode="0.00%">
                  <c:v>0.30053950506274685</c:v>
                </c:pt>
                <c:pt idx="918" formatCode="0.00%">
                  <c:v>0.29412799562140823</c:v>
                </c:pt>
                <c:pt idx="919" formatCode="0.00%">
                  <c:v>0.29221887746458686</c:v>
                </c:pt>
                <c:pt idx="920" formatCode="0.00%">
                  <c:v>0.27673091207631262</c:v>
                </c:pt>
                <c:pt idx="921" formatCode="0.00%">
                  <c:v>0.25573712811290505</c:v>
                </c:pt>
                <c:pt idx="922" formatCode="0.00%">
                  <c:v>0.25017266768312552</c:v>
                </c:pt>
                <c:pt idx="923" formatCode="0.00%">
                  <c:v>0.2515083988167377</c:v>
                </c:pt>
                <c:pt idx="924" formatCode="0.00%">
                  <c:v>0.26117778907176459</c:v>
                </c:pt>
                <c:pt idx="925" formatCode="0.00%">
                  <c:v>0.27044320210589423</c:v>
                </c:pt>
                <c:pt idx="926" formatCode="0.00%">
                  <c:v>0.25378239962469218</c:v>
                </c:pt>
                <c:pt idx="927" formatCode="0.00%">
                  <c:v>0.25131944172954368</c:v>
                </c:pt>
                <c:pt idx="928" formatCode="0.00%">
                  <c:v>0.25246621577596207</c:v>
                </c:pt>
                <c:pt idx="929" formatCode="0.00%">
                  <c:v>0.25352828492122437</c:v>
                </c:pt>
                <c:pt idx="930" formatCode="0.00%">
                  <c:v>0.23803380377132277</c:v>
                </c:pt>
                <c:pt idx="931" formatCode="0.00%">
                  <c:v>0.24239284830003771</c:v>
                </c:pt>
                <c:pt idx="932" formatCode="0.00%">
                  <c:v>0.25513767804318643</c:v>
                </c:pt>
                <c:pt idx="933" formatCode="0.00%">
                  <c:v>0.25013357311336137</c:v>
                </c:pt>
                <c:pt idx="934" formatCode="0.00%">
                  <c:v>0.26100186350782528</c:v>
                </c:pt>
                <c:pt idx="935" formatCode="0.00%">
                  <c:v>0.27161603919882182</c:v>
                </c:pt>
                <c:pt idx="936" formatCode="0.00%">
                  <c:v>0.26702894301314872</c:v>
                </c:pt>
                <c:pt idx="937" formatCode="0.00%">
                  <c:v>0.26451385902498137</c:v>
                </c:pt>
                <c:pt idx="938" formatCode="0.00%">
                  <c:v>0.27966300480863215</c:v>
                </c:pt>
                <c:pt idx="939" formatCode="0.00%">
                  <c:v>0.27527138147178021</c:v>
                </c:pt>
                <c:pt idx="940" formatCode="0.00%">
                  <c:v>0.28080977885505032</c:v>
                </c:pt>
                <c:pt idx="941" formatCode="0.00%">
                  <c:v>0.27805361168667009</c:v>
                </c:pt>
                <c:pt idx="942" formatCode="0.00%">
                  <c:v>0.27340787364635055</c:v>
                </c:pt>
                <c:pt idx="943" formatCode="0.00%">
                  <c:v>0.27477618358809974</c:v>
                </c:pt>
                <c:pt idx="944" formatCode="0.00%">
                  <c:v>0.28976243533106594</c:v>
                </c:pt>
                <c:pt idx="945" formatCode="0.00%">
                  <c:v>0.26715274248406895</c:v>
                </c:pt>
                <c:pt idx="946" formatCode="0.00%">
                  <c:v>0.26972646832688274</c:v>
                </c:pt>
                <c:pt idx="947" formatCode="0.00%">
                  <c:v>0.28284269648279192</c:v>
                </c:pt>
                <c:pt idx="948" formatCode="0.00%">
                  <c:v>0.28442602655824434</c:v>
                </c:pt>
                <c:pt idx="949" formatCode="0.00%">
                  <c:v>0.29455803588881491</c:v>
                </c:pt>
                <c:pt idx="950" formatCode="0.00%">
                  <c:v>0.2917041322960241</c:v>
                </c:pt>
                <c:pt idx="951" formatCode="0.00%">
                  <c:v>0.2908310202379556</c:v>
                </c:pt>
                <c:pt idx="952" formatCode="0.00%">
                  <c:v>0.29913210055123329</c:v>
                </c:pt>
                <c:pt idx="953" formatCode="0.00%">
                  <c:v>0.28307726390137744</c:v>
                </c:pt>
                <c:pt idx="954" formatCode="0.00%">
                  <c:v>0.28585297835463996</c:v>
                </c:pt>
                <c:pt idx="955" formatCode="0.00%">
                  <c:v>0.29010125493568939</c:v>
                </c:pt>
                <c:pt idx="956" formatCode="0.00%">
                  <c:v>0.29417360595279973</c:v>
                </c:pt>
                <c:pt idx="957" formatCode="0.00%">
                  <c:v>0.30393421687061006</c:v>
                </c:pt>
                <c:pt idx="958" formatCode="0.00%">
                  <c:v>0.30321748309159857</c:v>
                </c:pt>
                <c:pt idx="959" formatCode="0.00%">
                  <c:v>0.30383648044619926</c:v>
                </c:pt>
                <c:pt idx="960" formatCode="0.00%">
                  <c:v>0.29635638609797099</c:v>
                </c:pt>
                <c:pt idx="961" formatCode="0.00%">
                  <c:v>0.29631729152820663</c:v>
                </c:pt>
                <c:pt idx="962" formatCode="0.00%">
                  <c:v>0.27656150227400089</c:v>
                </c:pt>
                <c:pt idx="963" formatCode="0.00%">
                  <c:v>0.25353480068285172</c:v>
                </c:pt>
                <c:pt idx="964" formatCode="0.00%">
                  <c:v>0.25930124972308022</c:v>
                </c:pt>
                <c:pt idx="965" formatCode="0.00%">
                  <c:v>0.25146930424697356</c:v>
                </c:pt>
                <c:pt idx="966" formatCode="0.00%">
                  <c:v>0.24445182897428874</c:v>
                </c:pt>
                <c:pt idx="967" formatCode="0.00%">
                  <c:v>0.2267419888710791</c:v>
                </c:pt>
                <c:pt idx="968" formatCode="0.00%">
                  <c:v>0.23098374969050139</c:v>
                </c:pt>
                <c:pt idx="969" formatCode="0.00%">
                  <c:v>0.22698307205129198</c:v>
                </c:pt>
                <c:pt idx="970" formatCode="0.00%">
                  <c:v>0.23839868642245587</c:v>
                </c:pt>
                <c:pt idx="971" formatCode="0.00%">
                  <c:v>0.23037778385915519</c:v>
                </c:pt>
                <c:pt idx="972" formatCode="0.00%">
                  <c:v>0.20573517338441683</c:v>
                </c:pt>
                <c:pt idx="973" formatCode="0.00%">
                  <c:v>0.18771257672309316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CA8-44D6-940F-E36E1DF71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28975872"/>
        <c:axId val="328977408"/>
      </c:lineChart>
      <c:dateAx>
        <c:axId val="328975872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ko-KR"/>
          </a:p>
        </c:txPr>
        <c:crossAx val="328977408"/>
        <c:crosses val="autoZero"/>
        <c:auto val="1"/>
        <c:lblOffset val="100"/>
        <c:baseTimeUnit val="days"/>
      </c:dateAx>
      <c:valAx>
        <c:axId val="328977408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ko-KR"/>
          </a:p>
        </c:txPr>
        <c:crossAx val="32897587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11500404852973692"/>
          <c:y val="6.7889255304436597E-2"/>
          <c:w val="0.12798970133639428"/>
          <c:h val="0.12910601227573287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0</xdr:col>
          <xdr:colOff>590550</xdr:colOff>
          <xdr:row>0</xdr:row>
          <xdr:rowOff>171450</xdr:rowOff>
        </xdr:to>
        <xdr:sp macro="" textlink="">
          <xdr:nvSpPr>
            <xdr:cNvPr id="4097" name="FnBt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 fPrintsWithSheet="0"/>
      </xdr:twoCellAnchor>
    </mc:Choice>
    <mc:Fallback/>
  </mc:AlternateContent>
  <xdr:twoCellAnchor>
    <xdr:from>
      <xdr:col>16</xdr:col>
      <xdr:colOff>266699</xdr:colOff>
      <xdr:row>9</xdr:row>
      <xdr:rowOff>52387</xdr:rowOff>
    </xdr:from>
    <xdr:to>
      <xdr:col>26</xdr:col>
      <xdr:colOff>100012</xdr:colOff>
      <xdr:row>27</xdr:row>
      <xdr:rowOff>180975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omments" Target="../comments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P2667"/>
  <sheetViews>
    <sheetView showGridLines="0" tabSelected="1" workbookViewId="0">
      <selection activeCell="D13" sqref="D13"/>
    </sheetView>
  </sheetViews>
  <sheetFormatPr defaultRowHeight="16.5" x14ac:dyDescent="0.3"/>
  <cols>
    <col min="1" max="1" width="11.625" bestFit="1" customWidth="1"/>
    <col min="2" max="2" width="10.125" bestFit="1" customWidth="1"/>
    <col min="5" max="5" width="10.25" bestFit="1" customWidth="1"/>
    <col min="6" max="6" width="12.375" bestFit="1" customWidth="1"/>
    <col min="7" max="7" width="1.25" customWidth="1"/>
    <col min="8" max="9" width="10.75" style="67" customWidth="1"/>
    <col min="10" max="11" width="10.75" style="68" customWidth="1"/>
    <col min="12" max="12" width="9.625" bestFit="1" customWidth="1"/>
    <col min="13" max="13" width="9.625" customWidth="1"/>
    <col min="14" max="14" width="10.125" bestFit="1" customWidth="1"/>
  </cols>
  <sheetData>
    <row r="1" spans="1:16" x14ac:dyDescent="0.3">
      <c r="B1" s="22" t="s">
        <v>43</v>
      </c>
      <c r="H1" s="54"/>
      <c r="I1" s="54"/>
      <c r="J1"/>
      <c r="K1"/>
    </row>
    <row r="2" spans="1:16" x14ac:dyDescent="0.3">
      <c r="A2" s="2" t="s">
        <v>0</v>
      </c>
      <c r="B2" s="2"/>
      <c r="C2" s="2"/>
      <c r="D2" s="2"/>
      <c r="E2" s="2"/>
      <c r="F2" s="2"/>
      <c r="H2" s="54"/>
      <c r="I2" s="54"/>
      <c r="J2"/>
      <c r="K2"/>
    </row>
    <row r="3" spans="1:16" x14ac:dyDescent="0.3">
      <c r="A3" s="3" t="s">
        <v>1</v>
      </c>
      <c r="B3" s="3" t="s">
        <v>2</v>
      </c>
      <c r="C3" s="19" t="s">
        <v>28</v>
      </c>
      <c r="D3" s="5"/>
      <c r="E3" s="5"/>
      <c r="F3" s="5"/>
      <c r="H3" s="54"/>
      <c r="I3" s="54"/>
      <c r="J3"/>
      <c r="K3"/>
    </row>
    <row r="4" spans="1:16" x14ac:dyDescent="0.3">
      <c r="A4" s="3" t="s">
        <v>3</v>
      </c>
      <c r="B4" s="3" t="s">
        <v>2</v>
      </c>
      <c r="C4" s="3" t="s">
        <v>2</v>
      </c>
      <c r="D4" s="5"/>
      <c r="E4" s="5"/>
      <c r="F4" s="5"/>
      <c r="H4" s="54"/>
      <c r="I4" s="54"/>
      <c r="J4"/>
      <c r="K4"/>
    </row>
    <row r="5" spans="1:16" x14ac:dyDescent="0.3">
      <c r="A5" s="3" t="s">
        <v>4</v>
      </c>
      <c r="B5" s="20" t="s">
        <v>24</v>
      </c>
      <c r="C5" s="21" t="s">
        <v>26</v>
      </c>
      <c r="D5" s="5"/>
      <c r="E5" s="5"/>
      <c r="F5" s="5"/>
      <c r="H5" s="54"/>
      <c r="I5" s="54"/>
      <c r="J5"/>
      <c r="K5"/>
    </row>
    <row r="6" spans="1:16" x14ac:dyDescent="0.3">
      <c r="A6" s="3" t="s">
        <v>5</v>
      </c>
      <c r="B6" s="23" t="s">
        <v>25</v>
      </c>
      <c r="C6" s="19" t="s">
        <v>27</v>
      </c>
      <c r="D6" s="5"/>
      <c r="E6" s="5"/>
      <c r="F6" s="5"/>
      <c r="H6" s="54"/>
      <c r="I6" s="54"/>
      <c r="J6"/>
      <c r="K6"/>
    </row>
    <row r="7" spans="1:16" x14ac:dyDescent="0.3">
      <c r="A7" s="3" t="s">
        <v>6</v>
      </c>
      <c r="B7" s="24" t="s">
        <v>23</v>
      </c>
      <c r="C7" s="3" t="s">
        <v>2</v>
      </c>
      <c r="D7" s="5"/>
      <c r="E7" s="5"/>
      <c r="F7" s="5"/>
      <c r="H7" s="54"/>
      <c r="I7" s="54"/>
      <c r="J7"/>
      <c r="K7"/>
    </row>
    <row r="8" spans="1:16" ht="17.25" thickBot="1" x14ac:dyDescent="0.35">
      <c r="A8" s="4" t="s">
        <v>7</v>
      </c>
      <c r="B8" s="4">
        <v>20090729</v>
      </c>
      <c r="C8" s="4" t="s">
        <v>44</v>
      </c>
      <c r="D8" s="6"/>
      <c r="E8" s="5"/>
      <c r="F8" s="5"/>
      <c r="H8" s="54"/>
      <c r="I8" s="54"/>
      <c r="J8"/>
      <c r="K8"/>
    </row>
    <row r="9" spans="1:16" ht="15" customHeight="1" x14ac:dyDescent="0.3">
      <c r="A9" s="7" t="s">
        <v>8</v>
      </c>
      <c r="B9" s="10" t="s">
        <v>12</v>
      </c>
      <c r="C9" s="10" t="s">
        <v>33</v>
      </c>
      <c r="D9" s="72" t="s">
        <v>18</v>
      </c>
      <c r="E9" s="40"/>
      <c r="F9" s="41"/>
      <c r="H9" s="55"/>
      <c r="I9" s="57"/>
      <c r="J9" s="84" t="str">
        <f>B10</f>
        <v>KODEX 200</v>
      </c>
      <c r="K9" s="86" t="str">
        <f>C10</f>
        <v>KODEX 국고채</v>
      </c>
      <c r="L9" s="29"/>
      <c r="M9" s="30"/>
      <c r="N9" s="30"/>
      <c r="O9" s="31"/>
      <c r="P9" s="32"/>
    </row>
    <row r="10" spans="1:16" x14ac:dyDescent="0.3">
      <c r="A10" s="8" t="s">
        <v>9</v>
      </c>
      <c r="B10" s="11" t="s">
        <v>13</v>
      </c>
      <c r="C10" s="11" t="s">
        <v>34</v>
      </c>
      <c r="D10" s="73" t="s">
        <v>19</v>
      </c>
      <c r="E10" s="42"/>
      <c r="F10" s="43"/>
      <c r="H10" s="52"/>
      <c r="I10" s="58"/>
      <c r="J10" s="85"/>
      <c r="K10" s="87"/>
      <c r="L10" s="33" t="s">
        <v>37</v>
      </c>
      <c r="M10" s="34"/>
      <c r="N10" s="34">
        <f t="array" ref="N10">SUM(--(($J$16:$J$987)=($J$17:$J$988)))</f>
        <v>495</v>
      </c>
      <c r="O10" s="35"/>
      <c r="P10" s="36"/>
    </row>
    <row r="11" spans="1:16" x14ac:dyDescent="0.3">
      <c r="A11" s="8" t="s">
        <v>10</v>
      </c>
      <c r="B11" s="11" t="s">
        <v>14</v>
      </c>
      <c r="C11" s="11" t="s">
        <v>14</v>
      </c>
      <c r="D11" s="73" t="s">
        <v>20</v>
      </c>
      <c r="E11" s="44"/>
      <c r="F11" s="45"/>
      <c r="H11" s="52"/>
      <c r="I11" s="58"/>
      <c r="J11" s="85"/>
      <c r="K11" s="87"/>
      <c r="L11" s="33" t="s">
        <v>41</v>
      </c>
      <c r="M11" s="34"/>
      <c r="N11" s="34">
        <f>COUNTA($A$16:$A$1048576)</f>
        <v>973</v>
      </c>
      <c r="O11" s="35"/>
      <c r="P11" s="36"/>
    </row>
    <row r="12" spans="1:16" x14ac:dyDescent="0.3">
      <c r="A12" s="8" t="s">
        <v>3</v>
      </c>
      <c r="B12" s="11" t="s">
        <v>15</v>
      </c>
      <c r="C12" s="11" t="s">
        <v>15</v>
      </c>
      <c r="D12" s="73" t="s">
        <v>21</v>
      </c>
      <c r="E12" s="44"/>
      <c r="F12" s="45"/>
      <c r="H12" s="80" t="s">
        <v>40</v>
      </c>
      <c r="I12" s="81"/>
      <c r="J12" s="85"/>
      <c r="K12" s="87"/>
      <c r="L12" s="33" t="s">
        <v>38</v>
      </c>
      <c r="M12" s="34"/>
      <c r="N12" s="61">
        <f>SUM(M16:M988)</f>
        <v>0.44783196646717693</v>
      </c>
      <c r="O12" s="75"/>
      <c r="P12" s="36"/>
    </row>
    <row r="13" spans="1:16" x14ac:dyDescent="0.3">
      <c r="A13" s="8" t="s">
        <v>11</v>
      </c>
      <c r="B13" s="11" t="s">
        <v>16</v>
      </c>
      <c r="C13" s="11" t="s">
        <v>16</v>
      </c>
      <c r="D13" s="73" t="s">
        <v>22</v>
      </c>
      <c r="E13" s="42" t="str">
        <f>B10</f>
        <v>KODEX 200</v>
      </c>
      <c r="F13" s="43" t="str">
        <f>C10</f>
        <v>KODEX 국고채</v>
      </c>
      <c r="H13" s="78" t="s">
        <v>29</v>
      </c>
      <c r="I13" s="79"/>
      <c r="J13" s="85"/>
      <c r="K13" s="87"/>
      <c r="L13" s="37"/>
      <c r="M13" s="61"/>
      <c r="N13" s="34"/>
      <c r="O13" s="35"/>
      <c r="P13" s="36"/>
    </row>
    <row r="14" spans="1:16" x14ac:dyDescent="0.3">
      <c r="A14" s="9" t="s">
        <v>4</v>
      </c>
      <c r="B14" s="12" t="s">
        <v>17</v>
      </c>
      <c r="C14" s="12" t="s">
        <v>17</v>
      </c>
      <c r="D14" s="74" t="s">
        <v>17</v>
      </c>
      <c r="E14" s="46" t="s">
        <v>32</v>
      </c>
      <c r="F14" s="47" t="s">
        <v>32</v>
      </c>
      <c r="H14" s="53" t="s">
        <v>30</v>
      </c>
      <c r="I14" s="59" t="s">
        <v>31</v>
      </c>
      <c r="J14" s="82" t="s">
        <v>42</v>
      </c>
      <c r="K14" s="83"/>
      <c r="L14" s="69" t="s">
        <v>45</v>
      </c>
      <c r="M14" s="76" t="s">
        <v>46</v>
      </c>
      <c r="N14" s="63" t="s">
        <v>35</v>
      </c>
      <c r="O14" s="48" t="s">
        <v>39</v>
      </c>
      <c r="P14" s="62" t="s">
        <v>36</v>
      </c>
    </row>
    <row r="15" spans="1:16" x14ac:dyDescent="0.3">
      <c r="A15" s="17">
        <v>40023</v>
      </c>
      <c r="B15" s="13">
        <v>19975</v>
      </c>
      <c r="C15" s="13">
        <v>51805</v>
      </c>
      <c r="D15" s="14">
        <v>1524.32</v>
      </c>
      <c r="E15" s="27"/>
      <c r="F15" s="26"/>
      <c r="H15" s="56"/>
      <c r="I15" s="60"/>
      <c r="J15" s="25"/>
      <c r="K15" s="38"/>
      <c r="L15" s="27"/>
      <c r="M15" s="25"/>
      <c r="N15" s="49">
        <v>40023</v>
      </c>
      <c r="O15" s="25">
        <v>0</v>
      </c>
      <c r="P15" s="26">
        <v>0</v>
      </c>
    </row>
    <row r="16" spans="1:16" x14ac:dyDescent="0.3">
      <c r="A16" s="18">
        <v>40024</v>
      </c>
      <c r="B16" s="15">
        <v>20095</v>
      </c>
      <c r="C16" s="15">
        <v>51890</v>
      </c>
      <c r="D16" s="16">
        <v>1534.74</v>
      </c>
      <c r="E16" s="28">
        <f>B16/B15-1</f>
        <v>6.007509386733334E-3</v>
      </c>
      <c r="F16" s="39">
        <f>C16/C15-1</f>
        <v>1.6407682656114364E-3</v>
      </c>
      <c r="H16" s="64">
        <f>IF($D15&lt;=1850,0.9,IF(AND($D15&lt;=1900,$D15&gt;1850),0.7,IF(AND($D15&lt;=1950,$D15&gt;1900),0.5,IF(AND($D15&lt;=2000,$D15&gt;1950),0.3,IF($D15&gt;2000,0.2,0)))))</f>
        <v>0.9</v>
      </c>
      <c r="I16" s="65">
        <f>IF($D15&lt;=1850,1,IF(AND($D15&lt;=1900,$D15&gt;1850),0.9,IF(AND($D15&lt;=1950,$D15&gt;1900),0.7,IF(AND($D15&lt;=2000,$D15&gt;1950),0.5,IF($D15&gt;2000,0.3,0)))))</f>
        <v>1</v>
      </c>
      <c r="J16" s="66">
        <v>1</v>
      </c>
      <c r="K16" s="65">
        <f>1-J16</f>
        <v>0</v>
      </c>
      <c r="L16" s="28"/>
      <c r="M16" s="71"/>
      <c r="N16" s="50">
        <v>40024</v>
      </c>
      <c r="O16" s="25">
        <f t="shared" ref="O16" si="0">O15+L16</f>
        <v>0</v>
      </c>
      <c r="P16" s="26">
        <v>0</v>
      </c>
    </row>
    <row r="17" spans="1:16" x14ac:dyDescent="0.3">
      <c r="A17" s="17">
        <v>40025</v>
      </c>
      <c r="B17" s="13">
        <v>20420</v>
      </c>
      <c r="C17" s="13">
        <v>51840</v>
      </c>
      <c r="D17" s="14">
        <v>1557.29</v>
      </c>
      <c r="E17" s="28">
        <f t="shared" ref="E17:F80" si="1">B17/B16-1</f>
        <v>1.6173177407315276E-2</v>
      </c>
      <c r="F17" s="39">
        <f t="shared" si="1"/>
        <v>-9.6357679707070876E-4</v>
      </c>
      <c r="H17" s="64">
        <f>IF($D16&lt;=1850,0.9,IF(AND($D16&lt;=1900,$D16&gt;1850),0.7,IF(AND($D16&lt;=1950,$D16&gt;1900),0.5,IF(AND($D16&lt;=2000,$D16&gt;1950),0.3,IF($D16&gt;2000,0.2,0)))))</f>
        <v>0.9</v>
      </c>
      <c r="I17" s="65">
        <f>IF($D16&lt;=1850,1,IF(AND($D16&lt;=1900,$D16&gt;1850),0.9,IF(AND($D16&lt;=1950,$D16&gt;1900),0.7,IF(AND($D16&lt;=2000,$D16&gt;1950),0.5,IF($D16&gt;2000,0.3,0)))))</f>
        <v>1</v>
      </c>
      <c r="J17" s="66">
        <v>1</v>
      </c>
      <c r="K17" s="65">
        <f t="shared" ref="K17:K80" si="2">1-J17</f>
        <v>0</v>
      </c>
      <c r="L17" s="28">
        <f>E16*J17+F16*K17</f>
        <v>6.007509386733334E-3</v>
      </c>
      <c r="M17" s="71">
        <f>E17*J17+F17*K17</f>
        <v>1.6173177407315276E-2</v>
      </c>
      <c r="N17" s="51">
        <v>40025</v>
      </c>
      <c r="O17" s="77">
        <f>O16+M17</f>
        <v>1.6173177407315276E-2</v>
      </c>
      <c r="P17" s="39">
        <f>D17/$D$16-1</f>
        <v>1.4693042469734241E-2</v>
      </c>
    </row>
    <row r="18" spans="1:16" x14ac:dyDescent="0.3">
      <c r="A18" s="17">
        <v>40028</v>
      </c>
      <c r="B18" s="13">
        <v>20455</v>
      </c>
      <c r="C18" s="13">
        <v>51640</v>
      </c>
      <c r="D18" s="14">
        <v>1564.98</v>
      </c>
      <c r="E18" s="28">
        <f t="shared" si="1"/>
        <v>1.714005876591651E-3</v>
      </c>
      <c r="F18" s="39">
        <f t="shared" si="1"/>
        <v>-3.8580246913579863E-3</v>
      </c>
      <c r="H18" s="64">
        <f t="shared" ref="H18:H81" si="3">IF($D17&lt;=1850,0.9,IF(AND($D17&lt;=1900,$D17&gt;1850),0.7,IF(AND($D17&lt;=1950,$D17&gt;1900),0.5,IF(AND($D17&lt;=2000,$D17&gt;1950),0.3,IF($D17&gt;2000,0.2,0)))))</f>
        <v>0.9</v>
      </c>
      <c r="I18" s="65">
        <f t="shared" ref="I18:I81" si="4">IF($D17&lt;=1850,1,IF(AND($D17&lt;=1900,$D17&gt;1850),0.9,IF(AND($D17&lt;=1950,$D17&gt;1900),0.7,IF(AND($D17&lt;=2000,$D17&gt;1950),0.5,IF($D17&gt;2000,0.3,0)))))</f>
        <v>1</v>
      </c>
      <c r="J18" s="66">
        <v>1</v>
      </c>
      <c r="K18" s="65">
        <f t="shared" si="2"/>
        <v>0</v>
      </c>
      <c r="L18" s="28">
        <f t="shared" ref="L18:L81" si="5">E17*J18+F17*K18</f>
        <v>1.6173177407315276E-2</v>
      </c>
      <c r="M18" s="71">
        <f>E18*J18+F18*K18</f>
        <v>1.714005876591651E-3</v>
      </c>
      <c r="N18" s="51">
        <v>40028</v>
      </c>
      <c r="O18" s="77">
        <f t="shared" ref="O18:O81" si="6">O17+M18</f>
        <v>1.7887183283906927E-2</v>
      </c>
      <c r="P18" s="39">
        <f t="shared" ref="P18:P81" si="7">D18/$D$16-1</f>
        <v>1.970366316118688E-2</v>
      </c>
    </row>
    <row r="19" spans="1:16" x14ac:dyDescent="0.3">
      <c r="A19" s="18">
        <v>40029</v>
      </c>
      <c r="B19" s="15">
        <v>20490</v>
      </c>
      <c r="C19" s="15">
        <v>51645</v>
      </c>
      <c r="D19" s="70">
        <v>1566.37</v>
      </c>
      <c r="E19" s="71">
        <f t="shared" si="1"/>
        <v>1.7110730872647029E-3</v>
      </c>
      <c r="F19" s="39">
        <f t="shared" si="1"/>
        <v>9.6824167312270504E-5</v>
      </c>
      <c r="H19" s="64">
        <f t="shared" si="3"/>
        <v>0.9</v>
      </c>
      <c r="I19" s="65">
        <f t="shared" si="4"/>
        <v>1</v>
      </c>
      <c r="J19" s="66">
        <v>1</v>
      </c>
      <c r="K19" s="65">
        <f t="shared" si="2"/>
        <v>0</v>
      </c>
      <c r="L19" s="28">
        <f t="shared" si="5"/>
        <v>1.714005876591651E-3</v>
      </c>
      <c r="M19" s="71">
        <f>E19*J19+F19*K19</f>
        <v>1.7110730872647029E-3</v>
      </c>
      <c r="N19" s="50">
        <v>40029</v>
      </c>
      <c r="O19" s="77">
        <f t="shared" si="6"/>
        <v>1.959825637117163E-2</v>
      </c>
      <c r="P19" s="39">
        <f t="shared" si="7"/>
        <v>2.0609354027392168E-2</v>
      </c>
    </row>
    <row r="20" spans="1:16" x14ac:dyDescent="0.3">
      <c r="A20" s="17">
        <v>40030</v>
      </c>
      <c r="B20" s="13">
        <v>20405</v>
      </c>
      <c r="C20" s="13">
        <v>51590</v>
      </c>
      <c r="D20" s="14">
        <v>1559.47</v>
      </c>
      <c r="E20" s="28">
        <f t="shared" si="1"/>
        <v>-4.1483650561249252E-3</v>
      </c>
      <c r="F20" s="39">
        <f t="shared" si="1"/>
        <v>-1.0649627263046302E-3</v>
      </c>
      <c r="H20" s="64">
        <f t="shared" si="3"/>
        <v>0.9</v>
      </c>
      <c r="I20" s="65">
        <f t="shared" si="4"/>
        <v>1</v>
      </c>
      <c r="J20" s="66">
        <v>1</v>
      </c>
      <c r="K20" s="65">
        <f t="shared" si="2"/>
        <v>0</v>
      </c>
      <c r="L20" s="28">
        <f t="shared" si="5"/>
        <v>1.7110730872647029E-3</v>
      </c>
      <c r="M20" s="71">
        <f t="shared" ref="M20:M83" si="8">E20*J20+F20*K20</f>
        <v>-4.1483650561249252E-3</v>
      </c>
      <c r="N20" s="51">
        <v>40030</v>
      </c>
      <c r="O20" s="77">
        <f t="shared" si="6"/>
        <v>1.5449891315046704E-2</v>
      </c>
      <c r="P20" s="39">
        <f t="shared" si="7"/>
        <v>1.611347850450251E-2</v>
      </c>
    </row>
    <row r="21" spans="1:16" x14ac:dyDescent="0.3">
      <c r="A21" s="18">
        <v>40031</v>
      </c>
      <c r="B21" s="15">
        <v>20480</v>
      </c>
      <c r="C21" s="15">
        <v>51510</v>
      </c>
      <c r="D21" s="16">
        <v>1565.04</v>
      </c>
      <c r="E21" s="28">
        <f t="shared" si="1"/>
        <v>3.6755697133055154E-3</v>
      </c>
      <c r="F21" s="39">
        <f t="shared" si="1"/>
        <v>-1.5506881178523058E-3</v>
      </c>
      <c r="H21" s="64">
        <f t="shared" si="3"/>
        <v>0.9</v>
      </c>
      <c r="I21" s="65">
        <f t="shared" si="4"/>
        <v>1</v>
      </c>
      <c r="J21" s="66">
        <v>0.9</v>
      </c>
      <c r="K21" s="65">
        <f t="shared" si="2"/>
        <v>9.9999999999999978E-2</v>
      </c>
      <c r="L21" s="28">
        <f t="shared" si="5"/>
        <v>-3.8400248231428959E-3</v>
      </c>
      <c r="M21" s="71">
        <f t="shared" si="8"/>
        <v>3.1529439301897335E-3</v>
      </c>
      <c r="N21" s="50">
        <v>40031</v>
      </c>
      <c r="O21" s="77">
        <f t="shared" si="6"/>
        <v>1.8602835245236437E-2</v>
      </c>
      <c r="P21" s="39">
        <f t="shared" si="7"/>
        <v>1.9742757730951244E-2</v>
      </c>
    </row>
    <row r="22" spans="1:16" x14ac:dyDescent="0.3">
      <c r="A22" s="17">
        <v>40032</v>
      </c>
      <c r="B22" s="13">
        <v>20585</v>
      </c>
      <c r="C22" s="13">
        <v>51520</v>
      </c>
      <c r="D22" s="14">
        <v>1576</v>
      </c>
      <c r="E22" s="28">
        <f t="shared" si="1"/>
        <v>5.126953125E-3</v>
      </c>
      <c r="F22" s="39">
        <f t="shared" si="1"/>
        <v>1.9413706076498727E-4</v>
      </c>
      <c r="H22" s="64">
        <f t="shared" si="3"/>
        <v>0.9</v>
      </c>
      <c r="I22" s="65">
        <f t="shared" si="4"/>
        <v>1</v>
      </c>
      <c r="J22" s="66">
        <v>1</v>
      </c>
      <c r="K22" s="65">
        <f t="shared" si="2"/>
        <v>0</v>
      </c>
      <c r="L22" s="28">
        <f t="shared" si="5"/>
        <v>3.6755697133055154E-3</v>
      </c>
      <c r="M22" s="71">
        <f t="shared" si="8"/>
        <v>5.126953125E-3</v>
      </c>
      <c r="N22" s="51">
        <v>40032</v>
      </c>
      <c r="O22" s="77">
        <f t="shared" si="6"/>
        <v>2.3729788370236437E-2</v>
      </c>
      <c r="P22" s="39">
        <f t="shared" si="7"/>
        <v>2.6884032474555841E-2</v>
      </c>
    </row>
    <row r="23" spans="1:16" x14ac:dyDescent="0.3">
      <c r="A23" s="17">
        <v>40035</v>
      </c>
      <c r="B23" s="13">
        <v>20580</v>
      </c>
      <c r="C23" s="13">
        <v>51485</v>
      </c>
      <c r="D23" s="14">
        <v>1576.11</v>
      </c>
      <c r="E23" s="28">
        <f t="shared" si="1"/>
        <v>-2.4289531212051685E-4</v>
      </c>
      <c r="F23" s="39">
        <f t="shared" si="1"/>
        <v>-6.7934782608691791E-4</v>
      </c>
      <c r="H23" s="64">
        <f t="shared" si="3"/>
        <v>0.9</v>
      </c>
      <c r="I23" s="65">
        <f t="shared" si="4"/>
        <v>1</v>
      </c>
      <c r="J23" s="66">
        <v>1</v>
      </c>
      <c r="K23" s="65">
        <f t="shared" si="2"/>
        <v>0</v>
      </c>
      <c r="L23" s="28">
        <f t="shared" si="5"/>
        <v>5.126953125E-3</v>
      </c>
      <c r="M23" s="71">
        <f t="shared" si="8"/>
        <v>-2.4289531212051685E-4</v>
      </c>
      <c r="N23" s="51">
        <v>40035</v>
      </c>
      <c r="O23" s="77">
        <f t="shared" si="6"/>
        <v>2.348689305811592E-2</v>
      </c>
      <c r="P23" s="39">
        <f t="shared" si="7"/>
        <v>2.695570585245699E-2</v>
      </c>
    </row>
    <row r="24" spans="1:16" x14ac:dyDescent="0.3">
      <c r="A24" s="18">
        <v>40036</v>
      </c>
      <c r="B24" s="15">
        <v>20600</v>
      </c>
      <c r="C24" s="15">
        <v>51585</v>
      </c>
      <c r="D24" s="70">
        <v>1579.21</v>
      </c>
      <c r="E24" s="71">
        <f t="shared" si="1"/>
        <v>9.7181729834794339E-4</v>
      </c>
      <c r="F24" s="39">
        <f t="shared" si="1"/>
        <v>1.9423132951346123E-3</v>
      </c>
      <c r="H24" s="64">
        <f t="shared" si="3"/>
        <v>0.9</v>
      </c>
      <c r="I24" s="65">
        <f t="shared" si="4"/>
        <v>1</v>
      </c>
      <c r="J24" s="66">
        <v>1</v>
      </c>
      <c r="K24" s="65">
        <f t="shared" si="2"/>
        <v>0</v>
      </c>
      <c r="L24" s="28">
        <f t="shared" si="5"/>
        <v>-2.4289531212051685E-4</v>
      </c>
      <c r="M24" s="71">
        <f t="shared" si="8"/>
        <v>9.7181729834794339E-4</v>
      </c>
      <c r="N24" s="50">
        <v>40036</v>
      </c>
      <c r="O24" s="77">
        <f t="shared" si="6"/>
        <v>2.4458710356463863E-2</v>
      </c>
      <c r="P24" s="39">
        <f t="shared" si="7"/>
        <v>2.897559195694388E-2</v>
      </c>
    </row>
    <row r="25" spans="1:16" x14ac:dyDescent="0.3">
      <c r="A25" s="17">
        <v>40037</v>
      </c>
      <c r="B25" s="13">
        <v>20385</v>
      </c>
      <c r="C25" s="13">
        <v>51515</v>
      </c>
      <c r="D25" s="14">
        <v>1565.35</v>
      </c>
      <c r="E25" s="28">
        <f t="shared" si="1"/>
        <v>-1.0436893203883524E-2</v>
      </c>
      <c r="F25" s="39">
        <f t="shared" si="1"/>
        <v>-1.3569836192691698E-3</v>
      </c>
      <c r="H25" s="64">
        <f t="shared" si="3"/>
        <v>0.9</v>
      </c>
      <c r="I25" s="65">
        <f t="shared" si="4"/>
        <v>1</v>
      </c>
      <c r="J25" s="66">
        <v>0.9</v>
      </c>
      <c r="K25" s="65">
        <f t="shared" si="2"/>
        <v>9.9999999999999978E-2</v>
      </c>
      <c r="L25" s="28">
        <f t="shared" si="5"/>
        <v>1.0688668980266102E-3</v>
      </c>
      <c r="M25" s="71">
        <f t="shared" si="8"/>
        <v>-9.5289022454220895E-3</v>
      </c>
      <c r="N25" s="51">
        <v>40037</v>
      </c>
      <c r="O25" s="77">
        <f t="shared" si="6"/>
        <v>1.4929808111041774E-2</v>
      </c>
      <c r="P25" s="39">
        <f t="shared" si="7"/>
        <v>1.9944746341399755E-2</v>
      </c>
    </row>
    <row r="26" spans="1:16" x14ac:dyDescent="0.3">
      <c r="A26" s="18">
        <v>40038</v>
      </c>
      <c r="B26" s="15">
        <v>20500</v>
      </c>
      <c r="C26" s="15">
        <v>51500</v>
      </c>
      <c r="D26" s="16">
        <v>1564.64</v>
      </c>
      <c r="E26" s="28">
        <f t="shared" si="1"/>
        <v>5.6414029923963493E-3</v>
      </c>
      <c r="F26" s="39">
        <f t="shared" si="1"/>
        <v>-2.9117732699213139E-4</v>
      </c>
      <c r="H26" s="64">
        <f t="shared" si="3"/>
        <v>0.9</v>
      </c>
      <c r="I26" s="65">
        <f t="shared" si="4"/>
        <v>1</v>
      </c>
      <c r="J26" s="66">
        <v>0.9</v>
      </c>
      <c r="K26" s="65">
        <f t="shared" si="2"/>
        <v>9.9999999999999978E-2</v>
      </c>
      <c r="L26" s="28">
        <f t="shared" si="5"/>
        <v>-9.5289022454220895E-3</v>
      </c>
      <c r="M26" s="71">
        <f t="shared" si="8"/>
        <v>5.0481449604575009E-3</v>
      </c>
      <c r="N26" s="50">
        <v>40038</v>
      </c>
      <c r="O26" s="77">
        <f t="shared" si="6"/>
        <v>1.9977953071499275E-2</v>
      </c>
      <c r="P26" s="39">
        <f t="shared" si="7"/>
        <v>1.9482127265856075E-2</v>
      </c>
    </row>
    <row r="27" spans="1:16" x14ac:dyDescent="0.3">
      <c r="A27" s="17">
        <v>40039</v>
      </c>
      <c r="B27" s="13">
        <v>20740</v>
      </c>
      <c r="C27" s="13">
        <v>51410</v>
      </c>
      <c r="D27" s="14">
        <v>1591.41</v>
      </c>
      <c r="E27" s="28">
        <f t="shared" si="1"/>
        <v>1.1707317073170742E-2</v>
      </c>
      <c r="F27" s="39">
        <f t="shared" si="1"/>
        <v>-1.7475728155339487E-3</v>
      </c>
      <c r="H27" s="64">
        <f t="shared" si="3"/>
        <v>0.9</v>
      </c>
      <c r="I27" s="65">
        <f t="shared" si="4"/>
        <v>1</v>
      </c>
      <c r="J27" s="66">
        <v>1</v>
      </c>
      <c r="K27" s="65">
        <f t="shared" si="2"/>
        <v>0</v>
      </c>
      <c r="L27" s="28">
        <f t="shared" si="5"/>
        <v>5.6414029923963493E-3</v>
      </c>
      <c r="M27" s="71">
        <f t="shared" si="8"/>
        <v>1.1707317073170742E-2</v>
      </c>
      <c r="N27" s="51">
        <v>40039</v>
      </c>
      <c r="O27" s="77">
        <f t="shared" si="6"/>
        <v>3.1685270144670014E-2</v>
      </c>
      <c r="P27" s="39">
        <f t="shared" si="7"/>
        <v>3.6924821142343411E-2</v>
      </c>
    </row>
    <row r="28" spans="1:16" x14ac:dyDescent="0.3">
      <c r="A28" s="17">
        <v>40042</v>
      </c>
      <c r="B28" s="13">
        <v>20155</v>
      </c>
      <c r="C28" s="13">
        <v>51495</v>
      </c>
      <c r="D28" s="14">
        <v>1547.06</v>
      </c>
      <c r="E28" s="28">
        <f t="shared" si="1"/>
        <v>-2.8206364513018278E-2</v>
      </c>
      <c r="F28" s="39">
        <f t="shared" si="1"/>
        <v>1.6533748297995476E-3</v>
      </c>
      <c r="H28" s="64">
        <f t="shared" si="3"/>
        <v>0.9</v>
      </c>
      <c r="I28" s="65">
        <f t="shared" si="4"/>
        <v>1</v>
      </c>
      <c r="J28" s="66">
        <v>1</v>
      </c>
      <c r="K28" s="65">
        <f t="shared" si="2"/>
        <v>0</v>
      </c>
      <c r="L28" s="28">
        <f t="shared" si="5"/>
        <v>1.1707317073170742E-2</v>
      </c>
      <c r="M28" s="71">
        <f t="shared" si="8"/>
        <v>-2.8206364513018278E-2</v>
      </c>
      <c r="N28" s="51">
        <v>40042</v>
      </c>
      <c r="O28" s="77">
        <f t="shared" si="6"/>
        <v>3.4789056316517353E-3</v>
      </c>
      <c r="P28" s="39">
        <f t="shared" si="7"/>
        <v>8.0274183249280373E-3</v>
      </c>
    </row>
    <row r="29" spans="1:16" x14ac:dyDescent="0.3">
      <c r="A29" s="18">
        <v>40043</v>
      </c>
      <c r="B29" s="15">
        <v>20225</v>
      </c>
      <c r="C29" s="15">
        <v>51520</v>
      </c>
      <c r="D29" s="70">
        <v>1550.24</v>
      </c>
      <c r="E29" s="71">
        <f t="shared" si="1"/>
        <v>3.4730836020837597E-3</v>
      </c>
      <c r="F29" s="39">
        <f t="shared" si="1"/>
        <v>4.8548402757542242E-4</v>
      </c>
      <c r="H29" s="64">
        <f t="shared" si="3"/>
        <v>0.9</v>
      </c>
      <c r="I29" s="65">
        <f t="shared" si="4"/>
        <v>1</v>
      </c>
      <c r="J29" s="66">
        <v>0.9</v>
      </c>
      <c r="K29" s="65">
        <f t="shared" si="2"/>
        <v>9.9999999999999978E-2</v>
      </c>
      <c r="L29" s="28">
        <f t="shared" si="5"/>
        <v>-2.5220390578736495E-2</v>
      </c>
      <c r="M29" s="71">
        <f t="shared" si="8"/>
        <v>3.1743236446329262E-3</v>
      </c>
      <c r="N29" s="50">
        <v>40043</v>
      </c>
      <c r="O29" s="77">
        <f t="shared" si="6"/>
        <v>6.6532292762846619E-3</v>
      </c>
      <c r="P29" s="39">
        <f t="shared" si="7"/>
        <v>1.0099430522433783E-2</v>
      </c>
    </row>
    <row r="30" spans="1:16" x14ac:dyDescent="0.3">
      <c r="A30" s="17">
        <v>40044</v>
      </c>
      <c r="B30" s="13">
        <v>20200</v>
      </c>
      <c r="C30" s="13">
        <v>51680</v>
      </c>
      <c r="D30" s="14">
        <v>1545.96</v>
      </c>
      <c r="E30" s="28">
        <f t="shared" si="1"/>
        <v>-1.2360939431397266E-3</v>
      </c>
      <c r="F30" s="39">
        <f t="shared" si="1"/>
        <v>3.1055900621117516E-3</v>
      </c>
      <c r="H30" s="64">
        <f t="shared" si="3"/>
        <v>0.9</v>
      </c>
      <c r="I30" s="65">
        <f t="shared" si="4"/>
        <v>1</v>
      </c>
      <c r="J30" s="66">
        <v>1</v>
      </c>
      <c r="K30" s="65">
        <f t="shared" si="2"/>
        <v>0</v>
      </c>
      <c r="L30" s="28">
        <f t="shared" si="5"/>
        <v>3.4730836020837597E-3</v>
      </c>
      <c r="M30" s="71">
        <f t="shared" si="8"/>
        <v>-1.2360939431397266E-3</v>
      </c>
      <c r="N30" s="51">
        <v>40044</v>
      </c>
      <c r="O30" s="77">
        <f t="shared" si="6"/>
        <v>5.4171353331449353E-3</v>
      </c>
      <c r="P30" s="39">
        <f t="shared" si="7"/>
        <v>7.3106845459165459E-3</v>
      </c>
    </row>
    <row r="31" spans="1:16" x14ac:dyDescent="0.3">
      <c r="A31" s="18">
        <v>40045</v>
      </c>
      <c r="B31" s="15">
        <v>20620</v>
      </c>
      <c r="C31" s="15">
        <v>51620</v>
      </c>
      <c r="D31" s="16">
        <v>1576.39</v>
      </c>
      <c r="E31" s="28">
        <f t="shared" si="1"/>
        <v>2.0792079207920811E-2</v>
      </c>
      <c r="F31" s="39">
        <f t="shared" si="1"/>
        <v>-1.1609907120743168E-3</v>
      </c>
      <c r="H31" s="64">
        <f t="shared" si="3"/>
        <v>0.9</v>
      </c>
      <c r="I31" s="65">
        <f t="shared" si="4"/>
        <v>1</v>
      </c>
      <c r="J31" s="66">
        <v>0.9</v>
      </c>
      <c r="K31" s="65">
        <f t="shared" si="2"/>
        <v>9.9999999999999978E-2</v>
      </c>
      <c r="L31" s="28">
        <f t="shared" si="5"/>
        <v>-8.0192554261457902E-4</v>
      </c>
      <c r="M31" s="71">
        <f t="shared" si="8"/>
        <v>1.8596772215921299E-2</v>
      </c>
      <c r="N31" s="50">
        <v>40045</v>
      </c>
      <c r="O31" s="77">
        <f t="shared" si="6"/>
        <v>2.4013907549066234E-2</v>
      </c>
      <c r="P31" s="39">
        <f t="shared" si="7"/>
        <v>2.7138147178023653E-2</v>
      </c>
    </row>
    <row r="32" spans="1:16" x14ac:dyDescent="0.3">
      <c r="A32" s="17">
        <v>40046</v>
      </c>
      <c r="B32" s="13">
        <v>20750</v>
      </c>
      <c r="C32" s="13">
        <v>51695</v>
      </c>
      <c r="D32" s="14">
        <v>1580.98</v>
      </c>
      <c r="E32" s="28">
        <f t="shared" si="1"/>
        <v>6.3045586808923026E-3</v>
      </c>
      <c r="F32" s="39">
        <f t="shared" si="1"/>
        <v>1.4529252227819534E-3</v>
      </c>
      <c r="H32" s="64">
        <f t="shared" si="3"/>
        <v>0.9</v>
      </c>
      <c r="I32" s="65">
        <f t="shared" si="4"/>
        <v>1</v>
      </c>
      <c r="J32" s="66">
        <v>1</v>
      </c>
      <c r="K32" s="65">
        <f t="shared" si="2"/>
        <v>0</v>
      </c>
      <c r="L32" s="28">
        <f t="shared" si="5"/>
        <v>2.0792079207920811E-2</v>
      </c>
      <c r="M32" s="71">
        <f t="shared" si="8"/>
        <v>6.3045586808923026E-3</v>
      </c>
      <c r="N32" s="51">
        <v>40046</v>
      </c>
      <c r="O32" s="77">
        <f t="shared" si="6"/>
        <v>3.0318466229958537E-2</v>
      </c>
      <c r="P32" s="39">
        <f t="shared" si="7"/>
        <v>3.0128881764989623E-2</v>
      </c>
    </row>
    <row r="33" spans="1:16" x14ac:dyDescent="0.3">
      <c r="A33" s="17">
        <v>40049</v>
      </c>
      <c r="B33" s="13">
        <v>21170</v>
      </c>
      <c r="C33" s="13">
        <v>51615</v>
      </c>
      <c r="D33" s="14">
        <v>1612.22</v>
      </c>
      <c r="E33" s="28">
        <f t="shared" si="1"/>
        <v>2.0240963855421734E-2</v>
      </c>
      <c r="F33" s="39">
        <f t="shared" si="1"/>
        <v>-1.5475384466583364E-3</v>
      </c>
      <c r="H33" s="64">
        <f t="shared" si="3"/>
        <v>0.9</v>
      </c>
      <c r="I33" s="65">
        <f t="shared" si="4"/>
        <v>1</v>
      </c>
      <c r="J33" s="66">
        <v>1</v>
      </c>
      <c r="K33" s="65">
        <f t="shared" si="2"/>
        <v>0</v>
      </c>
      <c r="L33" s="28">
        <f t="shared" si="5"/>
        <v>6.3045586808923026E-3</v>
      </c>
      <c r="M33" s="71">
        <f t="shared" si="8"/>
        <v>2.0240963855421734E-2</v>
      </c>
      <c r="N33" s="51">
        <v>40049</v>
      </c>
      <c r="O33" s="77">
        <f t="shared" si="6"/>
        <v>5.0559430085380275E-2</v>
      </c>
      <c r="P33" s="39">
        <f t="shared" si="7"/>
        <v>5.0484121088914202E-2</v>
      </c>
    </row>
    <row r="34" spans="1:16" x14ac:dyDescent="0.3">
      <c r="A34" s="18">
        <v>40050</v>
      </c>
      <c r="B34" s="15">
        <v>21030</v>
      </c>
      <c r="C34" s="15">
        <v>51680</v>
      </c>
      <c r="D34" s="70">
        <v>1601.38</v>
      </c>
      <c r="E34" s="71">
        <f t="shared" si="1"/>
        <v>-6.6131317902692333E-3</v>
      </c>
      <c r="F34" s="39">
        <f t="shared" si="1"/>
        <v>1.2593238399689621E-3</v>
      </c>
      <c r="H34" s="64">
        <f t="shared" si="3"/>
        <v>0.9</v>
      </c>
      <c r="I34" s="65">
        <f t="shared" si="4"/>
        <v>1</v>
      </c>
      <c r="J34" s="66">
        <v>1</v>
      </c>
      <c r="K34" s="65">
        <f t="shared" si="2"/>
        <v>0</v>
      </c>
      <c r="L34" s="28">
        <f t="shared" si="5"/>
        <v>2.0240963855421734E-2</v>
      </c>
      <c r="M34" s="71">
        <f t="shared" si="8"/>
        <v>-6.6131317902692333E-3</v>
      </c>
      <c r="N34" s="50">
        <v>40050</v>
      </c>
      <c r="O34" s="77">
        <f t="shared" si="6"/>
        <v>4.3946298295111041E-2</v>
      </c>
      <c r="P34" s="39">
        <f t="shared" si="7"/>
        <v>4.3421035484837889E-2</v>
      </c>
    </row>
    <row r="35" spans="1:16" x14ac:dyDescent="0.3">
      <c r="A35" s="17">
        <v>40051</v>
      </c>
      <c r="B35" s="13">
        <v>21160</v>
      </c>
      <c r="C35" s="13">
        <v>51710</v>
      </c>
      <c r="D35" s="14">
        <v>1614.12</v>
      </c>
      <c r="E35" s="28">
        <f t="shared" si="1"/>
        <v>6.1816452686638268E-3</v>
      </c>
      <c r="F35" s="39">
        <f t="shared" si="1"/>
        <v>5.8049535603710289E-4</v>
      </c>
      <c r="H35" s="64">
        <f t="shared" si="3"/>
        <v>0.9</v>
      </c>
      <c r="I35" s="65">
        <f t="shared" si="4"/>
        <v>1</v>
      </c>
      <c r="J35" s="66">
        <v>0.9</v>
      </c>
      <c r="K35" s="65">
        <f t="shared" si="2"/>
        <v>9.9999999999999978E-2</v>
      </c>
      <c r="L35" s="28">
        <f t="shared" si="5"/>
        <v>-5.8258862272454141E-3</v>
      </c>
      <c r="M35" s="71">
        <f t="shared" si="8"/>
        <v>5.6215302774011546E-3</v>
      </c>
      <c r="N35" s="51">
        <v>40051</v>
      </c>
      <c r="O35" s="77">
        <f t="shared" si="6"/>
        <v>4.9567828572512199E-2</v>
      </c>
      <c r="P35" s="39">
        <f t="shared" si="7"/>
        <v>5.1722115798115587E-2</v>
      </c>
    </row>
    <row r="36" spans="1:16" x14ac:dyDescent="0.3">
      <c r="A36" s="18">
        <v>40052</v>
      </c>
      <c r="B36" s="15">
        <v>20960</v>
      </c>
      <c r="C36" s="15">
        <v>51735</v>
      </c>
      <c r="D36" s="16">
        <v>1599.33</v>
      </c>
      <c r="E36" s="28">
        <f t="shared" si="1"/>
        <v>-9.4517958412098091E-3</v>
      </c>
      <c r="F36" s="39">
        <f t="shared" si="1"/>
        <v>4.834654805647709E-4</v>
      </c>
      <c r="H36" s="64">
        <f t="shared" si="3"/>
        <v>0.9</v>
      </c>
      <c r="I36" s="65">
        <f t="shared" si="4"/>
        <v>1</v>
      </c>
      <c r="J36" s="66">
        <v>1</v>
      </c>
      <c r="K36" s="65">
        <f t="shared" si="2"/>
        <v>0</v>
      </c>
      <c r="L36" s="28">
        <f t="shared" si="5"/>
        <v>6.1816452686638268E-3</v>
      </c>
      <c r="M36" s="71">
        <f t="shared" si="8"/>
        <v>-9.4517958412098091E-3</v>
      </c>
      <c r="N36" s="50">
        <v>40052</v>
      </c>
      <c r="O36" s="77">
        <f t="shared" si="6"/>
        <v>4.011603273130239E-2</v>
      </c>
      <c r="P36" s="39">
        <f t="shared" si="7"/>
        <v>4.2085304351225483E-2</v>
      </c>
    </row>
    <row r="37" spans="1:16" x14ac:dyDescent="0.3">
      <c r="A37" s="17">
        <v>40053</v>
      </c>
      <c r="B37" s="13">
        <v>21065</v>
      </c>
      <c r="C37" s="13">
        <v>51635</v>
      </c>
      <c r="D37" s="14">
        <v>1607.94</v>
      </c>
      <c r="E37" s="28">
        <f t="shared" si="1"/>
        <v>5.0095419847329126E-3</v>
      </c>
      <c r="F37" s="39">
        <f t="shared" si="1"/>
        <v>-1.9329274185754253E-3</v>
      </c>
      <c r="H37" s="64">
        <f t="shared" si="3"/>
        <v>0.9</v>
      </c>
      <c r="I37" s="65">
        <f t="shared" si="4"/>
        <v>1</v>
      </c>
      <c r="J37" s="66">
        <v>0.9</v>
      </c>
      <c r="K37" s="65">
        <f t="shared" si="2"/>
        <v>9.9999999999999978E-2</v>
      </c>
      <c r="L37" s="28">
        <f t="shared" si="5"/>
        <v>-8.4582697090323528E-3</v>
      </c>
      <c r="M37" s="71">
        <f t="shared" si="8"/>
        <v>4.3152950444020786E-3</v>
      </c>
      <c r="N37" s="51">
        <v>40053</v>
      </c>
      <c r="O37" s="77">
        <f t="shared" si="6"/>
        <v>4.4431327775704466E-2</v>
      </c>
      <c r="P37" s="39">
        <f t="shared" si="7"/>
        <v>4.7695375112396965E-2</v>
      </c>
    </row>
    <row r="38" spans="1:16" x14ac:dyDescent="0.3">
      <c r="A38" s="17">
        <v>40056</v>
      </c>
      <c r="B38" s="13">
        <v>20840</v>
      </c>
      <c r="C38" s="13">
        <v>51630</v>
      </c>
      <c r="D38" s="14">
        <v>1591.85</v>
      </c>
      <c r="E38" s="28">
        <f t="shared" si="1"/>
        <v>-1.0681224780441534E-2</v>
      </c>
      <c r="F38" s="39">
        <f t="shared" si="1"/>
        <v>-9.6833543139385192E-5</v>
      </c>
      <c r="H38" s="64">
        <f t="shared" si="3"/>
        <v>0.9</v>
      </c>
      <c r="I38" s="65">
        <f t="shared" si="4"/>
        <v>1</v>
      </c>
      <c r="J38" s="66">
        <v>1</v>
      </c>
      <c r="K38" s="65">
        <f t="shared" si="2"/>
        <v>0</v>
      </c>
      <c r="L38" s="28">
        <f t="shared" si="5"/>
        <v>5.0095419847329126E-3</v>
      </c>
      <c r="M38" s="71">
        <f t="shared" si="8"/>
        <v>-1.0681224780441534E-2</v>
      </c>
      <c r="N38" s="51">
        <v>40056</v>
      </c>
      <c r="O38" s="77">
        <f t="shared" si="6"/>
        <v>3.3750102995262932E-2</v>
      </c>
      <c r="P38" s="39">
        <f t="shared" si="7"/>
        <v>3.7211514653947786E-2</v>
      </c>
    </row>
    <row r="39" spans="1:16" x14ac:dyDescent="0.3">
      <c r="A39" s="18">
        <v>40057</v>
      </c>
      <c r="B39" s="15">
        <v>21315</v>
      </c>
      <c r="C39" s="15">
        <v>51630</v>
      </c>
      <c r="D39" s="70">
        <v>1623.06</v>
      </c>
      <c r="E39" s="71">
        <f t="shared" si="1"/>
        <v>2.2792706333973234E-2</v>
      </c>
      <c r="F39" s="39">
        <f t="shared" si="1"/>
        <v>0</v>
      </c>
      <c r="H39" s="64">
        <f t="shared" si="3"/>
        <v>0.9</v>
      </c>
      <c r="I39" s="65">
        <f t="shared" si="4"/>
        <v>1</v>
      </c>
      <c r="J39" s="66">
        <v>0.9</v>
      </c>
      <c r="K39" s="65">
        <f t="shared" si="2"/>
        <v>9.9999999999999978E-2</v>
      </c>
      <c r="L39" s="28">
        <f t="shared" si="5"/>
        <v>-9.6227856567113208E-3</v>
      </c>
      <c r="M39" s="71">
        <f t="shared" si="8"/>
        <v>2.051343570057591E-2</v>
      </c>
      <c r="N39" s="50">
        <v>40057</v>
      </c>
      <c r="O39" s="77">
        <f t="shared" si="6"/>
        <v>5.4263538695838845E-2</v>
      </c>
      <c r="P39" s="39">
        <f t="shared" si="7"/>
        <v>5.7547206692990294E-2</v>
      </c>
    </row>
    <row r="40" spans="1:16" x14ac:dyDescent="0.3">
      <c r="A40" s="17">
        <v>40058</v>
      </c>
      <c r="B40" s="13">
        <v>21195</v>
      </c>
      <c r="C40" s="13">
        <v>51730</v>
      </c>
      <c r="D40" s="14">
        <v>1613.16</v>
      </c>
      <c r="E40" s="28">
        <f t="shared" si="1"/>
        <v>-5.6298381421534538E-3</v>
      </c>
      <c r="F40" s="39">
        <f t="shared" si="1"/>
        <v>1.9368584156498336E-3</v>
      </c>
      <c r="H40" s="64">
        <f t="shared" si="3"/>
        <v>0.9</v>
      </c>
      <c r="I40" s="65">
        <f t="shared" si="4"/>
        <v>1</v>
      </c>
      <c r="J40" s="66">
        <v>1</v>
      </c>
      <c r="K40" s="65">
        <f t="shared" si="2"/>
        <v>0</v>
      </c>
      <c r="L40" s="28">
        <f t="shared" si="5"/>
        <v>2.2792706333973234E-2</v>
      </c>
      <c r="M40" s="71">
        <f t="shared" si="8"/>
        <v>-5.6298381421534538E-3</v>
      </c>
      <c r="N40" s="51">
        <v>40058</v>
      </c>
      <c r="O40" s="77">
        <f t="shared" si="6"/>
        <v>4.8633700553685391E-2</v>
      </c>
      <c r="P40" s="39">
        <f t="shared" si="7"/>
        <v>5.1096602681887537E-2</v>
      </c>
    </row>
    <row r="41" spans="1:16" x14ac:dyDescent="0.3">
      <c r="A41" s="18">
        <v>40059</v>
      </c>
      <c r="B41" s="15">
        <v>21175</v>
      </c>
      <c r="C41" s="15">
        <v>51840</v>
      </c>
      <c r="D41" s="16">
        <v>1613.53</v>
      </c>
      <c r="E41" s="28">
        <f t="shared" si="1"/>
        <v>-9.4361877801363292E-4</v>
      </c>
      <c r="F41" s="39">
        <f t="shared" si="1"/>
        <v>2.1264256717572483E-3</v>
      </c>
      <c r="H41" s="64">
        <f t="shared" si="3"/>
        <v>0.9</v>
      </c>
      <c r="I41" s="65">
        <f t="shared" si="4"/>
        <v>1</v>
      </c>
      <c r="J41" s="66">
        <v>0.9</v>
      </c>
      <c r="K41" s="65">
        <f t="shared" si="2"/>
        <v>9.9999999999999978E-2</v>
      </c>
      <c r="L41" s="28">
        <f t="shared" si="5"/>
        <v>-4.8731684863731256E-3</v>
      </c>
      <c r="M41" s="71">
        <f t="shared" si="8"/>
        <v>-6.3661433303654493E-4</v>
      </c>
      <c r="N41" s="50">
        <v>40059</v>
      </c>
      <c r="O41" s="77">
        <f t="shared" si="6"/>
        <v>4.7997086220648848E-2</v>
      </c>
      <c r="P41" s="39">
        <f t="shared" si="7"/>
        <v>5.1337685862100413E-2</v>
      </c>
    </row>
    <row r="42" spans="1:16" x14ac:dyDescent="0.3">
      <c r="A42" s="17">
        <v>40060</v>
      </c>
      <c r="B42" s="13">
        <v>21120</v>
      </c>
      <c r="C42" s="13">
        <v>51810</v>
      </c>
      <c r="D42" s="14">
        <v>1608.9</v>
      </c>
      <c r="E42" s="28">
        <f t="shared" si="1"/>
        <v>-2.5974025974025983E-3</v>
      </c>
      <c r="F42" s="39">
        <f t="shared" si="1"/>
        <v>-5.7870370370372015E-4</v>
      </c>
      <c r="H42" s="64">
        <f t="shared" si="3"/>
        <v>0.9</v>
      </c>
      <c r="I42" s="65">
        <f t="shared" si="4"/>
        <v>1</v>
      </c>
      <c r="J42" s="66">
        <v>0.9</v>
      </c>
      <c r="K42" s="65">
        <f t="shared" si="2"/>
        <v>9.9999999999999978E-2</v>
      </c>
      <c r="L42" s="28">
        <f t="shared" si="5"/>
        <v>-6.3661433303654493E-4</v>
      </c>
      <c r="M42" s="71">
        <f t="shared" si="8"/>
        <v>-2.3955327080327107E-3</v>
      </c>
      <c r="N42" s="51">
        <v>40060</v>
      </c>
      <c r="O42" s="77">
        <f t="shared" si="6"/>
        <v>4.560155351261614E-2</v>
      </c>
      <c r="P42" s="39">
        <f t="shared" si="7"/>
        <v>4.8320888228625014E-2</v>
      </c>
    </row>
    <row r="43" spans="1:16" x14ac:dyDescent="0.3">
      <c r="A43" s="17">
        <v>40063</v>
      </c>
      <c r="B43" s="13">
        <v>21095</v>
      </c>
      <c r="C43" s="13">
        <v>51760</v>
      </c>
      <c r="D43" s="14">
        <v>1608.57</v>
      </c>
      <c r="E43" s="28">
        <f t="shared" si="1"/>
        <v>-1.1837121212121549E-3</v>
      </c>
      <c r="F43" s="39">
        <f t="shared" si="1"/>
        <v>-9.6506465933221541E-4</v>
      </c>
      <c r="H43" s="64">
        <f t="shared" si="3"/>
        <v>0.9</v>
      </c>
      <c r="I43" s="65">
        <f t="shared" si="4"/>
        <v>1</v>
      </c>
      <c r="J43" s="66">
        <v>0.9</v>
      </c>
      <c r="K43" s="65">
        <f t="shared" si="2"/>
        <v>9.9999999999999978E-2</v>
      </c>
      <c r="L43" s="28">
        <f t="shared" si="5"/>
        <v>-2.3955327080327107E-3</v>
      </c>
      <c r="M43" s="71">
        <f t="shared" si="8"/>
        <v>-1.161847375024161E-3</v>
      </c>
      <c r="N43" s="51">
        <v>40063</v>
      </c>
      <c r="O43" s="77">
        <f t="shared" si="6"/>
        <v>4.4439706137591982E-2</v>
      </c>
      <c r="P43" s="39">
        <f t="shared" si="7"/>
        <v>4.8105868094921567E-2</v>
      </c>
    </row>
    <row r="44" spans="1:16" x14ac:dyDescent="0.3">
      <c r="A44" s="18">
        <v>40064</v>
      </c>
      <c r="B44" s="15">
        <v>21250</v>
      </c>
      <c r="C44" s="15">
        <v>51820</v>
      </c>
      <c r="D44" s="70">
        <v>1619.69</v>
      </c>
      <c r="E44" s="71">
        <f t="shared" si="1"/>
        <v>7.3477127281347254E-3</v>
      </c>
      <c r="F44" s="39">
        <f t="shared" si="1"/>
        <v>1.1591962905719289E-3</v>
      </c>
      <c r="H44" s="64">
        <f t="shared" si="3"/>
        <v>0.9</v>
      </c>
      <c r="I44" s="65">
        <f t="shared" si="4"/>
        <v>1</v>
      </c>
      <c r="J44" s="66">
        <v>0.9</v>
      </c>
      <c r="K44" s="65">
        <f t="shared" si="2"/>
        <v>9.9999999999999978E-2</v>
      </c>
      <c r="L44" s="28">
        <f t="shared" si="5"/>
        <v>-1.161847375024161E-3</v>
      </c>
      <c r="M44" s="71">
        <f t="shared" si="8"/>
        <v>6.7288610843784452E-3</v>
      </c>
      <c r="N44" s="50">
        <v>40064</v>
      </c>
      <c r="O44" s="77">
        <f t="shared" si="6"/>
        <v>5.1168567221970426E-2</v>
      </c>
      <c r="P44" s="39">
        <f t="shared" si="7"/>
        <v>5.5351395024564543E-2</v>
      </c>
    </row>
    <row r="45" spans="1:16" x14ac:dyDescent="0.3">
      <c r="A45" s="17">
        <v>40065</v>
      </c>
      <c r="B45" s="13">
        <v>21140</v>
      </c>
      <c r="C45" s="13">
        <v>51890</v>
      </c>
      <c r="D45" s="14">
        <v>1607.77</v>
      </c>
      <c r="E45" s="28">
        <f t="shared" si="1"/>
        <v>-5.1764705882353379E-3</v>
      </c>
      <c r="F45" s="39">
        <f t="shared" si="1"/>
        <v>1.3508297954458737E-3</v>
      </c>
      <c r="H45" s="64">
        <f t="shared" si="3"/>
        <v>0.9</v>
      </c>
      <c r="I45" s="65">
        <f t="shared" si="4"/>
        <v>1</v>
      </c>
      <c r="J45" s="66">
        <v>1</v>
      </c>
      <c r="K45" s="65">
        <f t="shared" si="2"/>
        <v>0</v>
      </c>
      <c r="L45" s="28">
        <f t="shared" si="5"/>
        <v>7.3477127281347254E-3</v>
      </c>
      <c r="M45" s="71">
        <f t="shared" si="8"/>
        <v>-5.1764705882353379E-3</v>
      </c>
      <c r="N45" s="51">
        <v>40065</v>
      </c>
      <c r="O45" s="77">
        <f t="shared" si="6"/>
        <v>4.5992096633735088E-2</v>
      </c>
      <c r="P45" s="39">
        <f t="shared" si="7"/>
        <v>4.7584607164731452E-2</v>
      </c>
    </row>
    <row r="46" spans="1:16" x14ac:dyDescent="0.3">
      <c r="A46" s="18">
        <v>40066</v>
      </c>
      <c r="B46" s="15">
        <v>21600</v>
      </c>
      <c r="C46" s="15">
        <v>51595</v>
      </c>
      <c r="D46" s="16">
        <v>1644.68</v>
      </c>
      <c r="E46" s="28">
        <f t="shared" si="1"/>
        <v>2.1759697256386046E-2</v>
      </c>
      <c r="F46" s="39">
        <f t="shared" si="1"/>
        <v>-5.6851031027173038E-3</v>
      </c>
      <c r="H46" s="64">
        <f t="shared" si="3"/>
        <v>0.9</v>
      </c>
      <c r="I46" s="65">
        <f t="shared" si="4"/>
        <v>1</v>
      </c>
      <c r="J46" s="66">
        <v>0.9</v>
      </c>
      <c r="K46" s="65">
        <f t="shared" si="2"/>
        <v>9.9999999999999978E-2</v>
      </c>
      <c r="L46" s="28">
        <f t="shared" si="5"/>
        <v>-4.5237405498672169E-3</v>
      </c>
      <c r="M46" s="71">
        <f t="shared" si="8"/>
        <v>1.9015217220475712E-2</v>
      </c>
      <c r="N46" s="50">
        <v>40066</v>
      </c>
      <c r="O46" s="77">
        <f t="shared" si="6"/>
        <v>6.5007313854210796E-2</v>
      </c>
      <c r="P46" s="39">
        <f t="shared" si="7"/>
        <v>7.1634283331378557E-2</v>
      </c>
    </row>
    <row r="47" spans="1:16" x14ac:dyDescent="0.3">
      <c r="A47" s="17">
        <v>40067</v>
      </c>
      <c r="B47" s="13">
        <v>21715</v>
      </c>
      <c r="C47" s="13">
        <v>51250</v>
      </c>
      <c r="D47" s="14">
        <v>1651.7</v>
      </c>
      <c r="E47" s="28">
        <f t="shared" si="1"/>
        <v>5.3240740740740922E-3</v>
      </c>
      <c r="F47" s="39">
        <f t="shared" si="1"/>
        <v>-6.686694447136321E-3</v>
      </c>
      <c r="H47" s="64">
        <f t="shared" si="3"/>
        <v>0.9</v>
      </c>
      <c r="I47" s="65">
        <f t="shared" si="4"/>
        <v>1</v>
      </c>
      <c r="J47" s="66">
        <v>1</v>
      </c>
      <c r="K47" s="65">
        <f t="shared" si="2"/>
        <v>0</v>
      </c>
      <c r="L47" s="28">
        <f t="shared" si="5"/>
        <v>2.1759697256386046E-2</v>
      </c>
      <c r="M47" s="71">
        <f t="shared" si="8"/>
        <v>5.3240740740740922E-3</v>
      </c>
      <c r="N47" s="51">
        <v>40067</v>
      </c>
      <c r="O47" s="77">
        <f t="shared" si="6"/>
        <v>7.0331387928284889E-2</v>
      </c>
      <c r="P47" s="39">
        <f t="shared" si="7"/>
        <v>7.6208347993796943E-2</v>
      </c>
    </row>
    <row r="48" spans="1:16" x14ac:dyDescent="0.3">
      <c r="A48" s="17">
        <v>40070</v>
      </c>
      <c r="B48" s="13">
        <v>21490</v>
      </c>
      <c r="C48" s="13">
        <v>51250</v>
      </c>
      <c r="D48" s="14">
        <v>1634.91</v>
      </c>
      <c r="E48" s="28">
        <f t="shared" si="1"/>
        <v>-1.036150126640567E-2</v>
      </c>
      <c r="F48" s="39">
        <f t="shared" si="1"/>
        <v>0</v>
      </c>
      <c r="H48" s="64">
        <f t="shared" si="3"/>
        <v>0.9</v>
      </c>
      <c r="I48" s="65">
        <f t="shared" si="4"/>
        <v>1</v>
      </c>
      <c r="J48" s="66">
        <v>1</v>
      </c>
      <c r="K48" s="65">
        <f t="shared" si="2"/>
        <v>0</v>
      </c>
      <c r="L48" s="28">
        <f t="shared" si="5"/>
        <v>5.3240740740740922E-3</v>
      </c>
      <c r="M48" s="71">
        <f t="shared" si="8"/>
        <v>-1.036150126640567E-2</v>
      </c>
      <c r="N48" s="51">
        <v>40070</v>
      </c>
      <c r="O48" s="77">
        <f t="shared" si="6"/>
        <v>5.9969886661879218E-2</v>
      </c>
      <c r="P48" s="39">
        <f t="shared" si="7"/>
        <v>6.5268384221431663E-2</v>
      </c>
    </row>
    <row r="49" spans="1:16" x14ac:dyDescent="0.3">
      <c r="A49" s="18">
        <v>40071</v>
      </c>
      <c r="B49" s="15">
        <v>21735</v>
      </c>
      <c r="C49" s="15">
        <v>51280</v>
      </c>
      <c r="D49" s="70">
        <v>1653.4</v>
      </c>
      <c r="E49" s="71">
        <f t="shared" si="1"/>
        <v>1.1400651465798051E-2</v>
      </c>
      <c r="F49" s="39">
        <f t="shared" si="1"/>
        <v>5.8536585365853711E-4</v>
      </c>
      <c r="H49" s="64">
        <f t="shared" si="3"/>
        <v>0.9</v>
      </c>
      <c r="I49" s="65">
        <f t="shared" si="4"/>
        <v>1</v>
      </c>
      <c r="J49" s="66">
        <v>0.9</v>
      </c>
      <c r="K49" s="65">
        <f t="shared" si="2"/>
        <v>9.9999999999999978E-2</v>
      </c>
      <c r="L49" s="28">
        <f t="shared" si="5"/>
        <v>-9.3253511397651031E-3</v>
      </c>
      <c r="M49" s="71">
        <f t="shared" si="8"/>
        <v>1.03191229045841E-2</v>
      </c>
      <c r="N49" s="50">
        <v>40071</v>
      </c>
      <c r="O49" s="77">
        <f t="shared" si="6"/>
        <v>7.028900956646332E-2</v>
      </c>
      <c r="P49" s="39">
        <f t="shared" si="7"/>
        <v>7.7316027470450965E-2</v>
      </c>
    </row>
    <row r="50" spans="1:16" x14ac:dyDescent="0.3">
      <c r="A50" s="17">
        <v>40072</v>
      </c>
      <c r="B50" s="13">
        <v>22220</v>
      </c>
      <c r="C50" s="13">
        <v>51350</v>
      </c>
      <c r="D50" s="14">
        <v>1683.33</v>
      </c>
      <c r="E50" s="28">
        <f t="shared" si="1"/>
        <v>2.2314239705544026E-2</v>
      </c>
      <c r="F50" s="39">
        <f t="shared" si="1"/>
        <v>1.3650546021841681E-3</v>
      </c>
      <c r="H50" s="64">
        <f t="shared" si="3"/>
        <v>0.9</v>
      </c>
      <c r="I50" s="65">
        <f t="shared" si="4"/>
        <v>1</v>
      </c>
      <c r="J50" s="66">
        <v>1</v>
      </c>
      <c r="K50" s="65">
        <f t="shared" si="2"/>
        <v>0</v>
      </c>
      <c r="L50" s="28">
        <f t="shared" si="5"/>
        <v>1.1400651465798051E-2</v>
      </c>
      <c r="M50" s="71">
        <f t="shared" si="8"/>
        <v>2.2314239705544026E-2</v>
      </c>
      <c r="N50" s="51">
        <v>40072</v>
      </c>
      <c r="O50" s="77">
        <f t="shared" si="6"/>
        <v>9.2603249272007346E-2</v>
      </c>
      <c r="P50" s="39">
        <f t="shared" si="7"/>
        <v>9.6817702021189112E-2</v>
      </c>
    </row>
    <row r="51" spans="1:16" x14ac:dyDescent="0.3">
      <c r="A51" s="18">
        <v>40073</v>
      </c>
      <c r="B51" s="15">
        <v>22350</v>
      </c>
      <c r="C51" s="15">
        <v>51450</v>
      </c>
      <c r="D51" s="16">
        <v>1695.47</v>
      </c>
      <c r="E51" s="28">
        <f t="shared" si="1"/>
        <v>5.850585058505775E-3</v>
      </c>
      <c r="F51" s="39">
        <f t="shared" si="1"/>
        <v>1.9474196689386325E-3</v>
      </c>
      <c r="H51" s="64">
        <f t="shared" si="3"/>
        <v>0.9</v>
      </c>
      <c r="I51" s="65">
        <f t="shared" si="4"/>
        <v>1</v>
      </c>
      <c r="J51" s="66">
        <v>1</v>
      </c>
      <c r="K51" s="65">
        <f t="shared" si="2"/>
        <v>0</v>
      </c>
      <c r="L51" s="28">
        <f t="shared" si="5"/>
        <v>2.2314239705544026E-2</v>
      </c>
      <c r="M51" s="71">
        <f t="shared" si="8"/>
        <v>5.850585058505775E-3</v>
      </c>
      <c r="N51" s="50">
        <v>40073</v>
      </c>
      <c r="O51" s="77">
        <f t="shared" si="6"/>
        <v>9.8453834330513121E-2</v>
      </c>
      <c r="P51" s="39">
        <f t="shared" si="7"/>
        <v>0.1047278366368245</v>
      </c>
    </row>
    <row r="52" spans="1:16" x14ac:dyDescent="0.3">
      <c r="A52" s="17">
        <v>40074</v>
      </c>
      <c r="B52" s="13">
        <v>22380</v>
      </c>
      <c r="C52" s="13">
        <v>51440</v>
      </c>
      <c r="D52" s="14">
        <v>1699.71</v>
      </c>
      <c r="E52" s="28">
        <f t="shared" si="1"/>
        <v>1.3422818791946067E-3</v>
      </c>
      <c r="F52" s="39">
        <f t="shared" si="1"/>
        <v>-1.9436345966961088E-4</v>
      </c>
      <c r="H52" s="64">
        <f t="shared" si="3"/>
        <v>0.9</v>
      </c>
      <c r="I52" s="65">
        <f t="shared" si="4"/>
        <v>1</v>
      </c>
      <c r="J52" s="66">
        <v>1</v>
      </c>
      <c r="K52" s="65">
        <f t="shared" si="2"/>
        <v>0</v>
      </c>
      <c r="L52" s="28">
        <f t="shared" si="5"/>
        <v>5.850585058505775E-3</v>
      </c>
      <c r="M52" s="71">
        <f t="shared" si="8"/>
        <v>1.3422818791946067E-3</v>
      </c>
      <c r="N52" s="51">
        <v>40074</v>
      </c>
      <c r="O52" s="77">
        <f t="shared" si="6"/>
        <v>9.9796116209707728E-2</v>
      </c>
      <c r="P52" s="39">
        <f t="shared" si="7"/>
        <v>0.10749051956683209</v>
      </c>
    </row>
    <row r="53" spans="1:16" x14ac:dyDescent="0.3">
      <c r="A53" s="17">
        <v>40077</v>
      </c>
      <c r="B53" s="13">
        <v>22315</v>
      </c>
      <c r="C53" s="13">
        <v>51430</v>
      </c>
      <c r="D53" s="14">
        <v>1695.5</v>
      </c>
      <c r="E53" s="28">
        <f t="shared" si="1"/>
        <v>-2.9043789097408235E-3</v>
      </c>
      <c r="F53" s="39">
        <f t="shared" si="1"/>
        <v>-1.9440124416791882E-4</v>
      </c>
      <c r="H53" s="64">
        <f t="shared" si="3"/>
        <v>0.9</v>
      </c>
      <c r="I53" s="65">
        <f t="shared" si="4"/>
        <v>1</v>
      </c>
      <c r="J53" s="66">
        <v>1</v>
      </c>
      <c r="K53" s="65">
        <f t="shared" si="2"/>
        <v>0</v>
      </c>
      <c r="L53" s="28">
        <f t="shared" si="5"/>
        <v>1.3422818791946067E-3</v>
      </c>
      <c r="M53" s="71">
        <f t="shared" si="8"/>
        <v>-2.9043789097408235E-3</v>
      </c>
      <c r="N53" s="51">
        <v>40077</v>
      </c>
      <c r="O53" s="77">
        <f t="shared" si="6"/>
        <v>9.6891737299966904E-2</v>
      </c>
      <c r="P53" s="39">
        <f t="shared" si="7"/>
        <v>0.10474738392170657</v>
      </c>
    </row>
    <row r="54" spans="1:16" x14ac:dyDescent="0.3">
      <c r="A54" s="18">
        <v>40078</v>
      </c>
      <c r="B54" s="15">
        <v>22620</v>
      </c>
      <c r="C54" s="15">
        <v>51335</v>
      </c>
      <c r="D54" s="70">
        <v>1718.88</v>
      </c>
      <c r="E54" s="71">
        <f t="shared" si="1"/>
        <v>1.3667936365673317E-2</v>
      </c>
      <c r="F54" s="39">
        <f t="shared" si="1"/>
        <v>-1.8471709119191049E-3</v>
      </c>
      <c r="H54" s="64">
        <f t="shared" si="3"/>
        <v>0.9</v>
      </c>
      <c r="I54" s="65">
        <f t="shared" si="4"/>
        <v>1</v>
      </c>
      <c r="J54" s="66">
        <v>0.9</v>
      </c>
      <c r="K54" s="65">
        <f t="shared" si="2"/>
        <v>9.9999999999999978E-2</v>
      </c>
      <c r="L54" s="28">
        <f t="shared" si="5"/>
        <v>-2.6333811431835329E-3</v>
      </c>
      <c r="M54" s="71">
        <f t="shared" si="8"/>
        <v>1.2116425637914074E-2</v>
      </c>
      <c r="N54" s="50">
        <v>40078</v>
      </c>
      <c r="O54" s="77">
        <f t="shared" si="6"/>
        <v>0.10900816293788097</v>
      </c>
      <c r="P54" s="39">
        <f t="shared" si="7"/>
        <v>0.11998123460651322</v>
      </c>
    </row>
    <row r="55" spans="1:16" x14ac:dyDescent="0.3">
      <c r="A55" s="17">
        <v>40079</v>
      </c>
      <c r="B55" s="13">
        <v>22600</v>
      </c>
      <c r="C55" s="13">
        <v>51375</v>
      </c>
      <c r="D55" s="14">
        <v>1711.47</v>
      </c>
      <c r="E55" s="28">
        <f t="shared" si="1"/>
        <v>-8.8417329796641742E-4</v>
      </c>
      <c r="F55" s="39">
        <f t="shared" si="1"/>
        <v>7.7919548066618383E-4</v>
      </c>
      <c r="H55" s="64">
        <f t="shared" si="3"/>
        <v>0.9</v>
      </c>
      <c r="I55" s="65">
        <f t="shared" si="4"/>
        <v>1</v>
      </c>
      <c r="J55" s="66">
        <v>1</v>
      </c>
      <c r="K55" s="65">
        <f t="shared" si="2"/>
        <v>0</v>
      </c>
      <c r="L55" s="28">
        <f t="shared" si="5"/>
        <v>1.3667936365673317E-2</v>
      </c>
      <c r="M55" s="71">
        <f t="shared" si="8"/>
        <v>-8.8417329796641742E-4</v>
      </c>
      <c r="N55" s="51">
        <v>40079</v>
      </c>
      <c r="O55" s="77">
        <f t="shared" si="6"/>
        <v>0.10812398963991456</v>
      </c>
      <c r="P55" s="39">
        <f t="shared" si="7"/>
        <v>0.11515305524062702</v>
      </c>
    </row>
    <row r="56" spans="1:16" x14ac:dyDescent="0.3">
      <c r="A56" s="18">
        <v>40080</v>
      </c>
      <c r="B56" s="15">
        <v>22385</v>
      </c>
      <c r="C56" s="15">
        <v>51445</v>
      </c>
      <c r="D56" s="16">
        <v>1693.88</v>
      </c>
      <c r="E56" s="28">
        <f t="shared" si="1"/>
        <v>-9.5132743362832395E-3</v>
      </c>
      <c r="F56" s="39">
        <f t="shared" si="1"/>
        <v>1.3625304136253291E-3</v>
      </c>
      <c r="H56" s="64">
        <f t="shared" si="3"/>
        <v>0.9</v>
      </c>
      <c r="I56" s="65">
        <f t="shared" si="4"/>
        <v>1</v>
      </c>
      <c r="J56" s="66">
        <v>0.9</v>
      </c>
      <c r="K56" s="65">
        <f t="shared" si="2"/>
        <v>9.9999999999999978E-2</v>
      </c>
      <c r="L56" s="28">
        <f t="shared" si="5"/>
        <v>-7.1783642010315725E-4</v>
      </c>
      <c r="M56" s="71">
        <f t="shared" si="8"/>
        <v>-8.4256938612923826E-3</v>
      </c>
      <c r="N56" s="50">
        <v>40080</v>
      </c>
      <c r="O56" s="77">
        <f t="shared" si="6"/>
        <v>9.9698295778622173E-2</v>
      </c>
      <c r="P56" s="39">
        <f t="shared" si="7"/>
        <v>0.10369183053807163</v>
      </c>
    </row>
    <row r="57" spans="1:16" x14ac:dyDescent="0.3">
      <c r="A57" s="17">
        <v>40081</v>
      </c>
      <c r="B57" s="13">
        <v>22300</v>
      </c>
      <c r="C57" s="13">
        <v>51450</v>
      </c>
      <c r="D57" s="14">
        <v>1691.48</v>
      </c>
      <c r="E57" s="28">
        <f t="shared" si="1"/>
        <v>-3.7971856153674599E-3</v>
      </c>
      <c r="F57" s="39">
        <f t="shared" si="1"/>
        <v>9.7191175041366762E-5</v>
      </c>
      <c r="H57" s="64">
        <f t="shared" si="3"/>
        <v>0.9</v>
      </c>
      <c r="I57" s="65">
        <f t="shared" si="4"/>
        <v>1</v>
      </c>
      <c r="J57" s="66">
        <v>0.9</v>
      </c>
      <c r="K57" s="65">
        <f t="shared" si="2"/>
        <v>9.9999999999999978E-2</v>
      </c>
      <c r="L57" s="28">
        <f t="shared" si="5"/>
        <v>-8.4256938612923826E-3</v>
      </c>
      <c r="M57" s="71">
        <f t="shared" si="8"/>
        <v>-3.4077479363265775E-3</v>
      </c>
      <c r="N57" s="51">
        <v>40081</v>
      </c>
      <c r="O57" s="77">
        <f t="shared" si="6"/>
        <v>9.6290547842295598E-2</v>
      </c>
      <c r="P57" s="39">
        <f t="shared" si="7"/>
        <v>0.10212804774750128</v>
      </c>
    </row>
    <row r="58" spans="1:16" x14ac:dyDescent="0.3">
      <c r="A58" s="17">
        <v>40084</v>
      </c>
      <c r="B58" s="13">
        <v>22110</v>
      </c>
      <c r="C58" s="13">
        <v>51440</v>
      </c>
      <c r="D58" s="14">
        <v>1675.55</v>
      </c>
      <c r="E58" s="28">
        <f t="shared" si="1"/>
        <v>-8.5201793721972896E-3</v>
      </c>
      <c r="F58" s="39">
        <f t="shared" si="1"/>
        <v>-1.9436345966961088E-4</v>
      </c>
      <c r="H58" s="64">
        <f t="shared" si="3"/>
        <v>0.9</v>
      </c>
      <c r="I58" s="65">
        <f t="shared" si="4"/>
        <v>1</v>
      </c>
      <c r="J58" s="66">
        <v>0.9</v>
      </c>
      <c r="K58" s="65">
        <f t="shared" si="2"/>
        <v>9.9999999999999978E-2</v>
      </c>
      <c r="L58" s="28">
        <f t="shared" si="5"/>
        <v>-3.4077479363265775E-3</v>
      </c>
      <c r="M58" s="71">
        <f t="shared" si="8"/>
        <v>-7.6875977809445217E-3</v>
      </c>
      <c r="N58" s="51">
        <v>40084</v>
      </c>
      <c r="O58" s="77">
        <f t="shared" si="6"/>
        <v>8.8602950061351077E-2</v>
      </c>
      <c r="P58" s="39">
        <f t="shared" si="7"/>
        <v>9.174843947509026E-2</v>
      </c>
    </row>
    <row r="59" spans="1:16" x14ac:dyDescent="0.3">
      <c r="A59" s="18">
        <v>40085</v>
      </c>
      <c r="B59" s="15">
        <v>22305</v>
      </c>
      <c r="C59" s="15">
        <v>51415</v>
      </c>
      <c r="D59" s="70">
        <v>1690.05</v>
      </c>
      <c r="E59" s="71">
        <f t="shared" si="1"/>
        <v>8.8195386702849543E-3</v>
      </c>
      <c r="F59" s="39">
        <f t="shared" si="1"/>
        <v>-4.8600311041990807E-4</v>
      </c>
      <c r="H59" s="64">
        <f t="shared" si="3"/>
        <v>0.9</v>
      </c>
      <c r="I59" s="65">
        <f t="shared" si="4"/>
        <v>1</v>
      </c>
      <c r="J59" s="66">
        <v>0.9</v>
      </c>
      <c r="K59" s="65">
        <f t="shared" si="2"/>
        <v>9.9999999999999978E-2</v>
      </c>
      <c r="L59" s="28">
        <f t="shared" si="5"/>
        <v>-7.6875977809445217E-3</v>
      </c>
      <c r="M59" s="71">
        <f t="shared" si="8"/>
        <v>7.8889844922144688E-3</v>
      </c>
      <c r="N59" s="50">
        <v>40085</v>
      </c>
      <c r="O59" s="77">
        <f t="shared" si="6"/>
        <v>9.6491934553565542E-2</v>
      </c>
      <c r="P59" s="39">
        <f t="shared" si="7"/>
        <v>0.10119629383478634</v>
      </c>
    </row>
    <row r="60" spans="1:16" x14ac:dyDescent="0.3">
      <c r="A60" s="17">
        <v>40086</v>
      </c>
      <c r="B60" s="13">
        <v>22160</v>
      </c>
      <c r="C60" s="13">
        <v>51540</v>
      </c>
      <c r="D60" s="14">
        <v>1673.14</v>
      </c>
      <c r="E60" s="28">
        <f t="shared" si="1"/>
        <v>-6.5007845774489592E-3</v>
      </c>
      <c r="F60" s="39">
        <f t="shared" si="1"/>
        <v>2.4311971214625583E-3</v>
      </c>
      <c r="H60" s="64">
        <f t="shared" si="3"/>
        <v>0.9</v>
      </c>
      <c r="I60" s="65">
        <f t="shared" si="4"/>
        <v>1</v>
      </c>
      <c r="J60" s="66">
        <v>1</v>
      </c>
      <c r="K60" s="65">
        <f t="shared" si="2"/>
        <v>0</v>
      </c>
      <c r="L60" s="28">
        <f t="shared" si="5"/>
        <v>8.8195386702849543E-3</v>
      </c>
      <c r="M60" s="71">
        <f t="shared" si="8"/>
        <v>-6.5007845774489592E-3</v>
      </c>
      <c r="N60" s="51">
        <v>40086</v>
      </c>
      <c r="O60" s="77">
        <f t="shared" si="6"/>
        <v>8.9991149976116583E-2</v>
      </c>
      <c r="P60" s="39">
        <f t="shared" si="7"/>
        <v>9.0178140922892558E-2</v>
      </c>
    </row>
    <row r="61" spans="1:16" x14ac:dyDescent="0.3">
      <c r="A61" s="18">
        <v>40087</v>
      </c>
      <c r="B61" s="15">
        <v>21755</v>
      </c>
      <c r="C61" s="15">
        <v>51565</v>
      </c>
      <c r="D61" s="16">
        <v>1644.63</v>
      </c>
      <c r="E61" s="28">
        <f t="shared" si="1"/>
        <v>-1.8276173285198594E-2</v>
      </c>
      <c r="F61" s="39">
        <f t="shared" si="1"/>
        <v>4.8506014745819392E-4</v>
      </c>
      <c r="H61" s="64">
        <f t="shared" si="3"/>
        <v>0.9</v>
      </c>
      <c r="I61" s="65">
        <f t="shared" si="4"/>
        <v>1</v>
      </c>
      <c r="J61" s="66">
        <v>0.9</v>
      </c>
      <c r="K61" s="65">
        <f t="shared" si="2"/>
        <v>9.9999999999999978E-2</v>
      </c>
      <c r="L61" s="28">
        <f t="shared" si="5"/>
        <v>-5.6075864075578073E-3</v>
      </c>
      <c r="M61" s="71">
        <f t="shared" si="8"/>
        <v>-1.6400049941932917E-2</v>
      </c>
      <c r="N61" s="50">
        <v>40087</v>
      </c>
      <c r="O61" s="77">
        <f t="shared" si="6"/>
        <v>7.3591100034183662E-2</v>
      </c>
      <c r="P61" s="39">
        <f t="shared" si="7"/>
        <v>7.1601704523241771E-2</v>
      </c>
    </row>
    <row r="62" spans="1:16" x14ac:dyDescent="0.3">
      <c r="A62" s="17">
        <v>40091</v>
      </c>
      <c r="B62" s="13">
        <v>21195</v>
      </c>
      <c r="C62" s="13">
        <v>51580</v>
      </c>
      <c r="D62" s="14">
        <v>1606.9</v>
      </c>
      <c r="E62" s="28">
        <f t="shared" si="1"/>
        <v>-2.574120891749021E-2</v>
      </c>
      <c r="F62" s="39">
        <f t="shared" si="1"/>
        <v>2.9089498690981763E-4</v>
      </c>
      <c r="H62" s="64">
        <f t="shared" si="3"/>
        <v>0.9</v>
      </c>
      <c r="I62" s="65">
        <f t="shared" si="4"/>
        <v>1</v>
      </c>
      <c r="J62" s="66">
        <v>0.9</v>
      </c>
      <c r="K62" s="65">
        <f t="shared" si="2"/>
        <v>9.9999999999999978E-2</v>
      </c>
      <c r="L62" s="28">
        <f t="shared" si="5"/>
        <v>-1.6400049941932917E-2</v>
      </c>
      <c r="M62" s="71">
        <f t="shared" si="8"/>
        <v>-2.3137998527050209E-2</v>
      </c>
      <c r="N62" s="51">
        <v>40091</v>
      </c>
      <c r="O62" s="77">
        <f t="shared" si="6"/>
        <v>5.0453101507133453E-2</v>
      </c>
      <c r="P62" s="39">
        <f t="shared" si="7"/>
        <v>4.7017735903149838E-2</v>
      </c>
    </row>
    <row r="63" spans="1:16" x14ac:dyDescent="0.3">
      <c r="A63" s="17">
        <v>40092</v>
      </c>
      <c r="B63" s="13">
        <v>21080</v>
      </c>
      <c r="C63" s="13">
        <v>51520</v>
      </c>
      <c r="D63" s="14">
        <v>1598.44</v>
      </c>
      <c r="E63" s="28">
        <f t="shared" si="1"/>
        <v>-5.4258079735787224E-3</v>
      </c>
      <c r="F63" s="39">
        <f t="shared" si="1"/>
        <v>-1.1632415664986073E-3</v>
      </c>
      <c r="H63" s="64">
        <f t="shared" si="3"/>
        <v>0.9</v>
      </c>
      <c r="I63" s="65">
        <f t="shared" si="4"/>
        <v>1</v>
      </c>
      <c r="J63" s="66">
        <v>0.9</v>
      </c>
      <c r="K63" s="65">
        <f t="shared" si="2"/>
        <v>9.9999999999999978E-2</v>
      </c>
      <c r="L63" s="28">
        <f t="shared" si="5"/>
        <v>-2.3137998527050209E-2</v>
      </c>
      <c r="M63" s="71">
        <f t="shared" si="8"/>
        <v>-4.9995513328707107E-3</v>
      </c>
      <c r="N63" s="51">
        <v>40092</v>
      </c>
      <c r="O63" s="77">
        <f t="shared" si="6"/>
        <v>4.5453550174262745E-2</v>
      </c>
      <c r="P63" s="39">
        <f t="shared" si="7"/>
        <v>4.1505401566389155E-2</v>
      </c>
    </row>
    <row r="64" spans="1:16" x14ac:dyDescent="0.3">
      <c r="A64" s="18">
        <v>40093</v>
      </c>
      <c r="B64" s="15">
        <v>21075</v>
      </c>
      <c r="C64" s="15">
        <v>51490</v>
      </c>
      <c r="D64" s="70">
        <v>1598</v>
      </c>
      <c r="E64" s="71">
        <f t="shared" si="1"/>
        <v>-2.3719165085389626E-4</v>
      </c>
      <c r="F64" s="39">
        <f t="shared" si="1"/>
        <v>-5.8229813664600893E-4</v>
      </c>
      <c r="H64" s="64">
        <f t="shared" si="3"/>
        <v>0.9</v>
      </c>
      <c r="I64" s="65">
        <f t="shared" si="4"/>
        <v>1</v>
      </c>
      <c r="J64" s="66">
        <v>0.9</v>
      </c>
      <c r="K64" s="65">
        <f t="shared" si="2"/>
        <v>9.9999999999999978E-2</v>
      </c>
      <c r="L64" s="28">
        <f t="shared" si="5"/>
        <v>-4.9995513328707107E-3</v>
      </c>
      <c r="M64" s="71">
        <f t="shared" si="8"/>
        <v>-2.7170229943310751E-4</v>
      </c>
      <c r="N64" s="50">
        <v>40093</v>
      </c>
      <c r="O64" s="77">
        <f t="shared" si="6"/>
        <v>4.5181847874829636E-2</v>
      </c>
      <c r="P64" s="39">
        <f t="shared" si="7"/>
        <v>4.1218708054784559E-2</v>
      </c>
    </row>
    <row r="65" spans="1:16" x14ac:dyDescent="0.3">
      <c r="A65" s="17">
        <v>40094</v>
      </c>
      <c r="B65" s="13">
        <v>21225</v>
      </c>
      <c r="C65" s="13">
        <v>51460</v>
      </c>
      <c r="D65" s="14">
        <v>1615.46</v>
      </c>
      <c r="E65" s="28">
        <f t="shared" si="1"/>
        <v>7.1174377224199059E-3</v>
      </c>
      <c r="F65" s="39">
        <f t="shared" si="1"/>
        <v>-5.8263740532138453E-4</v>
      </c>
      <c r="H65" s="64">
        <f t="shared" si="3"/>
        <v>0.9</v>
      </c>
      <c r="I65" s="65">
        <f t="shared" si="4"/>
        <v>1</v>
      </c>
      <c r="J65" s="66">
        <v>1</v>
      </c>
      <c r="K65" s="65">
        <f t="shared" si="2"/>
        <v>0</v>
      </c>
      <c r="L65" s="28">
        <f t="shared" si="5"/>
        <v>-2.3719165085389626E-4</v>
      </c>
      <c r="M65" s="71">
        <f t="shared" si="8"/>
        <v>7.1174377224199059E-3</v>
      </c>
      <c r="N65" s="51">
        <v>40094</v>
      </c>
      <c r="O65" s="77">
        <f t="shared" si="6"/>
        <v>5.2299285597249542E-2</v>
      </c>
      <c r="P65" s="39">
        <f t="shared" si="7"/>
        <v>5.259522785618409E-2</v>
      </c>
    </row>
    <row r="66" spans="1:16" x14ac:dyDescent="0.3">
      <c r="A66" s="18">
        <v>40095</v>
      </c>
      <c r="B66" s="15">
        <v>21700</v>
      </c>
      <c r="C66" s="15">
        <v>51630</v>
      </c>
      <c r="D66" s="16">
        <v>1646.79</v>
      </c>
      <c r="E66" s="28">
        <f t="shared" si="1"/>
        <v>2.2379269729092988E-2</v>
      </c>
      <c r="F66" s="39">
        <f t="shared" si="1"/>
        <v>3.3035367275553451E-3</v>
      </c>
      <c r="H66" s="64">
        <f t="shared" si="3"/>
        <v>0.9</v>
      </c>
      <c r="I66" s="65">
        <f t="shared" si="4"/>
        <v>1</v>
      </c>
      <c r="J66" s="66">
        <v>1</v>
      </c>
      <c r="K66" s="65">
        <f t="shared" si="2"/>
        <v>0</v>
      </c>
      <c r="L66" s="28">
        <f t="shared" si="5"/>
        <v>7.1174377224199059E-3</v>
      </c>
      <c r="M66" s="71">
        <f t="shared" si="8"/>
        <v>2.2379269729092988E-2</v>
      </c>
      <c r="N66" s="50">
        <v>40095</v>
      </c>
      <c r="O66" s="77">
        <f t="shared" si="6"/>
        <v>7.467855532634253E-2</v>
      </c>
      <c r="P66" s="39">
        <f t="shared" si="7"/>
        <v>7.3009109034755104E-2</v>
      </c>
    </row>
    <row r="67" spans="1:16" x14ac:dyDescent="0.3">
      <c r="A67" s="17">
        <v>40098</v>
      </c>
      <c r="B67" s="13">
        <v>21590</v>
      </c>
      <c r="C67" s="13">
        <v>51565</v>
      </c>
      <c r="D67" s="14">
        <v>1639.81</v>
      </c>
      <c r="E67" s="28">
        <f t="shared" si="1"/>
        <v>-5.0691244239631228E-3</v>
      </c>
      <c r="F67" s="39">
        <f t="shared" si="1"/>
        <v>-1.2589579701723919E-3</v>
      </c>
      <c r="H67" s="64">
        <f t="shared" si="3"/>
        <v>0.9</v>
      </c>
      <c r="I67" s="65">
        <f t="shared" si="4"/>
        <v>1</v>
      </c>
      <c r="J67" s="66">
        <v>1</v>
      </c>
      <c r="K67" s="65">
        <f t="shared" si="2"/>
        <v>0</v>
      </c>
      <c r="L67" s="28">
        <f t="shared" si="5"/>
        <v>2.2379269729092988E-2</v>
      </c>
      <c r="M67" s="71">
        <f t="shared" si="8"/>
        <v>-5.0691244239631228E-3</v>
      </c>
      <c r="N67" s="51">
        <v>40098</v>
      </c>
      <c r="O67" s="77">
        <f t="shared" si="6"/>
        <v>6.9609430902379407E-2</v>
      </c>
      <c r="P67" s="39">
        <f t="shared" si="7"/>
        <v>6.8461107418846145E-2</v>
      </c>
    </row>
    <row r="68" spans="1:16" x14ac:dyDescent="0.3">
      <c r="A68" s="17">
        <v>40099</v>
      </c>
      <c r="B68" s="13">
        <v>21440</v>
      </c>
      <c r="C68" s="13">
        <v>51600</v>
      </c>
      <c r="D68" s="14">
        <v>1628.93</v>
      </c>
      <c r="E68" s="28">
        <f t="shared" si="1"/>
        <v>-6.9476609541454515E-3</v>
      </c>
      <c r="F68" s="39">
        <f t="shared" si="1"/>
        <v>6.787549694560191E-4</v>
      </c>
      <c r="H68" s="64">
        <f t="shared" si="3"/>
        <v>0.9</v>
      </c>
      <c r="I68" s="65">
        <f t="shared" si="4"/>
        <v>1</v>
      </c>
      <c r="J68" s="66">
        <v>0.9</v>
      </c>
      <c r="K68" s="65">
        <f t="shared" si="2"/>
        <v>9.9999999999999978E-2</v>
      </c>
      <c r="L68" s="28">
        <f t="shared" si="5"/>
        <v>-4.68810777858405E-3</v>
      </c>
      <c r="M68" s="71">
        <f t="shared" si="8"/>
        <v>-6.1850193617853048E-3</v>
      </c>
      <c r="N68" s="51">
        <v>40099</v>
      </c>
      <c r="O68" s="77">
        <f t="shared" si="6"/>
        <v>6.3424411540594097E-2</v>
      </c>
      <c r="P68" s="39">
        <f t="shared" si="7"/>
        <v>6.1371958768260404E-2</v>
      </c>
    </row>
    <row r="69" spans="1:16" x14ac:dyDescent="0.3">
      <c r="A69" s="18">
        <v>40100</v>
      </c>
      <c r="B69" s="15">
        <v>21755</v>
      </c>
      <c r="C69" s="15">
        <v>51610</v>
      </c>
      <c r="D69" s="70">
        <v>1649.09</v>
      </c>
      <c r="E69" s="71">
        <f t="shared" si="1"/>
        <v>1.4692164179104461E-2</v>
      </c>
      <c r="F69" s="39">
        <f t="shared" si="1"/>
        <v>1.9379844961231463E-4</v>
      </c>
      <c r="H69" s="64">
        <f t="shared" si="3"/>
        <v>0.9</v>
      </c>
      <c r="I69" s="65">
        <f t="shared" si="4"/>
        <v>1</v>
      </c>
      <c r="J69" s="66">
        <v>0.9</v>
      </c>
      <c r="K69" s="65">
        <f t="shared" si="2"/>
        <v>9.9999999999999978E-2</v>
      </c>
      <c r="L69" s="28">
        <f t="shared" si="5"/>
        <v>-6.1850193617853048E-3</v>
      </c>
      <c r="M69" s="71">
        <f t="shared" si="8"/>
        <v>1.3242327606155246E-2</v>
      </c>
      <c r="N69" s="50">
        <v>40100</v>
      </c>
      <c r="O69" s="77">
        <f t="shared" si="6"/>
        <v>7.6666739146749346E-2</v>
      </c>
      <c r="P69" s="39">
        <f t="shared" si="7"/>
        <v>7.4507734209051657E-2</v>
      </c>
    </row>
    <row r="70" spans="1:16" x14ac:dyDescent="0.3">
      <c r="A70" s="17">
        <v>40101</v>
      </c>
      <c r="B70" s="13">
        <v>21880</v>
      </c>
      <c r="C70" s="13">
        <v>51555</v>
      </c>
      <c r="D70" s="14">
        <v>1658.99</v>
      </c>
      <c r="E70" s="28">
        <f t="shared" si="1"/>
        <v>5.7458055619397097E-3</v>
      </c>
      <c r="F70" s="39">
        <f t="shared" si="1"/>
        <v>-1.0656849447781003E-3</v>
      </c>
      <c r="H70" s="64">
        <f t="shared" si="3"/>
        <v>0.9</v>
      </c>
      <c r="I70" s="65">
        <f t="shared" si="4"/>
        <v>1</v>
      </c>
      <c r="J70" s="66">
        <v>1</v>
      </c>
      <c r="K70" s="65">
        <f t="shared" si="2"/>
        <v>0</v>
      </c>
      <c r="L70" s="28">
        <f t="shared" si="5"/>
        <v>1.4692164179104461E-2</v>
      </c>
      <c r="M70" s="71">
        <f t="shared" si="8"/>
        <v>5.7458055619397097E-3</v>
      </c>
      <c r="N70" s="51">
        <v>40101</v>
      </c>
      <c r="O70" s="77">
        <f t="shared" si="6"/>
        <v>8.2412544708689056E-2</v>
      </c>
      <c r="P70" s="39">
        <f t="shared" si="7"/>
        <v>8.0958338220154635E-2</v>
      </c>
    </row>
    <row r="71" spans="1:16" x14ac:dyDescent="0.3">
      <c r="A71" s="18">
        <v>40102</v>
      </c>
      <c r="B71" s="15">
        <v>21645</v>
      </c>
      <c r="C71" s="15">
        <v>51230</v>
      </c>
      <c r="D71" s="16">
        <v>1640.36</v>
      </c>
      <c r="E71" s="28">
        <f t="shared" si="1"/>
        <v>-1.0740402193784249E-2</v>
      </c>
      <c r="F71" s="39">
        <f t="shared" si="1"/>
        <v>-6.3039472408107367E-3</v>
      </c>
      <c r="H71" s="64">
        <f t="shared" si="3"/>
        <v>0.9</v>
      </c>
      <c r="I71" s="65">
        <f t="shared" si="4"/>
        <v>1</v>
      </c>
      <c r="J71" s="66">
        <v>1</v>
      </c>
      <c r="K71" s="65">
        <f t="shared" si="2"/>
        <v>0</v>
      </c>
      <c r="L71" s="28">
        <f t="shared" si="5"/>
        <v>5.7458055619397097E-3</v>
      </c>
      <c r="M71" s="71">
        <f t="shared" si="8"/>
        <v>-1.0740402193784249E-2</v>
      </c>
      <c r="N71" s="50">
        <v>40102</v>
      </c>
      <c r="O71" s="77">
        <f t="shared" si="6"/>
        <v>7.1672142514904807E-2</v>
      </c>
      <c r="P71" s="39">
        <f t="shared" si="7"/>
        <v>6.8819474308351891E-2</v>
      </c>
    </row>
    <row r="72" spans="1:16" x14ac:dyDescent="0.3">
      <c r="A72" s="17">
        <v>40105</v>
      </c>
      <c r="B72" s="13">
        <v>21785</v>
      </c>
      <c r="C72" s="13">
        <v>51355</v>
      </c>
      <c r="D72" s="14">
        <v>1649.07</v>
      </c>
      <c r="E72" s="28">
        <f t="shared" si="1"/>
        <v>6.468006468006493E-3</v>
      </c>
      <c r="F72" s="39">
        <f t="shared" si="1"/>
        <v>2.439976576224856E-3</v>
      </c>
      <c r="H72" s="64">
        <f t="shared" si="3"/>
        <v>0.9</v>
      </c>
      <c r="I72" s="65">
        <f t="shared" si="4"/>
        <v>1</v>
      </c>
      <c r="J72" s="66">
        <v>0.9</v>
      </c>
      <c r="K72" s="65">
        <f t="shared" si="2"/>
        <v>9.9999999999999978E-2</v>
      </c>
      <c r="L72" s="28">
        <f t="shared" si="5"/>
        <v>-1.0296756698486897E-2</v>
      </c>
      <c r="M72" s="71">
        <f t="shared" si="8"/>
        <v>6.0652034788283293E-3</v>
      </c>
      <c r="N72" s="51">
        <v>40105</v>
      </c>
      <c r="O72" s="77">
        <f t="shared" si="6"/>
        <v>7.7737345993733137E-2</v>
      </c>
      <c r="P72" s="39">
        <f t="shared" si="7"/>
        <v>7.4494702685796943E-2</v>
      </c>
    </row>
    <row r="73" spans="1:16" x14ac:dyDescent="0.3">
      <c r="A73" s="17">
        <v>40106</v>
      </c>
      <c r="B73" s="13">
        <v>21910</v>
      </c>
      <c r="C73" s="13">
        <v>51410</v>
      </c>
      <c r="D73" s="14">
        <v>1659.15</v>
      </c>
      <c r="E73" s="28">
        <f t="shared" si="1"/>
        <v>5.7378930456737365E-3</v>
      </c>
      <c r="F73" s="39">
        <f t="shared" si="1"/>
        <v>1.0709765358776213E-3</v>
      </c>
      <c r="H73" s="64">
        <f t="shared" si="3"/>
        <v>0.9</v>
      </c>
      <c r="I73" s="65">
        <f t="shared" si="4"/>
        <v>1</v>
      </c>
      <c r="J73" s="66">
        <v>1</v>
      </c>
      <c r="K73" s="65">
        <f t="shared" si="2"/>
        <v>0</v>
      </c>
      <c r="L73" s="28">
        <f t="shared" si="5"/>
        <v>6.468006468006493E-3</v>
      </c>
      <c r="M73" s="71">
        <f t="shared" si="8"/>
        <v>5.7378930456737365E-3</v>
      </c>
      <c r="N73" s="51">
        <v>40106</v>
      </c>
      <c r="O73" s="77">
        <f t="shared" si="6"/>
        <v>8.3475239039406873E-2</v>
      </c>
      <c r="P73" s="39">
        <f t="shared" si="7"/>
        <v>8.106259040619257E-2</v>
      </c>
    </row>
    <row r="74" spans="1:16" x14ac:dyDescent="0.3">
      <c r="A74" s="18">
        <v>40107</v>
      </c>
      <c r="B74" s="15">
        <v>21855</v>
      </c>
      <c r="C74" s="15">
        <v>51390</v>
      </c>
      <c r="D74" s="70">
        <v>1653.86</v>
      </c>
      <c r="E74" s="71">
        <f t="shared" si="1"/>
        <v>-2.5102692834322315E-3</v>
      </c>
      <c r="F74" s="39">
        <f t="shared" si="1"/>
        <v>-3.8902937171758634E-4</v>
      </c>
      <c r="H74" s="64">
        <f t="shared" si="3"/>
        <v>0.9</v>
      </c>
      <c r="I74" s="65">
        <f t="shared" si="4"/>
        <v>1</v>
      </c>
      <c r="J74" s="66">
        <v>1</v>
      </c>
      <c r="K74" s="65">
        <f t="shared" si="2"/>
        <v>0</v>
      </c>
      <c r="L74" s="28">
        <f t="shared" si="5"/>
        <v>5.7378930456737365E-3</v>
      </c>
      <c r="M74" s="71">
        <f t="shared" si="8"/>
        <v>-2.5102692834322315E-3</v>
      </c>
      <c r="N74" s="50">
        <v>40107</v>
      </c>
      <c r="O74" s="77">
        <f t="shared" si="6"/>
        <v>8.0964969755974642E-2</v>
      </c>
      <c r="P74" s="39">
        <f t="shared" si="7"/>
        <v>7.7615752505310276E-2</v>
      </c>
    </row>
    <row r="75" spans="1:16" x14ac:dyDescent="0.3">
      <c r="A75" s="17">
        <v>40108</v>
      </c>
      <c r="B75" s="13">
        <v>21475</v>
      </c>
      <c r="C75" s="13">
        <v>51400</v>
      </c>
      <c r="D75" s="14">
        <v>1630.33</v>
      </c>
      <c r="E75" s="28">
        <f t="shared" si="1"/>
        <v>-1.7387325554792943E-2</v>
      </c>
      <c r="F75" s="39">
        <f t="shared" si="1"/>
        <v>1.9459038723490529E-4</v>
      </c>
      <c r="H75" s="64">
        <f t="shared" si="3"/>
        <v>0.9</v>
      </c>
      <c r="I75" s="65">
        <f t="shared" si="4"/>
        <v>1</v>
      </c>
      <c r="J75" s="66">
        <v>0.9</v>
      </c>
      <c r="K75" s="65">
        <f t="shared" si="2"/>
        <v>9.9999999999999978E-2</v>
      </c>
      <c r="L75" s="28">
        <f t="shared" si="5"/>
        <v>-2.2981452922607669E-3</v>
      </c>
      <c r="M75" s="71">
        <f t="shared" si="8"/>
        <v>-1.5629133960590159E-2</v>
      </c>
      <c r="N75" s="51">
        <v>40108</v>
      </c>
      <c r="O75" s="77">
        <f t="shared" si="6"/>
        <v>6.5335835795384489E-2</v>
      </c>
      <c r="P75" s="39">
        <f t="shared" si="7"/>
        <v>6.228416539609305E-2</v>
      </c>
    </row>
    <row r="76" spans="1:16" x14ac:dyDescent="0.3">
      <c r="A76" s="18">
        <v>40109</v>
      </c>
      <c r="B76" s="15">
        <v>21625</v>
      </c>
      <c r="C76" s="15">
        <v>51360</v>
      </c>
      <c r="D76" s="16">
        <v>1640.17</v>
      </c>
      <c r="E76" s="28">
        <f t="shared" si="1"/>
        <v>6.9848661233993248E-3</v>
      </c>
      <c r="F76" s="39">
        <f t="shared" si="1"/>
        <v>-7.7821011673151474E-4</v>
      </c>
      <c r="H76" s="64">
        <f t="shared" si="3"/>
        <v>0.9</v>
      </c>
      <c r="I76" s="65">
        <f t="shared" si="4"/>
        <v>1</v>
      </c>
      <c r="J76" s="66">
        <v>0.9</v>
      </c>
      <c r="K76" s="65">
        <f t="shared" si="2"/>
        <v>9.9999999999999978E-2</v>
      </c>
      <c r="L76" s="28">
        <f t="shared" si="5"/>
        <v>-1.5629133960590159E-2</v>
      </c>
      <c r="M76" s="71">
        <f t="shared" si="8"/>
        <v>6.208558499386241E-3</v>
      </c>
      <c r="N76" s="50">
        <v>40109</v>
      </c>
      <c r="O76" s="77">
        <f t="shared" si="6"/>
        <v>7.1544394294770733E-2</v>
      </c>
      <c r="P76" s="39">
        <f t="shared" si="7"/>
        <v>6.8695674837431886E-2</v>
      </c>
    </row>
    <row r="77" spans="1:16" x14ac:dyDescent="0.3">
      <c r="A77" s="17">
        <v>40112</v>
      </c>
      <c r="B77" s="13">
        <v>21930</v>
      </c>
      <c r="C77" s="13">
        <v>51195</v>
      </c>
      <c r="D77" s="14">
        <v>1657.11</v>
      </c>
      <c r="E77" s="28">
        <f t="shared" si="1"/>
        <v>1.4104046242774615E-2</v>
      </c>
      <c r="F77" s="39">
        <f t="shared" si="1"/>
        <v>-3.2126168224299034E-3</v>
      </c>
      <c r="H77" s="64">
        <f t="shared" si="3"/>
        <v>0.9</v>
      </c>
      <c r="I77" s="65">
        <f t="shared" si="4"/>
        <v>1</v>
      </c>
      <c r="J77" s="66">
        <v>1</v>
      </c>
      <c r="K77" s="65">
        <f t="shared" si="2"/>
        <v>0</v>
      </c>
      <c r="L77" s="28">
        <f t="shared" si="5"/>
        <v>6.9848661233993248E-3</v>
      </c>
      <c r="M77" s="71">
        <f t="shared" si="8"/>
        <v>1.4104046242774615E-2</v>
      </c>
      <c r="N77" s="51">
        <v>40112</v>
      </c>
      <c r="O77" s="77">
        <f t="shared" si="6"/>
        <v>8.5648440537545348E-2</v>
      </c>
      <c r="P77" s="39">
        <f t="shared" si="7"/>
        <v>7.9733375034207743E-2</v>
      </c>
    </row>
    <row r="78" spans="1:16" x14ac:dyDescent="0.3">
      <c r="A78" s="17">
        <v>40113</v>
      </c>
      <c r="B78" s="13">
        <v>21830</v>
      </c>
      <c r="C78" s="13">
        <v>51390</v>
      </c>
      <c r="D78" s="14">
        <v>1649.53</v>
      </c>
      <c r="E78" s="28">
        <f t="shared" si="1"/>
        <v>-4.5599635202918654E-3</v>
      </c>
      <c r="F78" s="39">
        <f t="shared" si="1"/>
        <v>3.8089657193085547E-3</v>
      </c>
      <c r="H78" s="64">
        <f t="shared" si="3"/>
        <v>0.9</v>
      </c>
      <c r="I78" s="65">
        <f t="shared" si="4"/>
        <v>1</v>
      </c>
      <c r="J78" s="66">
        <v>1</v>
      </c>
      <c r="K78" s="65">
        <f t="shared" si="2"/>
        <v>0</v>
      </c>
      <c r="L78" s="28">
        <f t="shared" si="5"/>
        <v>1.4104046242774615E-2</v>
      </c>
      <c r="M78" s="71">
        <f t="shared" si="8"/>
        <v>-4.5599635202918654E-3</v>
      </c>
      <c r="N78" s="51">
        <v>40113</v>
      </c>
      <c r="O78" s="77">
        <f t="shared" si="6"/>
        <v>8.1088477017253482E-2</v>
      </c>
      <c r="P78" s="39">
        <f t="shared" si="7"/>
        <v>7.4794427720656254E-2</v>
      </c>
    </row>
    <row r="79" spans="1:16" x14ac:dyDescent="0.3">
      <c r="A79" s="18">
        <v>40114</v>
      </c>
      <c r="B79" s="15">
        <v>21265</v>
      </c>
      <c r="C79" s="15">
        <v>51465</v>
      </c>
      <c r="D79" s="70">
        <v>1609.71</v>
      </c>
      <c r="E79" s="71">
        <f t="shared" si="1"/>
        <v>-2.588181401740719E-2</v>
      </c>
      <c r="F79" s="39">
        <f t="shared" si="1"/>
        <v>1.4594279042614566E-3</v>
      </c>
      <c r="H79" s="64">
        <f t="shared" si="3"/>
        <v>0.9</v>
      </c>
      <c r="I79" s="65">
        <f t="shared" si="4"/>
        <v>1</v>
      </c>
      <c r="J79" s="66">
        <v>0.9</v>
      </c>
      <c r="K79" s="65">
        <f t="shared" si="2"/>
        <v>9.9999999999999978E-2</v>
      </c>
      <c r="L79" s="28">
        <f t="shared" si="5"/>
        <v>-3.7230705963318235E-3</v>
      </c>
      <c r="M79" s="71">
        <f t="shared" si="8"/>
        <v>-2.3147689825240327E-2</v>
      </c>
      <c r="N79" s="50">
        <v>40114</v>
      </c>
      <c r="O79" s="77">
        <f t="shared" si="6"/>
        <v>5.7940787192013156E-2</v>
      </c>
      <c r="P79" s="39">
        <f t="shared" si="7"/>
        <v>4.8848664920442486E-2</v>
      </c>
    </row>
    <row r="80" spans="1:16" x14ac:dyDescent="0.3">
      <c r="A80" s="17">
        <v>40115</v>
      </c>
      <c r="B80" s="13">
        <v>20920</v>
      </c>
      <c r="C80" s="13">
        <v>51535</v>
      </c>
      <c r="D80" s="14">
        <v>1585.85</v>
      </c>
      <c r="E80" s="28">
        <f t="shared" si="1"/>
        <v>-1.6223841993886712E-2</v>
      </c>
      <c r="F80" s="39">
        <f t="shared" si="1"/>
        <v>1.3601476731759377E-3</v>
      </c>
      <c r="H80" s="64">
        <f t="shared" si="3"/>
        <v>0.9</v>
      </c>
      <c r="I80" s="65">
        <f t="shared" si="4"/>
        <v>1</v>
      </c>
      <c r="J80" s="66">
        <v>0.9</v>
      </c>
      <c r="K80" s="65">
        <f t="shared" si="2"/>
        <v>9.9999999999999978E-2</v>
      </c>
      <c r="L80" s="28">
        <f t="shared" si="5"/>
        <v>-2.3147689825240327E-2</v>
      </c>
      <c r="M80" s="71">
        <f t="shared" si="8"/>
        <v>-1.4465443027180447E-2</v>
      </c>
      <c r="N80" s="51">
        <v>40115</v>
      </c>
      <c r="O80" s="77">
        <f t="shared" si="6"/>
        <v>4.3475344164832709E-2</v>
      </c>
      <c r="P80" s="39">
        <f t="shared" si="7"/>
        <v>3.3302057677521812E-2</v>
      </c>
    </row>
    <row r="81" spans="1:16" x14ac:dyDescent="0.3">
      <c r="A81" s="18">
        <v>40116</v>
      </c>
      <c r="B81" s="15">
        <v>20880</v>
      </c>
      <c r="C81" s="15">
        <v>51520</v>
      </c>
      <c r="D81" s="16">
        <v>1580.69</v>
      </c>
      <c r="E81" s="28">
        <f t="shared" ref="E81:F144" si="9">B81/B80-1</f>
        <v>-1.9120458891013214E-3</v>
      </c>
      <c r="F81" s="39">
        <f t="shared" si="9"/>
        <v>-2.9106432521586179E-4</v>
      </c>
      <c r="H81" s="64">
        <f t="shared" si="3"/>
        <v>0.9</v>
      </c>
      <c r="I81" s="65">
        <f t="shared" si="4"/>
        <v>1</v>
      </c>
      <c r="J81" s="66">
        <v>0.9</v>
      </c>
      <c r="K81" s="65">
        <f t="shared" ref="K81:K144" si="10">1-J81</f>
        <v>9.9999999999999978E-2</v>
      </c>
      <c r="L81" s="28">
        <f t="shared" si="5"/>
        <v>-1.4465443027180447E-2</v>
      </c>
      <c r="M81" s="71">
        <f t="shared" si="8"/>
        <v>-1.7499477327127754E-3</v>
      </c>
      <c r="N81" s="50">
        <v>40116</v>
      </c>
      <c r="O81" s="77">
        <f t="shared" si="6"/>
        <v>4.1725396432119935E-2</v>
      </c>
      <c r="P81" s="39">
        <f t="shared" si="7"/>
        <v>2.9939924677795604E-2</v>
      </c>
    </row>
    <row r="82" spans="1:16" x14ac:dyDescent="0.3">
      <c r="A82" s="17">
        <v>40119</v>
      </c>
      <c r="B82" s="13">
        <v>20600</v>
      </c>
      <c r="C82" s="13">
        <v>51615</v>
      </c>
      <c r="D82" s="14">
        <v>1559.09</v>
      </c>
      <c r="E82" s="28">
        <f t="shared" si="9"/>
        <v>-1.3409961685823757E-2</v>
      </c>
      <c r="F82" s="39">
        <f t="shared" si="9"/>
        <v>1.8439440993789358E-3</v>
      </c>
      <c r="H82" s="64">
        <f t="shared" ref="H82:H145" si="11">IF($D81&lt;=1850,0.9,IF(AND($D81&lt;=1900,$D81&gt;1850),0.7,IF(AND($D81&lt;=1950,$D81&gt;1900),0.5,IF(AND($D81&lt;=2000,$D81&gt;1950),0.3,IF($D81&gt;2000,0.2,0)))))</f>
        <v>0.9</v>
      </c>
      <c r="I82" s="65">
        <f t="shared" ref="I82:I145" si="12">IF($D81&lt;=1850,1,IF(AND($D81&lt;=1900,$D81&gt;1850),0.9,IF(AND($D81&lt;=1950,$D81&gt;1900),0.7,IF(AND($D81&lt;=2000,$D81&gt;1950),0.5,IF($D81&gt;2000,0.3,0)))))</f>
        <v>1</v>
      </c>
      <c r="J82" s="66">
        <v>0.9</v>
      </c>
      <c r="K82" s="65">
        <f t="shared" si="10"/>
        <v>9.9999999999999978E-2</v>
      </c>
      <c r="L82" s="28">
        <f t="shared" ref="L82:L145" si="13">E81*J82+F81*K82</f>
        <v>-1.7499477327127754E-3</v>
      </c>
      <c r="M82" s="71">
        <f t="shared" si="8"/>
        <v>-1.1884571107303487E-2</v>
      </c>
      <c r="N82" s="51">
        <v>40119</v>
      </c>
      <c r="O82" s="77">
        <f t="shared" ref="O82:O145" si="14">O81+M82</f>
        <v>2.9840825324816446E-2</v>
      </c>
      <c r="P82" s="39">
        <f t="shared" ref="P82:P145" si="15">D82/$D$16-1</f>
        <v>1.5865879562662055E-2</v>
      </c>
    </row>
    <row r="83" spans="1:16" x14ac:dyDescent="0.3">
      <c r="A83" s="17">
        <v>40120</v>
      </c>
      <c r="B83" s="13">
        <v>20455</v>
      </c>
      <c r="C83" s="13">
        <v>51490</v>
      </c>
      <c r="D83" s="14">
        <v>1549.92</v>
      </c>
      <c r="E83" s="28">
        <f t="shared" si="9"/>
        <v>-7.0388349514562965E-3</v>
      </c>
      <c r="F83" s="39">
        <f t="shared" si="9"/>
        <v>-2.4217766153250553E-3</v>
      </c>
      <c r="H83" s="64">
        <f t="shared" si="11"/>
        <v>0.9</v>
      </c>
      <c r="I83" s="65">
        <f t="shared" si="12"/>
        <v>1</v>
      </c>
      <c r="J83" s="66">
        <v>0.9</v>
      </c>
      <c r="K83" s="65">
        <f t="shared" si="10"/>
        <v>9.9999999999999978E-2</v>
      </c>
      <c r="L83" s="28">
        <f t="shared" si="13"/>
        <v>-1.1884571107303487E-2</v>
      </c>
      <c r="M83" s="71">
        <f t="shared" si="8"/>
        <v>-6.5771291178431729E-3</v>
      </c>
      <c r="N83" s="51">
        <v>40120</v>
      </c>
      <c r="O83" s="77">
        <f t="shared" si="14"/>
        <v>2.3263696206973272E-2</v>
      </c>
      <c r="P83" s="39">
        <f t="shared" si="15"/>
        <v>9.8909261503576928E-3</v>
      </c>
    </row>
    <row r="84" spans="1:16" x14ac:dyDescent="0.3">
      <c r="A84" s="18">
        <v>40121</v>
      </c>
      <c r="B84" s="15">
        <v>20850</v>
      </c>
      <c r="C84" s="15">
        <v>51540</v>
      </c>
      <c r="D84" s="70">
        <v>1579.93</v>
      </c>
      <c r="E84" s="71">
        <f t="shared" si="9"/>
        <v>1.9310681984844758E-2</v>
      </c>
      <c r="F84" s="39">
        <f t="shared" si="9"/>
        <v>9.7106234220234455E-4</v>
      </c>
      <c r="H84" s="64">
        <f t="shared" si="11"/>
        <v>0.9</v>
      </c>
      <c r="I84" s="65">
        <f t="shared" si="12"/>
        <v>1</v>
      </c>
      <c r="J84" s="66">
        <v>0.9</v>
      </c>
      <c r="K84" s="65">
        <f t="shared" si="10"/>
        <v>9.9999999999999978E-2</v>
      </c>
      <c r="L84" s="28">
        <f t="shared" si="13"/>
        <v>-6.5771291178431729E-3</v>
      </c>
      <c r="M84" s="71">
        <f t="shared" ref="M84:M147" si="16">E84*J84+F84*K84</f>
        <v>1.7476720020580514E-2</v>
      </c>
      <c r="N84" s="50">
        <v>40121</v>
      </c>
      <c r="O84" s="77">
        <f t="shared" si="14"/>
        <v>4.0740416227553783E-2</v>
      </c>
      <c r="P84" s="39">
        <f t="shared" si="15"/>
        <v>2.9444726794114917E-2</v>
      </c>
    </row>
    <row r="85" spans="1:16" x14ac:dyDescent="0.3">
      <c r="A85" s="17">
        <v>40122</v>
      </c>
      <c r="B85" s="13">
        <v>20515</v>
      </c>
      <c r="C85" s="13">
        <v>51570</v>
      </c>
      <c r="D85" s="14">
        <v>1552.24</v>
      </c>
      <c r="E85" s="28">
        <f t="shared" si="9"/>
        <v>-1.6067146282973566E-2</v>
      </c>
      <c r="F85" s="39">
        <f t="shared" si="9"/>
        <v>5.8207217694983271E-4</v>
      </c>
      <c r="H85" s="64">
        <f t="shared" si="11"/>
        <v>0.9</v>
      </c>
      <c r="I85" s="65">
        <f t="shared" si="12"/>
        <v>1</v>
      </c>
      <c r="J85" s="66">
        <v>1</v>
      </c>
      <c r="K85" s="65">
        <f t="shared" si="10"/>
        <v>0</v>
      </c>
      <c r="L85" s="28">
        <f t="shared" si="13"/>
        <v>1.9310681984844758E-2</v>
      </c>
      <c r="M85" s="71">
        <f t="shared" si="16"/>
        <v>-1.6067146282973566E-2</v>
      </c>
      <c r="N85" s="51">
        <v>40122</v>
      </c>
      <c r="O85" s="77">
        <f t="shared" si="14"/>
        <v>2.4673269944580217E-2</v>
      </c>
      <c r="P85" s="39">
        <f t="shared" si="15"/>
        <v>1.1402582847909182E-2</v>
      </c>
    </row>
    <row r="86" spans="1:16" x14ac:dyDescent="0.3">
      <c r="A86" s="18">
        <v>40123</v>
      </c>
      <c r="B86" s="15">
        <v>20785</v>
      </c>
      <c r="C86" s="15">
        <v>51560</v>
      </c>
      <c r="D86" s="16">
        <v>1572.46</v>
      </c>
      <c r="E86" s="28">
        <f t="shared" si="9"/>
        <v>1.3161101632951588E-2</v>
      </c>
      <c r="F86" s="39">
        <f t="shared" si="9"/>
        <v>-1.9391118867562174E-4</v>
      </c>
      <c r="H86" s="64">
        <f t="shared" si="11"/>
        <v>0.9</v>
      </c>
      <c r="I86" s="65">
        <f t="shared" si="12"/>
        <v>1</v>
      </c>
      <c r="J86" s="66">
        <v>0.9</v>
      </c>
      <c r="K86" s="65">
        <f t="shared" si="10"/>
        <v>9.9999999999999978E-2</v>
      </c>
      <c r="L86" s="28">
        <f t="shared" si="13"/>
        <v>-1.4402224436981227E-2</v>
      </c>
      <c r="M86" s="71">
        <f t="shared" si="16"/>
        <v>1.1825600350788867E-2</v>
      </c>
      <c r="N86" s="50">
        <v>40123</v>
      </c>
      <c r="O86" s="77">
        <f t="shared" si="14"/>
        <v>3.6498870295369086E-2</v>
      </c>
      <c r="P86" s="39">
        <f t="shared" si="15"/>
        <v>2.4577452858464577E-2</v>
      </c>
    </row>
    <row r="87" spans="1:16" x14ac:dyDescent="0.3">
      <c r="A87" s="17">
        <v>40126</v>
      </c>
      <c r="B87" s="13">
        <v>20865</v>
      </c>
      <c r="C87" s="13">
        <v>51580</v>
      </c>
      <c r="D87" s="14">
        <v>1576.79</v>
      </c>
      <c r="E87" s="28">
        <f t="shared" si="9"/>
        <v>3.8489295164783055E-3</v>
      </c>
      <c r="F87" s="39">
        <f t="shared" si="9"/>
        <v>3.8789759503488064E-4</v>
      </c>
      <c r="H87" s="64">
        <f t="shared" si="11"/>
        <v>0.9</v>
      </c>
      <c r="I87" s="65">
        <f t="shared" si="12"/>
        <v>1</v>
      </c>
      <c r="J87" s="66">
        <v>1</v>
      </c>
      <c r="K87" s="65">
        <f t="shared" si="10"/>
        <v>0</v>
      </c>
      <c r="L87" s="28">
        <f t="shared" si="13"/>
        <v>1.3161101632951588E-2</v>
      </c>
      <c r="M87" s="71">
        <f t="shared" si="16"/>
        <v>3.8489295164783055E-3</v>
      </c>
      <c r="N87" s="51">
        <v>40126</v>
      </c>
      <c r="O87" s="77">
        <f t="shared" si="14"/>
        <v>4.0347799811847392E-2</v>
      </c>
      <c r="P87" s="39">
        <f t="shared" si="15"/>
        <v>2.7398777643118599E-2</v>
      </c>
    </row>
    <row r="88" spans="1:16" x14ac:dyDescent="0.3">
      <c r="A88" s="17">
        <v>40127</v>
      </c>
      <c r="B88" s="13">
        <v>20930</v>
      </c>
      <c r="C88" s="13">
        <v>51600</v>
      </c>
      <c r="D88" s="14">
        <v>1582.3</v>
      </c>
      <c r="E88" s="28">
        <f t="shared" si="9"/>
        <v>3.1152647975076775E-3</v>
      </c>
      <c r="F88" s="39">
        <f t="shared" si="9"/>
        <v>3.8774718883294312E-4</v>
      </c>
      <c r="H88" s="64">
        <f t="shared" si="11"/>
        <v>0.9</v>
      </c>
      <c r="I88" s="65">
        <f t="shared" si="12"/>
        <v>1</v>
      </c>
      <c r="J88" s="66">
        <v>1</v>
      </c>
      <c r="K88" s="65">
        <f t="shared" si="10"/>
        <v>0</v>
      </c>
      <c r="L88" s="28">
        <f t="shared" si="13"/>
        <v>3.8489295164783055E-3</v>
      </c>
      <c r="M88" s="71">
        <f t="shared" si="16"/>
        <v>3.1152647975076775E-3</v>
      </c>
      <c r="N88" s="51">
        <v>40127</v>
      </c>
      <c r="O88" s="77">
        <f t="shared" si="14"/>
        <v>4.3463064609355069E-2</v>
      </c>
      <c r="P88" s="39">
        <f t="shared" si="15"/>
        <v>3.0988962299803191E-2</v>
      </c>
    </row>
    <row r="89" spans="1:16" x14ac:dyDescent="0.3">
      <c r="A89" s="18">
        <v>40128</v>
      </c>
      <c r="B89" s="15">
        <v>21175</v>
      </c>
      <c r="C89" s="15">
        <v>51665</v>
      </c>
      <c r="D89" s="70">
        <v>1594.82</v>
      </c>
      <c r="E89" s="71">
        <f t="shared" si="9"/>
        <v>1.17056856187292E-2</v>
      </c>
      <c r="F89" s="39">
        <f t="shared" si="9"/>
        <v>1.2596899224806002E-3</v>
      </c>
      <c r="H89" s="64">
        <f t="shared" si="11"/>
        <v>0.9</v>
      </c>
      <c r="I89" s="65">
        <f t="shared" si="12"/>
        <v>1</v>
      </c>
      <c r="J89" s="66">
        <v>1</v>
      </c>
      <c r="K89" s="65">
        <f t="shared" si="10"/>
        <v>0</v>
      </c>
      <c r="L89" s="28">
        <f t="shared" si="13"/>
        <v>3.1152647975076775E-3</v>
      </c>
      <c r="M89" s="71">
        <f t="shared" si="16"/>
        <v>1.17056856187292E-2</v>
      </c>
      <c r="N89" s="50">
        <v>40128</v>
      </c>
      <c r="O89" s="77">
        <f t="shared" si="14"/>
        <v>5.5168750228084269E-2</v>
      </c>
      <c r="P89" s="39">
        <f t="shared" si="15"/>
        <v>3.9146695857278813E-2</v>
      </c>
    </row>
    <row r="90" spans="1:16" x14ac:dyDescent="0.3">
      <c r="A90" s="17">
        <v>40129</v>
      </c>
      <c r="B90" s="13">
        <v>20960</v>
      </c>
      <c r="C90" s="13">
        <v>51820</v>
      </c>
      <c r="D90" s="14">
        <v>1572.73</v>
      </c>
      <c r="E90" s="28">
        <f t="shared" si="9"/>
        <v>-1.0153482880755571E-2</v>
      </c>
      <c r="F90" s="39">
        <f t="shared" si="9"/>
        <v>3.0000967773153864E-3</v>
      </c>
      <c r="H90" s="64">
        <f t="shared" si="11"/>
        <v>0.9</v>
      </c>
      <c r="I90" s="65">
        <f t="shared" si="12"/>
        <v>1</v>
      </c>
      <c r="J90" s="66">
        <v>1</v>
      </c>
      <c r="K90" s="65">
        <f t="shared" si="10"/>
        <v>0</v>
      </c>
      <c r="L90" s="28">
        <f t="shared" si="13"/>
        <v>1.17056856187292E-2</v>
      </c>
      <c r="M90" s="71">
        <f t="shared" si="16"/>
        <v>-1.0153482880755571E-2</v>
      </c>
      <c r="N90" s="51">
        <v>40129</v>
      </c>
      <c r="O90" s="77">
        <f t="shared" si="14"/>
        <v>4.5015267347328698E-2</v>
      </c>
      <c r="P90" s="39">
        <f t="shared" si="15"/>
        <v>2.4753378422403882E-2</v>
      </c>
    </row>
    <row r="91" spans="1:16" x14ac:dyDescent="0.3">
      <c r="A91" s="18">
        <v>40130</v>
      </c>
      <c r="B91" s="15">
        <v>20840</v>
      </c>
      <c r="C91" s="15">
        <v>51910</v>
      </c>
      <c r="D91" s="16">
        <v>1571.99</v>
      </c>
      <c r="E91" s="28">
        <f t="shared" si="9"/>
        <v>-5.7251908396946938E-3</v>
      </c>
      <c r="F91" s="39">
        <f t="shared" si="9"/>
        <v>1.7367811655730758E-3</v>
      </c>
      <c r="H91" s="64">
        <f t="shared" si="11"/>
        <v>0.9</v>
      </c>
      <c r="I91" s="65">
        <f t="shared" si="12"/>
        <v>1</v>
      </c>
      <c r="J91" s="66">
        <v>0.9</v>
      </c>
      <c r="K91" s="65">
        <f t="shared" si="10"/>
        <v>9.9999999999999978E-2</v>
      </c>
      <c r="L91" s="28">
        <f t="shared" si="13"/>
        <v>-8.8381249149484756E-3</v>
      </c>
      <c r="M91" s="71">
        <f t="shared" si="16"/>
        <v>-4.9789936391679175E-3</v>
      </c>
      <c r="N91" s="50">
        <v>40130</v>
      </c>
      <c r="O91" s="77">
        <f t="shared" si="14"/>
        <v>4.0036273708160777E-2</v>
      </c>
      <c r="P91" s="39">
        <f t="shared" si="15"/>
        <v>2.4271212061977909E-2</v>
      </c>
    </row>
    <row r="92" spans="1:16" x14ac:dyDescent="0.3">
      <c r="A92" s="17">
        <v>40133</v>
      </c>
      <c r="B92" s="13">
        <v>21155</v>
      </c>
      <c r="C92" s="13">
        <v>51885</v>
      </c>
      <c r="D92" s="14">
        <v>1592.47</v>
      </c>
      <c r="E92" s="28">
        <f t="shared" si="9"/>
        <v>1.5115163147792599E-2</v>
      </c>
      <c r="F92" s="39">
        <f t="shared" si="9"/>
        <v>-4.8160277403197504E-4</v>
      </c>
      <c r="H92" s="64">
        <f t="shared" si="11"/>
        <v>0.9</v>
      </c>
      <c r="I92" s="65">
        <f t="shared" si="12"/>
        <v>1</v>
      </c>
      <c r="J92" s="66">
        <v>0.9</v>
      </c>
      <c r="K92" s="65">
        <f t="shared" si="10"/>
        <v>9.9999999999999978E-2</v>
      </c>
      <c r="L92" s="28">
        <f t="shared" si="13"/>
        <v>-4.9789936391679175E-3</v>
      </c>
      <c r="M92" s="71">
        <f t="shared" si="16"/>
        <v>1.3555486555610141E-2</v>
      </c>
      <c r="N92" s="51">
        <v>40133</v>
      </c>
      <c r="O92" s="77">
        <f t="shared" si="14"/>
        <v>5.3591760263770917E-2</v>
      </c>
      <c r="P92" s="39">
        <f t="shared" si="15"/>
        <v>3.7615491874845253E-2</v>
      </c>
    </row>
    <row r="93" spans="1:16" x14ac:dyDescent="0.3">
      <c r="A93" s="17">
        <v>40134</v>
      </c>
      <c r="B93" s="13">
        <v>21080</v>
      </c>
      <c r="C93" s="13">
        <v>51950</v>
      </c>
      <c r="D93" s="14">
        <v>1585.98</v>
      </c>
      <c r="E93" s="28">
        <f t="shared" si="9"/>
        <v>-3.5452611675726997E-3</v>
      </c>
      <c r="F93" s="39">
        <f t="shared" si="9"/>
        <v>1.252770550255411E-3</v>
      </c>
      <c r="H93" s="64">
        <f t="shared" si="11"/>
        <v>0.9</v>
      </c>
      <c r="I93" s="65">
        <f t="shared" si="12"/>
        <v>1</v>
      </c>
      <c r="J93" s="66">
        <v>1</v>
      </c>
      <c r="K93" s="65">
        <f t="shared" si="10"/>
        <v>0</v>
      </c>
      <c r="L93" s="28">
        <f t="shared" si="13"/>
        <v>1.5115163147792599E-2</v>
      </c>
      <c r="M93" s="71">
        <f t="shared" si="16"/>
        <v>-3.5452611675726997E-3</v>
      </c>
      <c r="N93" s="51">
        <v>40134</v>
      </c>
      <c r="O93" s="77">
        <f t="shared" si="14"/>
        <v>5.0046499096198217E-2</v>
      </c>
      <c r="P93" s="39">
        <f t="shared" si="15"/>
        <v>3.3386762578677898E-2</v>
      </c>
    </row>
    <row r="94" spans="1:16" x14ac:dyDescent="0.3">
      <c r="A94" s="18">
        <v>40135</v>
      </c>
      <c r="B94" s="15">
        <v>21315</v>
      </c>
      <c r="C94" s="15">
        <v>51940</v>
      </c>
      <c r="D94" s="70">
        <v>1603.97</v>
      </c>
      <c r="E94" s="71">
        <f t="shared" si="9"/>
        <v>1.1148007590132902E-2</v>
      </c>
      <c r="F94" s="39">
        <f t="shared" si="9"/>
        <v>-1.9249278152067006E-4</v>
      </c>
      <c r="H94" s="64">
        <f t="shared" si="11"/>
        <v>0.9</v>
      </c>
      <c r="I94" s="65">
        <f t="shared" si="12"/>
        <v>1</v>
      </c>
      <c r="J94" s="66">
        <v>0.9</v>
      </c>
      <c r="K94" s="65">
        <f t="shared" si="10"/>
        <v>9.9999999999999978E-2</v>
      </c>
      <c r="L94" s="28">
        <f t="shared" si="13"/>
        <v>-3.0654579957898886E-3</v>
      </c>
      <c r="M94" s="71">
        <f t="shared" si="16"/>
        <v>1.0013957552967545E-2</v>
      </c>
      <c r="N94" s="50">
        <v>40135</v>
      </c>
      <c r="O94" s="77">
        <f t="shared" si="14"/>
        <v>6.0060456649165761E-2</v>
      </c>
      <c r="P94" s="39">
        <f t="shared" si="15"/>
        <v>4.5108617746328461E-2</v>
      </c>
    </row>
    <row r="95" spans="1:16" x14ac:dyDescent="0.3">
      <c r="A95" s="17">
        <v>40136</v>
      </c>
      <c r="B95" s="13">
        <v>21570</v>
      </c>
      <c r="C95" s="13">
        <v>51980</v>
      </c>
      <c r="D95" s="14">
        <v>1620.54</v>
      </c>
      <c r="E95" s="28">
        <f t="shared" si="9"/>
        <v>1.1963406052075909E-2</v>
      </c>
      <c r="F95" s="39">
        <f t="shared" si="9"/>
        <v>7.7011936850213125E-4</v>
      </c>
      <c r="H95" s="64">
        <f t="shared" si="11"/>
        <v>0.9</v>
      </c>
      <c r="I95" s="65">
        <f t="shared" si="12"/>
        <v>1</v>
      </c>
      <c r="J95" s="66">
        <v>1</v>
      </c>
      <c r="K95" s="65">
        <f t="shared" si="10"/>
        <v>0</v>
      </c>
      <c r="L95" s="28">
        <f t="shared" si="13"/>
        <v>1.1148007590132902E-2</v>
      </c>
      <c r="M95" s="71">
        <f t="shared" si="16"/>
        <v>1.1963406052075909E-2</v>
      </c>
      <c r="N95" s="51">
        <v>40136</v>
      </c>
      <c r="O95" s="77">
        <f t="shared" si="14"/>
        <v>7.202386270124167E-2</v>
      </c>
      <c r="P95" s="39">
        <f t="shared" si="15"/>
        <v>5.5905234762891443E-2</v>
      </c>
    </row>
    <row r="96" spans="1:16" x14ac:dyDescent="0.3">
      <c r="A96" s="18">
        <v>40137</v>
      </c>
      <c r="B96" s="15">
        <v>21560</v>
      </c>
      <c r="C96" s="15">
        <v>52010</v>
      </c>
      <c r="D96" s="16">
        <v>1620.6</v>
      </c>
      <c r="E96" s="28">
        <f t="shared" si="9"/>
        <v>-4.6360686138158247E-4</v>
      </c>
      <c r="F96" s="39">
        <f t="shared" si="9"/>
        <v>5.7714505579076203E-4</v>
      </c>
      <c r="H96" s="64">
        <f t="shared" si="11"/>
        <v>0.9</v>
      </c>
      <c r="I96" s="65">
        <f t="shared" si="12"/>
        <v>1</v>
      </c>
      <c r="J96" s="66">
        <v>1</v>
      </c>
      <c r="K96" s="65">
        <f t="shared" si="10"/>
        <v>0</v>
      </c>
      <c r="L96" s="28">
        <f t="shared" si="13"/>
        <v>1.1963406052075909E-2</v>
      </c>
      <c r="M96" s="71">
        <f t="shared" si="16"/>
        <v>-4.6360686138158247E-4</v>
      </c>
      <c r="N96" s="50">
        <v>40137</v>
      </c>
      <c r="O96" s="77">
        <f t="shared" si="14"/>
        <v>7.1560255839860087E-2</v>
      </c>
      <c r="P96" s="39">
        <f t="shared" si="15"/>
        <v>5.5944329332655585E-2</v>
      </c>
    </row>
    <row r="97" spans="1:16" x14ac:dyDescent="0.3">
      <c r="A97" s="17">
        <v>40140</v>
      </c>
      <c r="B97" s="13">
        <v>21550</v>
      </c>
      <c r="C97" s="13">
        <v>51935</v>
      </c>
      <c r="D97" s="14">
        <v>1619.05</v>
      </c>
      <c r="E97" s="28">
        <f t="shared" si="9"/>
        <v>-4.638218923933568E-4</v>
      </c>
      <c r="F97" s="39">
        <f t="shared" si="9"/>
        <v>-1.4420303787733291E-3</v>
      </c>
      <c r="H97" s="64">
        <f t="shared" si="11"/>
        <v>0.9</v>
      </c>
      <c r="I97" s="65">
        <f t="shared" si="12"/>
        <v>1</v>
      </c>
      <c r="J97" s="66">
        <v>0.9</v>
      </c>
      <c r="K97" s="65">
        <f t="shared" si="10"/>
        <v>9.9999999999999978E-2</v>
      </c>
      <c r="L97" s="28">
        <f t="shared" si="13"/>
        <v>-3.5953166966434802E-4</v>
      </c>
      <c r="M97" s="71">
        <f t="shared" si="16"/>
        <v>-5.6164274103135401E-4</v>
      </c>
      <c r="N97" s="51">
        <v>40140</v>
      </c>
      <c r="O97" s="77">
        <f t="shared" si="14"/>
        <v>7.0998613098828739E-2</v>
      </c>
      <c r="P97" s="39">
        <f t="shared" si="15"/>
        <v>5.4934386280412362E-2</v>
      </c>
    </row>
    <row r="98" spans="1:16" x14ac:dyDescent="0.3">
      <c r="A98" s="17">
        <v>40141</v>
      </c>
      <c r="B98" s="13">
        <v>21355</v>
      </c>
      <c r="C98" s="13">
        <v>51945</v>
      </c>
      <c r="D98" s="14">
        <v>1606.42</v>
      </c>
      <c r="E98" s="28">
        <f t="shared" si="9"/>
        <v>-9.0487238979117812E-3</v>
      </c>
      <c r="F98" s="39">
        <f t="shared" si="9"/>
        <v>1.9254837777982203E-4</v>
      </c>
      <c r="H98" s="64">
        <f t="shared" si="11"/>
        <v>0.9</v>
      </c>
      <c r="I98" s="65">
        <f t="shared" si="12"/>
        <v>1</v>
      </c>
      <c r="J98" s="66">
        <v>1</v>
      </c>
      <c r="K98" s="65">
        <f t="shared" si="10"/>
        <v>0</v>
      </c>
      <c r="L98" s="28">
        <f t="shared" si="13"/>
        <v>-4.638218923933568E-4</v>
      </c>
      <c r="M98" s="71">
        <f t="shared" si="16"/>
        <v>-9.0487238979117812E-3</v>
      </c>
      <c r="N98" s="51">
        <v>40141</v>
      </c>
      <c r="O98" s="77">
        <f t="shared" si="14"/>
        <v>6.1949889200916958E-2</v>
      </c>
      <c r="P98" s="39">
        <f t="shared" si="15"/>
        <v>4.6704979345035591E-2</v>
      </c>
    </row>
    <row r="99" spans="1:16" x14ac:dyDescent="0.3">
      <c r="A99" s="18">
        <v>40142</v>
      </c>
      <c r="B99" s="15">
        <v>21430</v>
      </c>
      <c r="C99" s="15">
        <v>52030</v>
      </c>
      <c r="D99" s="70">
        <v>1611.88</v>
      </c>
      <c r="E99" s="71">
        <f t="shared" si="9"/>
        <v>3.5120580660266132E-3</v>
      </c>
      <c r="F99" s="39">
        <f t="shared" si="9"/>
        <v>1.6363461353354758E-3</v>
      </c>
      <c r="H99" s="64">
        <f t="shared" si="11"/>
        <v>0.9</v>
      </c>
      <c r="I99" s="65">
        <f t="shared" si="12"/>
        <v>1</v>
      </c>
      <c r="J99" s="66">
        <v>0.9</v>
      </c>
      <c r="K99" s="65">
        <f t="shared" si="10"/>
        <v>9.9999999999999978E-2</v>
      </c>
      <c r="L99" s="28">
        <f t="shared" si="13"/>
        <v>-8.1245966703426212E-3</v>
      </c>
      <c r="M99" s="71">
        <f t="shared" si="16"/>
        <v>3.3244868729574995E-3</v>
      </c>
      <c r="N99" s="50">
        <v>40142</v>
      </c>
      <c r="O99" s="77">
        <f t="shared" si="14"/>
        <v>6.5274376073874457E-2</v>
      </c>
      <c r="P99" s="39">
        <f t="shared" si="15"/>
        <v>5.0262585193583398E-2</v>
      </c>
    </row>
    <row r="100" spans="1:16" x14ac:dyDescent="0.3">
      <c r="A100" s="17">
        <v>40143</v>
      </c>
      <c r="B100" s="13">
        <v>21260</v>
      </c>
      <c r="C100" s="13">
        <v>52070</v>
      </c>
      <c r="D100" s="14">
        <v>1599.52</v>
      </c>
      <c r="E100" s="28">
        <f t="shared" si="9"/>
        <v>-7.9328044797013497E-3</v>
      </c>
      <c r="F100" s="39">
        <f t="shared" si="9"/>
        <v>7.6878723813189609E-4</v>
      </c>
      <c r="H100" s="64">
        <f t="shared" si="11"/>
        <v>0.9</v>
      </c>
      <c r="I100" s="65">
        <f t="shared" si="12"/>
        <v>1</v>
      </c>
      <c r="J100" s="66">
        <v>1</v>
      </c>
      <c r="K100" s="65">
        <f t="shared" si="10"/>
        <v>0</v>
      </c>
      <c r="L100" s="28">
        <f t="shared" si="13"/>
        <v>3.5120580660266132E-3</v>
      </c>
      <c r="M100" s="71">
        <f t="shared" si="16"/>
        <v>-7.9328044797013497E-3</v>
      </c>
      <c r="N100" s="51">
        <v>40143</v>
      </c>
      <c r="O100" s="77">
        <f t="shared" si="14"/>
        <v>5.7341571594173107E-2</v>
      </c>
      <c r="P100" s="39">
        <f t="shared" si="15"/>
        <v>4.220910382214571E-2</v>
      </c>
    </row>
    <row r="101" spans="1:16" x14ac:dyDescent="0.3">
      <c r="A101" s="18">
        <v>40144</v>
      </c>
      <c r="B101" s="15">
        <v>20265</v>
      </c>
      <c r="C101" s="15">
        <v>52320</v>
      </c>
      <c r="D101" s="16">
        <v>1524.5</v>
      </c>
      <c r="E101" s="28">
        <f t="shared" si="9"/>
        <v>-4.6801505174035696E-2</v>
      </c>
      <c r="F101" s="39">
        <f t="shared" si="9"/>
        <v>4.8012291146533048E-3</v>
      </c>
      <c r="H101" s="64">
        <f t="shared" si="11"/>
        <v>0.9</v>
      </c>
      <c r="I101" s="65">
        <f t="shared" si="12"/>
        <v>1</v>
      </c>
      <c r="J101" s="66">
        <v>0.9</v>
      </c>
      <c r="K101" s="65">
        <f t="shared" si="10"/>
        <v>9.9999999999999978E-2</v>
      </c>
      <c r="L101" s="28">
        <f t="shared" si="13"/>
        <v>-7.0626453079180255E-3</v>
      </c>
      <c r="M101" s="71">
        <f t="shared" si="16"/>
        <v>-4.1641231745166797E-2</v>
      </c>
      <c r="N101" s="50">
        <v>40144</v>
      </c>
      <c r="O101" s="77">
        <f t="shared" si="14"/>
        <v>1.570033984900631E-2</v>
      </c>
      <c r="P101" s="39">
        <f t="shared" si="15"/>
        <v>-6.6721399064336717E-3</v>
      </c>
    </row>
    <row r="102" spans="1:16" x14ac:dyDescent="0.3">
      <c r="A102" s="17">
        <v>40147</v>
      </c>
      <c r="B102" s="13">
        <v>20670</v>
      </c>
      <c r="C102" s="13">
        <v>52295</v>
      </c>
      <c r="D102" s="14">
        <v>1555.6</v>
      </c>
      <c r="E102" s="28">
        <f t="shared" si="9"/>
        <v>1.9985196150999363E-2</v>
      </c>
      <c r="F102" s="39">
        <f t="shared" si="9"/>
        <v>-4.7782874617741111E-4</v>
      </c>
      <c r="H102" s="64">
        <f t="shared" si="11"/>
        <v>0.9</v>
      </c>
      <c r="I102" s="65">
        <f t="shared" si="12"/>
        <v>1</v>
      </c>
      <c r="J102" s="66">
        <v>0.9</v>
      </c>
      <c r="K102" s="65">
        <f t="shared" si="10"/>
        <v>9.9999999999999978E-2</v>
      </c>
      <c r="L102" s="28">
        <f t="shared" si="13"/>
        <v>-4.1641231745166797E-2</v>
      </c>
      <c r="M102" s="71">
        <f t="shared" si="16"/>
        <v>1.7938893661281683E-2</v>
      </c>
      <c r="N102" s="51">
        <v>40147</v>
      </c>
      <c r="O102" s="77">
        <f t="shared" si="14"/>
        <v>3.3639233510287997E-2</v>
      </c>
      <c r="P102" s="39">
        <f t="shared" si="15"/>
        <v>1.3591878754707576E-2</v>
      </c>
    </row>
    <row r="103" spans="1:16" x14ac:dyDescent="0.3">
      <c r="A103" s="17">
        <v>40148</v>
      </c>
      <c r="B103" s="13">
        <v>20880</v>
      </c>
      <c r="C103" s="13">
        <v>52365</v>
      </c>
      <c r="D103" s="14">
        <v>1569.72</v>
      </c>
      <c r="E103" s="28">
        <f t="shared" si="9"/>
        <v>1.0159651669085612E-2</v>
      </c>
      <c r="F103" s="39">
        <f t="shared" si="9"/>
        <v>1.3385600917870111E-3</v>
      </c>
      <c r="H103" s="64">
        <f t="shared" si="11"/>
        <v>0.9</v>
      </c>
      <c r="I103" s="65">
        <f t="shared" si="12"/>
        <v>1</v>
      </c>
      <c r="J103" s="66">
        <v>1</v>
      </c>
      <c r="K103" s="65">
        <f t="shared" si="10"/>
        <v>0</v>
      </c>
      <c r="L103" s="28">
        <f t="shared" si="13"/>
        <v>1.9985196150999363E-2</v>
      </c>
      <c r="M103" s="71">
        <f t="shared" si="16"/>
        <v>1.0159651669085612E-2</v>
      </c>
      <c r="N103" s="51">
        <v>40148</v>
      </c>
      <c r="O103" s="77">
        <f t="shared" si="14"/>
        <v>4.3798885179373609E-2</v>
      </c>
      <c r="P103" s="39">
        <f t="shared" si="15"/>
        <v>2.2792134172563427E-2</v>
      </c>
    </row>
    <row r="104" spans="1:16" x14ac:dyDescent="0.3">
      <c r="A104" s="18">
        <v>40149</v>
      </c>
      <c r="B104" s="15">
        <v>21180</v>
      </c>
      <c r="C104" s="15">
        <v>52255</v>
      </c>
      <c r="D104" s="70">
        <v>1591.63</v>
      </c>
      <c r="E104" s="71">
        <f t="shared" si="9"/>
        <v>1.4367816091954033E-2</v>
      </c>
      <c r="F104" s="39">
        <f t="shared" si="9"/>
        <v>-2.1006397402845156E-3</v>
      </c>
      <c r="H104" s="64">
        <f t="shared" si="11"/>
        <v>0.9</v>
      </c>
      <c r="I104" s="65">
        <f t="shared" si="12"/>
        <v>1</v>
      </c>
      <c r="J104" s="66">
        <v>1</v>
      </c>
      <c r="K104" s="65">
        <f t="shared" si="10"/>
        <v>0</v>
      </c>
      <c r="L104" s="28">
        <f t="shared" si="13"/>
        <v>1.0159651669085612E-2</v>
      </c>
      <c r="M104" s="71">
        <f t="shared" si="16"/>
        <v>1.4367816091954033E-2</v>
      </c>
      <c r="N104" s="50">
        <v>40149</v>
      </c>
      <c r="O104" s="77">
        <f t="shared" si="14"/>
        <v>5.8166701271327642E-2</v>
      </c>
      <c r="P104" s="39">
        <f t="shared" si="15"/>
        <v>3.706816789814571E-2</v>
      </c>
    </row>
    <row r="105" spans="1:16" x14ac:dyDescent="0.3">
      <c r="A105" s="17">
        <v>40150</v>
      </c>
      <c r="B105" s="13">
        <v>21530</v>
      </c>
      <c r="C105" s="13">
        <v>52280</v>
      </c>
      <c r="D105" s="14">
        <v>1615</v>
      </c>
      <c r="E105" s="28">
        <f t="shared" si="9"/>
        <v>1.6525023607176559E-2</v>
      </c>
      <c r="F105" s="39">
        <f t="shared" si="9"/>
        <v>4.7842311740509125E-4</v>
      </c>
      <c r="H105" s="64">
        <f t="shared" si="11"/>
        <v>0.9</v>
      </c>
      <c r="I105" s="65">
        <f t="shared" si="12"/>
        <v>1</v>
      </c>
      <c r="J105" s="66">
        <v>1</v>
      </c>
      <c r="K105" s="65">
        <f t="shared" si="10"/>
        <v>0</v>
      </c>
      <c r="L105" s="28">
        <f t="shared" si="13"/>
        <v>1.4367816091954033E-2</v>
      </c>
      <c r="M105" s="71">
        <f t="shared" si="16"/>
        <v>1.6525023607176559E-2</v>
      </c>
      <c r="N105" s="51">
        <v>40150</v>
      </c>
      <c r="O105" s="77">
        <f t="shared" si="14"/>
        <v>7.4691724878504201E-2</v>
      </c>
      <c r="P105" s="39">
        <f t="shared" si="15"/>
        <v>5.229550282132478E-2</v>
      </c>
    </row>
    <row r="106" spans="1:16" x14ac:dyDescent="0.3">
      <c r="A106" s="18">
        <v>40151</v>
      </c>
      <c r="B106" s="15">
        <v>21635</v>
      </c>
      <c r="C106" s="15">
        <v>52180</v>
      </c>
      <c r="D106" s="16">
        <v>1624.76</v>
      </c>
      <c r="E106" s="28">
        <f t="shared" si="9"/>
        <v>4.8769159312587185E-3</v>
      </c>
      <c r="F106" s="39">
        <f t="shared" si="9"/>
        <v>-1.9127773527161107E-3</v>
      </c>
      <c r="H106" s="64">
        <f t="shared" si="11"/>
        <v>0.9</v>
      </c>
      <c r="I106" s="65">
        <f t="shared" si="12"/>
        <v>1</v>
      </c>
      <c r="J106" s="66">
        <v>1</v>
      </c>
      <c r="K106" s="65">
        <f t="shared" si="10"/>
        <v>0</v>
      </c>
      <c r="L106" s="28">
        <f t="shared" si="13"/>
        <v>1.6525023607176559E-2</v>
      </c>
      <c r="M106" s="71">
        <f t="shared" si="16"/>
        <v>4.8769159312587185E-3</v>
      </c>
      <c r="N106" s="50">
        <v>40151</v>
      </c>
      <c r="O106" s="77">
        <f t="shared" si="14"/>
        <v>7.9568640809762919E-2</v>
      </c>
      <c r="P106" s="39">
        <f t="shared" si="15"/>
        <v>5.8654886169644316E-2</v>
      </c>
    </row>
    <row r="107" spans="1:16" x14ac:dyDescent="0.3">
      <c r="A107" s="17">
        <v>40154</v>
      </c>
      <c r="B107" s="13">
        <v>21735</v>
      </c>
      <c r="C107" s="13">
        <v>52205</v>
      </c>
      <c r="D107" s="14">
        <v>1632.65</v>
      </c>
      <c r="E107" s="28">
        <f t="shared" si="9"/>
        <v>4.6221400508434929E-3</v>
      </c>
      <c r="F107" s="39">
        <f t="shared" si="9"/>
        <v>4.7911077041007388E-4</v>
      </c>
      <c r="H107" s="64">
        <f t="shared" si="11"/>
        <v>0.9</v>
      </c>
      <c r="I107" s="65">
        <f t="shared" si="12"/>
        <v>1</v>
      </c>
      <c r="J107" s="66">
        <v>1</v>
      </c>
      <c r="K107" s="65">
        <f t="shared" si="10"/>
        <v>0</v>
      </c>
      <c r="L107" s="28">
        <f t="shared" si="13"/>
        <v>4.8769159312587185E-3</v>
      </c>
      <c r="M107" s="71">
        <f t="shared" si="16"/>
        <v>4.6221400508434929E-3</v>
      </c>
      <c r="N107" s="51">
        <v>40154</v>
      </c>
      <c r="O107" s="77">
        <f t="shared" si="14"/>
        <v>8.4190780860606412E-2</v>
      </c>
      <c r="P107" s="39">
        <f t="shared" si="15"/>
        <v>6.3795822093644539E-2</v>
      </c>
    </row>
    <row r="108" spans="1:16" x14ac:dyDescent="0.3">
      <c r="A108" s="17">
        <v>40155</v>
      </c>
      <c r="B108" s="13">
        <v>21680</v>
      </c>
      <c r="C108" s="13">
        <v>52225</v>
      </c>
      <c r="D108" s="14">
        <v>1627.78</v>
      </c>
      <c r="E108" s="28">
        <f t="shared" si="9"/>
        <v>-2.5304807913503202E-3</v>
      </c>
      <c r="F108" s="39">
        <f t="shared" si="9"/>
        <v>3.8310506656458188E-4</v>
      </c>
      <c r="H108" s="64">
        <f t="shared" si="11"/>
        <v>0.9</v>
      </c>
      <c r="I108" s="65">
        <f t="shared" si="12"/>
        <v>1</v>
      </c>
      <c r="J108" s="66">
        <v>1</v>
      </c>
      <c r="K108" s="65">
        <f t="shared" si="10"/>
        <v>0</v>
      </c>
      <c r="L108" s="28">
        <f t="shared" si="13"/>
        <v>4.6221400508434929E-3</v>
      </c>
      <c r="M108" s="71">
        <f t="shared" si="16"/>
        <v>-2.5304807913503202E-3</v>
      </c>
      <c r="N108" s="51">
        <v>40155</v>
      </c>
      <c r="O108" s="77">
        <f t="shared" si="14"/>
        <v>8.1660300069256092E-2</v>
      </c>
      <c r="P108" s="39">
        <f t="shared" si="15"/>
        <v>6.0622646181112128E-2</v>
      </c>
    </row>
    <row r="109" spans="1:16" x14ac:dyDescent="0.3">
      <c r="A109" s="18">
        <v>40156</v>
      </c>
      <c r="B109" s="15">
        <v>21760</v>
      </c>
      <c r="C109" s="15">
        <v>52300</v>
      </c>
      <c r="D109" s="70">
        <v>1634.17</v>
      </c>
      <c r="E109" s="71">
        <f t="shared" si="9"/>
        <v>3.6900369003689537E-3</v>
      </c>
      <c r="F109" s="39">
        <f t="shared" si="9"/>
        <v>1.4360938247965915E-3</v>
      </c>
      <c r="H109" s="64">
        <f t="shared" si="11"/>
        <v>0.9</v>
      </c>
      <c r="I109" s="65">
        <f t="shared" si="12"/>
        <v>1</v>
      </c>
      <c r="J109" s="66">
        <v>0.9</v>
      </c>
      <c r="K109" s="65">
        <f t="shared" si="10"/>
        <v>9.9999999999999978E-2</v>
      </c>
      <c r="L109" s="28">
        <f t="shared" si="13"/>
        <v>-2.23912220555883E-3</v>
      </c>
      <c r="M109" s="71">
        <f t="shared" si="16"/>
        <v>3.4646425928117177E-3</v>
      </c>
      <c r="N109" s="50">
        <v>40156</v>
      </c>
      <c r="O109" s="77">
        <f t="shared" si="14"/>
        <v>8.5124942662067812E-2</v>
      </c>
      <c r="P109" s="39">
        <f t="shared" si="15"/>
        <v>6.4786217861005913E-2</v>
      </c>
    </row>
    <row r="110" spans="1:16" x14ac:dyDescent="0.3">
      <c r="A110" s="17">
        <v>40157</v>
      </c>
      <c r="B110" s="13">
        <v>21750</v>
      </c>
      <c r="C110" s="13">
        <v>52030</v>
      </c>
      <c r="D110" s="14">
        <v>1652.73</v>
      </c>
      <c r="E110" s="28">
        <f t="shared" si="9"/>
        <v>-4.5955882352943789E-4</v>
      </c>
      <c r="F110" s="39">
        <f t="shared" si="9"/>
        <v>-5.1625239005735901E-3</v>
      </c>
      <c r="H110" s="64">
        <f t="shared" si="11"/>
        <v>0.9</v>
      </c>
      <c r="I110" s="65">
        <f t="shared" si="12"/>
        <v>1</v>
      </c>
      <c r="J110" s="66">
        <v>1</v>
      </c>
      <c r="K110" s="65">
        <f t="shared" si="10"/>
        <v>0</v>
      </c>
      <c r="L110" s="28">
        <f t="shared" si="13"/>
        <v>3.6900369003689537E-3</v>
      </c>
      <c r="M110" s="71">
        <f t="shared" si="16"/>
        <v>-4.5955882352943789E-4</v>
      </c>
      <c r="N110" s="51">
        <v>40157</v>
      </c>
      <c r="O110" s="77">
        <f t="shared" si="14"/>
        <v>8.4665383838538374E-2</v>
      </c>
      <c r="P110" s="39">
        <f t="shared" si="15"/>
        <v>7.6879471441416714E-2</v>
      </c>
    </row>
    <row r="111" spans="1:16" x14ac:dyDescent="0.3">
      <c r="A111" s="18">
        <v>40158</v>
      </c>
      <c r="B111" s="15">
        <v>22085</v>
      </c>
      <c r="C111" s="15">
        <v>51345</v>
      </c>
      <c r="D111" s="16">
        <v>1656.9</v>
      </c>
      <c r="E111" s="28">
        <f t="shared" si="9"/>
        <v>1.5402298850574647E-2</v>
      </c>
      <c r="F111" s="39">
        <f t="shared" si="9"/>
        <v>-1.3165481453007888E-2</v>
      </c>
      <c r="H111" s="64">
        <f t="shared" si="11"/>
        <v>0.9</v>
      </c>
      <c r="I111" s="65">
        <f t="shared" si="12"/>
        <v>1</v>
      </c>
      <c r="J111" s="66">
        <v>1</v>
      </c>
      <c r="K111" s="65">
        <f t="shared" si="10"/>
        <v>0</v>
      </c>
      <c r="L111" s="28">
        <f t="shared" si="13"/>
        <v>-4.5955882352943789E-4</v>
      </c>
      <c r="M111" s="71">
        <f t="shared" si="16"/>
        <v>1.5402298850574647E-2</v>
      </c>
      <c r="N111" s="50">
        <v>40158</v>
      </c>
      <c r="O111" s="77">
        <f t="shared" si="14"/>
        <v>0.10006768268911302</v>
      </c>
      <c r="P111" s="39">
        <f t="shared" si="15"/>
        <v>7.9596544040032802E-2</v>
      </c>
    </row>
    <row r="112" spans="1:16" x14ac:dyDescent="0.3">
      <c r="A112" s="17">
        <v>40161</v>
      </c>
      <c r="B112" s="13">
        <v>22145</v>
      </c>
      <c r="C112" s="13">
        <v>51385</v>
      </c>
      <c r="D112" s="14">
        <v>1664.77</v>
      </c>
      <c r="E112" s="28">
        <f t="shared" si="9"/>
        <v>2.7167760923703099E-3</v>
      </c>
      <c r="F112" s="39">
        <f t="shared" si="9"/>
        <v>7.7904372382908704E-4</v>
      </c>
      <c r="H112" s="64">
        <f t="shared" si="11"/>
        <v>0.9</v>
      </c>
      <c r="I112" s="65">
        <f t="shared" si="12"/>
        <v>1</v>
      </c>
      <c r="J112" s="66">
        <v>1</v>
      </c>
      <c r="K112" s="65">
        <f t="shared" si="10"/>
        <v>0</v>
      </c>
      <c r="L112" s="28">
        <f t="shared" si="13"/>
        <v>1.5402298850574647E-2</v>
      </c>
      <c r="M112" s="71">
        <f t="shared" si="16"/>
        <v>2.7167760923703099E-3</v>
      </c>
      <c r="N112" s="51">
        <v>40161</v>
      </c>
      <c r="O112" s="77">
        <f t="shared" si="14"/>
        <v>0.10278445878148333</v>
      </c>
      <c r="P112" s="39">
        <f t="shared" si="15"/>
        <v>8.472444844077831E-2</v>
      </c>
    </row>
    <row r="113" spans="1:16" x14ac:dyDescent="0.3">
      <c r="A113" s="17">
        <v>40162</v>
      </c>
      <c r="B113" s="13">
        <v>22150</v>
      </c>
      <c r="C113" s="13">
        <v>51600</v>
      </c>
      <c r="D113" s="14">
        <v>1665.85</v>
      </c>
      <c r="E113" s="28">
        <f t="shared" si="9"/>
        <v>2.2578460149014212E-4</v>
      </c>
      <c r="F113" s="39">
        <f t="shared" si="9"/>
        <v>4.1841004184099972E-3</v>
      </c>
      <c r="H113" s="64">
        <f t="shared" si="11"/>
        <v>0.9</v>
      </c>
      <c r="I113" s="65">
        <f t="shared" si="12"/>
        <v>1</v>
      </c>
      <c r="J113" s="66">
        <v>1</v>
      </c>
      <c r="K113" s="65">
        <f t="shared" si="10"/>
        <v>0</v>
      </c>
      <c r="L113" s="28">
        <f t="shared" si="13"/>
        <v>2.7167760923703099E-3</v>
      </c>
      <c r="M113" s="71">
        <f t="shared" si="16"/>
        <v>2.2578460149014212E-4</v>
      </c>
      <c r="N113" s="51">
        <v>40162</v>
      </c>
      <c r="O113" s="77">
        <f t="shared" si="14"/>
        <v>0.10301024338297347</v>
      </c>
      <c r="P113" s="39">
        <f t="shared" si="15"/>
        <v>8.5428150696534866E-2</v>
      </c>
    </row>
    <row r="114" spans="1:16" x14ac:dyDescent="0.3">
      <c r="A114" s="18">
        <v>40163</v>
      </c>
      <c r="B114" s="15">
        <v>22085</v>
      </c>
      <c r="C114" s="15">
        <v>51405</v>
      </c>
      <c r="D114" s="70">
        <v>1664.24</v>
      </c>
      <c r="E114" s="71">
        <f t="shared" si="9"/>
        <v>-2.9345372460496399E-3</v>
      </c>
      <c r="F114" s="39">
        <f t="shared" si="9"/>
        <v>-3.7790697674419116E-3</v>
      </c>
      <c r="H114" s="64">
        <f t="shared" si="11"/>
        <v>0.9</v>
      </c>
      <c r="I114" s="65">
        <f t="shared" si="12"/>
        <v>1</v>
      </c>
      <c r="J114" s="66">
        <v>0.9</v>
      </c>
      <c r="K114" s="65">
        <f t="shared" si="10"/>
        <v>9.9999999999999978E-2</v>
      </c>
      <c r="L114" s="28">
        <f t="shared" si="13"/>
        <v>6.2161618318212753E-4</v>
      </c>
      <c r="M114" s="71">
        <f t="shared" si="16"/>
        <v>-3.0189904981888669E-3</v>
      </c>
      <c r="N114" s="50">
        <v>40163</v>
      </c>
      <c r="O114" s="77">
        <f t="shared" si="14"/>
        <v>9.9991252884784609E-2</v>
      </c>
      <c r="P114" s="39">
        <f t="shared" si="15"/>
        <v>8.4379113074527279E-2</v>
      </c>
    </row>
    <row r="115" spans="1:16" x14ac:dyDescent="0.3">
      <c r="A115" s="17">
        <v>40164</v>
      </c>
      <c r="B115" s="13">
        <v>21880</v>
      </c>
      <c r="C115" s="13">
        <v>51435</v>
      </c>
      <c r="D115" s="14">
        <v>1647.84</v>
      </c>
      <c r="E115" s="28">
        <f t="shared" si="9"/>
        <v>-9.282318315598781E-3</v>
      </c>
      <c r="F115" s="39">
        <f t="shared" si="9"/>
        <v>5.836008170412299E-4</v>
      </c>
      <c r="H115" s="64">
        <f t="shared" si="11"/>
        <v>0.9</v>
      </c>
      <c r="I115" s="65">
        <f t="shared" si="12"/>
        <v>1</v>
      </c>
      <c r="J115" s="66">
        <v>1</v>
      </c>
      <c r="K115" s="65">
        <f t="shared" si="10"/>
        <v>0</v>
      </c>
      <c r="L115" s="28">
        <f t="shared" si="13"/>
        <v>-2.9345372460496399E-3</v>
      </c>
      <c r="M115" s="71">
        <f t="shared" si="16"/>
        <v>-9.282318315598781E-3</v>
      </c>
      <c r="N115" s="51">
        <v>40164</v>
      </c>
      <c r="O115" s="77">
        <f t="shared" si="14"/>
        <v>9.0708934569185828E-2</v>
      </c>
      <c r="P115" s="39">
        <f t="shared" si="15"/>
        <v>7.3693264005629588E-2</v>
      </c>
    </row>
    <row r="116" spans="1:16" x14ac:dyDescent="0.3">
      <c r="A116" s="18">
        <v>40165</v>
      </c>
      <c r="B116" s="15">
        <v>21855</v>
      </c>
      <c r="C116" s="15">
        <v>51510</v>
      </c>
      <c r="D116" s="16">
        <v>1647.04</v>
      </c>
      <c r="E116" s="28">
        <f t="shared" si="9"/>
        <v>-1.1425959780622108E-3</v>
      </c>
      <c r="F116" s="39">
        <f t="shared" si="9"/>
        <v>1.4581510644502416E-3</v>
      </c>
      <c r="H116" s="64">
        <f t="shared" si="11"/>
        <v>0.9</v>
      </c>
      <c r="I116" s="65">
        <f t="shared" si="12"/>
        <v>1</v>
      </c>
      <c r="J116" s="66">
        <v>0.9</v>
      </c>
      <c r="K116" s="65">
        <f t="shared" si="10"/>
        <v>9.9999999999999978E-2</v>
      </c>
      <c r="L116" s="28">
        <f t="shared" si="13"/>
        <v>-8.2957264023347799E-3</v>
      </c>
      <c r="M116" s="71">
        <f t="shared" si="16"/>
        <v>-8.825212738109657E-4</v>
      </c>
      <c r="N116" s="50">
        <v>40165</v>
      </c>
      <c r="O116" s="77">
        <f t="shared" si="14"/>
        <v>8.9826413295374857E-2</v>
      </c>
      <c r="P116" s="39">
        <f t="shared" si="15"/>
        <v>7.3172003075439473E-2</v>
      </c>
    </row>
    <row r="117" spans="1:16" x14ac:dyDescent="0.3">
      <c r="A117" s="17">
        <v>40168</v>
      </c>
      <c r="B117" s="13">
        <v>21835</v>
      </c>
      <c r="C117" s="13">
        <v>51530</v>
      </c>
      <c r="D117" s="14">
        <v>1644.23</v>
      </c>
      <c r="E117" s="28">
        <f t="shared" si="9"/>
        <v>-9.1512239762070458E-4</v>
      </c>
      <c r="F117" s="39">
        <f t="shared" si="9"/>
        <v>3.8827412152975249E-4</v>
      </c>
      <c r="H117" s="64">
        <f t="shared" si="11"/>
        <v>0.9</v>
      </c>
      <c r="I117" s="65">
        <f t="shared" si="12"/>
        <v>1</v>
      </c>
      <c r="J117" s="66">
        <v>0.9</v>
      </c>
      <c r="K117" s="65">
        <f t="shared" si="10"/>
        <v>9.9999999999999978E-2</v>
      </c>
      <c r="L117" s="28">
        <f t="shared" si="13"/>
        <v>-8.825212738109657E-4</v>
      </c>
      <c r="M117" s="71">
        <f t="shared" si="16"/>
        <v>-7.8478274570565893E-4</v>
      </c>
      <c r="N117" s="51">
        <v>40168</v>
      </c>
      <c r="O117" s="77">
        <f t="shared" si="14"/>
        <v>8.9041630549669196E-2</v>
      </c>
      <c r="P117" s="39">
        <f t="shared" si="15"/>
        <v>7.1341074058146603E-2</v>
      </c>
    </row>
    <row r="118" spans="1:16" x14ac:dyDescent="0.3">
      <c r="A118" s="17">
        <v>40169</v>
      </c>
      <c r="B118" s="13">
        <v>21995</v>
      </c>
      <c r="C118" s="13">
        <v>51330</v>
      </c>
      <c r="D118" s="14">
        <v>1655.54</v>
      </c>
      <c r="E118" s="28">
        <f t="shared" si="9"/>
        <v>7.3276849095489371E-3</v>
      </c>
      <c r="F118" s="39">
        <f t="shared" si="9"/>
        <v>-3.8812342324858751E-3</v>
      </c>
      <c r="H118" s="64">
        <f t="shared" si="11"/>
        <v>0.9</v>
      </c>
      <c r="I118" s="65">
        <f t="shared" si="12"/>
        <v>1</v>
      </c>
      <c r="J118" s="66">
        <v>0.9</v>
      </c>
      <c r="K118" s="65">
        <f t="shared" si="10"/>
        <v>9.9999999999999978E-2</v>
      </c>
      <c r="L118" s="28">
        <f t="shared" si="13"/>
        <v>-7.8478274570565893E-4</v>
      </c>
      <c r="M118" s="71">
        <f t="shared" si="16"/>
        <v>6.2067929953454563E-3</v>
      </c>
      <c r="N118" s="51">
        <v>40169</v>
      </c>
      <c r="O118" s="77">
        <f t="shared" si="14"/>
        <v>9.5248423545014657E-2</v>
      </c>
      <c r="P118" s="39">
        <f t="shared" si="15"/>
        <v>7.8710400458709584E-2</v>
      </c>
    </row>
    <row r="119" spans="1:16" x14ac:dyDescent="0.3">
      <c r="A119" s="18">
        <v>40170</v>
      </c>
      <c r="B119" s="15">
        <v>22075</v>
      </c>
      <c r="C119" s="15">
        <v>51360</v>
      </c>
      <c r="D119" s="70">
        <v>1661.35</v>
      </c>
      <c r="E119" s="71">
        <f t="shared" si="9"/>
        <v>3.6371902705161219E-3</v>
      </c>
      <c r="F119" s="39">
        <f t="shared" si="9"/>
        <v>5.8445353594382965E-4</v>
      </c>
      <c r="H119" s="64">
        <f t="shared" si="11"/>
        <v>0.9</v>
      </c>
      <c r="I119" s="65">
        <f t="shared" si="12"/>
        <v>1</v>
      </c>
      <c r="J119" s="66">
        <v>1</v>
      </c>
      <c r="K119" s="65">
        <f t="shared" si="10"/>
        <v>0</v>
      </c>
      <c r="L119" s="28">
        <f t="shared" si="13"/>
        <v>7.3276849095489371E-3</v>
      </c>
      <c r="M119" s="71">
        <f t="shared" si="16"/>
        <v>3.6371902705161219E-3</v>
      </c>
      <c r="N119" s="50">
        <v>40170</v>
      </c>
      <c r="O119" s="77">
        <f t="shared" si="14"/>
        <v>9.8885613815530779E-2</v>
      </c>
      <c r="P119" s="39">
        <f t="shared" si="15"/>
        <v>8.249605796421533E-2</v>
      </c>
    </row>
    <row r="120" spans="1:16" x14ac:dyDescent="0.3">
      <c r="A120" s="17">
        <v>40171</v>
      </c>
      <c r="B120" s="13">
        <v>22375</v>
      </c>
      <c r="C120" s="13">
        <v>51385</v>
      </c>
      <c r="D120" s="14">
        <v>1682.34</v>
      </c>
      <c r="E120" s="28">
        <f t="shared" si="9"/>
        <v>1.3590033975084959E-2</v>
      </c>
      <c r="F120" s="39">
        <f t="shared" si="9"/>
        <v>4.8676012461057461E-4</v>
      </c>
      <c r="H120" s="64">
        <f t="shared" si="11"/>
        <v>0.9</v>
      </c>
      <c r="I120" s="65">
        <f t="shared" si="12"/>
        <v>1</v>
      </c>
      <c r="J120" s="66">
        <v>1</v>
      </c>
      <c r="K120" s="65">
        <f t="shared" si="10"/>
        <v>0</v>
      </c>
      <c r="L120" s="28">
        <f t="shared" si="13"/>
        <v>3.6371902705161219E-3</v>
      </c>
      <c r="M120" s="71">
        <f t="shared" si="16"/>
        <v>1.3590033975084959E-2</v>
      </c>
      <c r="N120" s="51">
        <v>40171</v>
      </c>
      <c r="O120" s="77">
        <f t="shared" si="14"/>
        <v>0.11247564779061574</v>
      </c>
      <c r="P120" s="39">
        <f t="shared" si="15"/>
        <v>9.6172641620078991E-2</v>
      </c>
    </row>
    <row r="121" spans="1:16" x14ac:dyDescent="0.3">
      <c r="A121" s="18">
        <v>40175</v>
      </c>
      <c r="B121" s="15">
        <v>22325</v>
      </c>
      <c r="C121" s="15">
        <v>51310</v>
      </c>
      <c r="D121" s="16">
        <v>1685.59</v>
      </c>
      <c r="E121" s="28">
        <f t="shared" si="9"/>
        <v>-2.2346368715083775E-3</v>
      </c>
      <c r="F121" s="39">
        <f t="shared" si="9"/>
        <v>-1.459569913398906E-3</v>
      </c>
      <c r="H121" s="64">
        <f t="shared" si="11"/>
        <v>0.9</v>
      </c>
      <c r="I121" s="65">
        <f t="shared" si="12"/>
        <v>1</v>
      </c>
      <c r="J121" s="66">
        <v>1</v>
      </c>
      <c r="K121" s="65">
        <f t="shared" si="10"/>
        <v>0</v>
      </c>
      <c r="L121" s="28">
        <f t="shared" si="13"/>
        <v>1.3590033975084959E-2</v>
      </c>
      <c r="M121" s="71">
        <f t="shared" si="16"/>
        <v>-2.2346368715083775E-3</v>
      </c>
      <c r="N121" s="50">
        <v>40175</v>
      </c>
      <c r="O121" s="77">
        <f t="shared" si="14"/>
        <v>0.11024101091910736</v>
      </c>
      <c r="P121" s="39">
        <f t="shared" si="15"/>
        <v>9.8290264148976236E-2</v>
      </c>
    </row>
    <row r="122" spans="1:16" x14ac:dyDescent="0.3">
      <c r="A122" s="17">
        <v>40176</v>
      </c>
      <c r="B122" s="13">
        <v>22425</v>
      </c>
      <c r="C122" s="13">
        <v>51325</v>
      </c>
      <c r="D122" s="14">
        <v>1672.48</v>
      </c>
      <c r="E122" s="28">
        <f t="shared" si="9"/>
        <v>4.4792833146696243E-3</v>
      </c>
      <c r="F122" s="39">
        <f t="shared" si="9"/>
        <v>2.9234067433248079E-4</v>
      </c>
      <c r="H122" s="64">
        <f t="shared" si="11"/>
        <v>0.9</v>
      </c>
      <c r="I122" s="65">
        <f t="shared" si="12"/>
        <v>1</v>
      </c>
      <c r="J122" s="66">
        <v>0.9</v>
      </c>
      <c r="K122" s="65">
        <f t="shared" si="10"/>
        <v>9.9999999999999978E-2</v>
      </c>
      <c r="L122" s="28">
        <f t="shared" si="13"/>
        <v>-2.1571301756974303E-3</v>
      </c>
      <c r="M122" s="71">
        <f t="shared" si="16"/>
        <v>4.0605890506359094E-3</v>
      </c>
      <c r="N122" s="51">
        <v>40176</v>
      </c>
      <c r="O122" s="77">
        <f t="shared" si="14"/>
        <v>0.11430159996974328</v>
      </c>
      <c r="P122" s="39">
        <f t="shared" si="15"/>
        <v>8.9748100655485663E-2</v>
      </c>
    </row>
    <row r="123" spans="1:16" x14ac:dyDescent="0.3">
      <c r="A123" s="17">
        <v>40177</v>
      </c>
      <c r="B123" s="13">
        <v>22575</v>
      </c>
      <c r="C123" s="13">
        <v>51300</v>
      </c>
      <c r="D123" s="14">
        <v>1682.77</v>
      </c>
      <c r="E123" s="28">
        <f t="shared" si="9"/>
        <v>6.6889632107023367E-3</v>
      </c>
      <c r="F123" s="39">
        <f t="shared" si="9"/>
        <v>-4.8709206039942998E-4</v>
      </c>
      <c r="H123" s="64">
        <f t="shared" si="11"/>
        <v>0.9</v>
      </c>
      <c r="I123" s="65">
        <f t="shared" si="12"/>
        <v>1</v>
      </c>
      <c r="J123" s="66">
        <v>1</v>
      </c>
      <c r="K123" s="65">
        <f t="shared" si="10"/>
        <v>0</v>
      </c>
      <c r="L123" s="28">
        <f t="shared" si="13"/>
        <v>4.4792833146696243E-3</v>
      </c>
      <c r="M123" s="71">
        <f t="shared" si="16"/>
        <v>6.6889632107023367E-3</v>
      </c>
      <c r="N123" s="51">
        <v>40177</v>
      </c>
      <c r="O123" s="77">
        <f t="shared" si="14"/>
        <v>0.12099056318044561</v>
      </c>
      <c r="P123" s="39">
        <f t="shared" si="15"/>
        <v>9.6452819370056231E-2</v>
      </c>
    </row>
    <row r="124" spans="1:16" x14ac:dyDescent="0.3">
      <c r="A124" s="18">
        <v>40182</v>
      </c>
      <c r="B124" s="15">
        <v>22710</v>
      </c>
      <c r="C124" s="15">
        <v>51215</v>
      </c>
      <c r="D124" s="70">
        <v>1696.14</v>
      </c>
      <c r="E124" s="71">
        <f t="shared" si="9"/>
        <v>5.9800664451827856E-3</v>
      </c>
      <c r="F124" s="39">
        <f t="shared" si="9"/>
        <v>-1.65692007797269E-3</v>
      </c>
      <c r="H124" s="64">
        <f t="shared" si="11"/>
        <v>0.9</v>
      </c>
      <c r="I124" s="65">
        <f t="shared" si="12"/>
        <v>1</v>
      </c>
      <c r="J124" s="66">
        <v>1</v>
      </c>
      <c r="K124" s="65">
        <f t="shared" si="10"/>
        <v>0</v>
      </c>
      <c r="L124" s="28">
        <f t="shared" si="13"/>
        <v>6.6889632107023367E-3</v>
      </c>
      <c r="M124" s="71">
        <f t="shared" si="16"/>
        <v>5.9800664451827856E-3</v>
      </c>
      <c r="N124" s="50">
        <v>40182</v>
      </c>
      <c r="O124" s="77">
        <f t="shared" si="14"/>
        <v>0.12697062962562838</v>
      </c>
      <c r="P124" s="39">
        <f t="shared" si="15"/>
        <v>0.10516439266585875</v>
      </c>
    </row>
    <row r="125" spans="1:16" x14ac:dyDescent="0.3">
      <c r="A125" s="17">
        <v>40183</v>
      </c>
      <c r="B125" s="13">
        <v>22690</v>
      </c>
      <c r="C125" s="13">
        <v>51305</v>
      </c>
      <c r="D125" s="14">
        <v>1690.62</v>
      </c>
      <c r="E125" s="28">
        <f t="shared" si="9"/>
        <v>-8.8066930867458648E-4</v>
      </c>
      <c r="F125" s="39">
        <f t="shared" si="9"/>
        <v>1.7572976666992979E-3</v>
      </c>
      <c r="H125" s="64">
        <f t="shared" si="11"/>
        <v>0.9</v>
      </c>
      <c r="I125" s="65">
        <f t="shared" si="12"/>
        <v>1</v>
      </c>
      <c r="J125" s="66">
        <v>1</v>
      </c>
      <c r="K125" s="65">
        <f t="shared" si="10"/>
        <v>0</v>
      </c>
      <c r="L125" s="28">
        <f t="shared" si="13"/>
        <v>5.9800664451827856E-3</v>
      </c>
      <c r="M125" s="71">
        <f t="shared" si="16"/>
        <v>-8.8066930867458648E-4</v>
      </c>
      <c r="N125" s="51">
        <v>40183</v>
      </c>
      <c r="O125" s="77">
        <f t="shared" si="14"/>
        <v>0.1260899603169538</v>
      </c>
      <c r="P125" s="39">
        <f t="shared" si="15"/>
        <v>0.1015676922475468</v>
      </c>
    </row>
    <row r="126" spans="1:16" x14ac:dyDescent="0.3">
      <c r="A126" s="18">
        <v>40184</v>
      </c>
      <c r="B126" s="15">
        <v>22845</v>
      </c>
      <c r="C126" s="15">
        <v>51330</v>
      </c>
      <c r="D126" s="16">
        <v>1705.32</v>
      </c>
      <c r="E126" s="28">
        <f t="shared" si="9"/>
        <v>6.8312031732040701E-3</v>
      </c>
      <c r="F126" s="39">
        <f t="shared" si="9"/>
        <v>4.8728194133129676E-4</v>
      </c>
      <c r="H126" s="64">
        <f t="shared" si="11"/>
        <v>0.9</v>
      </c>
      <c r="I126" s="65">
        <f t="shared" si="12"/>
        <v>1</v>
      </c>
      <c r="J126" s="66">
        <v>0.9</v>
      </c>
      <c r="K126" s="65">
        <f t="shared" si="10"/>
        <v>9.9999999999999978E-2</v>
      </c>
      <c r="L126" s="28">
        <f t="shared" si="13"/>
        <v>-6.16872611137198E-4</v>
      </c>
      <c r="M126" s="71">
        <f t="shared" si="16"/>
        <v>6.1968110500167928E-3</v>
      </c>
      <c r="N126" s="50">
        <v>40184</v>
      </c>
      <c r="O126" s="77">
        <f t="shared" si="14"/>
        <v>0.13228677136697059</v>
      </c>
      <c r="P126" s="39">
        <f t="shared" si="15"/>
        <v>0.11114586183979047</v>
      </c>
    </row>
    <row r="127" spans="1:16" x14ac:dyDescent="0.3">
      <c r="A127" s="17">
        <v>40185</v>
      </c>
      <c r="B127" s="13">
        <v>22565</v>
      </c>
      <c r="C127" s="13">
        <v>51330</v>
      </c>
      <c r="D127" s="14">
        <v>1683.45</v>
      </c>
      <c r="E127" s="28">
        <f t="shared" si="9"/>
        <v>-1.2256511271613091E-2</v>
      </c>
      <c r="F127" s="39">
        <f t="shared" si="9"/>
        <v>0</v>
      </c>
      <c r="H127" s="64">
        <f t="shared" si="11"/>
        <v>0.9</v>
      </c>
      <c r="I127" s="65">
        <f t="shared" si="12"/>
        <v>1</v>
      </c>
      <c r="J127" s="66">
        <v>1</v>
      </c>
      <c r="K127" s="65">
        <f t="shared" si="10"/>
        <v>0</v>
      </c>
      <c r="L127" s="28">
        <f t="shared" si="13"/>
        <v>6.8312031732040701E-3</v>
      </c>
      <c r="M127" s="71">
        <f t="shared" si="16"/>
        <v>-1.2256511271613091E-2</v>
      </c>
      <c r="N127" s="51">
        <v>40185</v>
      </c>
      <c r="O127" s="77">
        <f t="shared" si="14"/>
        <v>0.1200302600953575</v>
      </c>
      <c r="P127" s="39">
        <f t="shared" si="15"/>
        <v>9.689589116071784E-2</v>
      </c>
    </row>
    <row r="128" spans="1:16" x14ac:dyDescent="0.3">
      <c r="A128" s="17">
        <v>40186</v>
      </c>
      <c r="B128" s="13">
        <v>22650</v>
      </c>
      <c r="C128" s="13">
        <v>51435</v>
      </c>
      <c r="D128" s="14">
        <v>1695.26</v>
      </c>
      <c r="E128" s="28">
        <f t="shared" si="9"/>
        <v>3.7668956348326788E-3</v>
      </c>
      <c r="F128" s="39">
        <f t="shared" si="9"/>
        <v>2.0455873758036258E-3</v>
      </c>
      <c r="H128" s="64">
        <f t="shared" si="11"/>
        <v>0.9</v>
      </c>
      <c r="I128" s="65">
        <f t="shared" si="12"/>
        <v>1</v>
      </c>
      <c r="J128" s="66">
        <v>0.9</v>
      </c>
      <c r="K128" s="65">
        <f t="shared" si="10"/>
        <v>9.9999999999999978E-2</v>
      </c>
      <c r="L128" s="28">
        <f t="shared" si="13"/>
        <v>-1.1030860144451782E-2</v>
      </c>
      <c r="M128" s="71">
        <f t="shared" si="16"/>
        <v>3.5947648089297733E-3</v>
      </c>
      <c r="N128" s="51">
        <v>40186</v>
      </c>
      <c r="O128" s="77">
        <f t="shared" si="14"/>
        <v>0.12362502490428727</v>
      </c>
      <c r="P128" s="39">
        <f t="shared" si="15"/>
        <v>0.10459100564264956</v>
      </c>
    </row>
    <row r="129" spans="1:16" x14ac:dyDescent="0.3">
      <c r="A129" s="18">
        <v>40189</v>
      </c>
      <c r="B129" s="15">
        <v>22650</v>
      </c>
      <c r="C129" s="15">
        <v>51535</v>
      </c>
      <c r="D129" s="70">
        <v>1694.12</v>
      </c>
      <c r="E129" s="71">
        <f t="shared" si="9"/>
        <v>0</v>
      </c>
      <c r="F129" s="39">
        <f t="shared" si="9"/>
        <v>1.9442014192669888E-3</v>
      </c>
      <c r="H129" s="64">
        <f t="shared" si="11"/>
        <v>0.9</v>
      </c>
      <c r="I129" s="65">
        <f t="shared" si="12"/>
        <v>1</v>
      </c>
      <c r="J129" s="66">
        <v>1</v>
      </c>
      <c r="K129" s="65">
        <f t="shared" si="10"/>
        <v>0</v>
      </c>
      <c r="L129" s="28">
        <f t="shared" si="13"/>
        <v>3.7668956348326788E-3</v>
      </c>
      <c r="M129" s="71">
        <f t="shared" si="16"/>
        <v>0</v>
      </c>
      <c r="N129" s="50">
        <v>40189</v>
      </c>
      <c r="O129" s="77">
        <f t="shared" si="14"/>
        <v>0.12362502490428727</v>
      </c>
      <c r="P129" s="39">
        <f t="shared" si="15"/>
        <v>0.10384820881712864</v>
      </c>
    </row>
    <row r="130" spans="1:16" x14ac:dyDescent="0.3">
      <c r="A130" s="17">
        <v>40190</v>
      </c>
      <c r="B130" s="13">
        <v>22675</v>
      </c>
      <c r="C130" s="13">
        <v>51595</v>
      </c>
      <c r="D130" s="14">
        <v>1698.64</v>
      </c>
      <c r="E130" s="28">
        <f t="shared" si="9"/>
        <v>1.1037527593817931E-3</v>
      </c>
      <c r="F130" s="39">
        <f t="shared" si="9"/>
        <v>1.1642573008634471E-3</v>
      </c>
      <c r="H130" s="64">
        <f t="shared" si="11"/>
        <v>0.9</v>
      </c>
      <c r="I130" s="65">
        <f t="shared" si="12"/>
        <v>1</v>
      </c>
      <c r="J130" s="66">
        <v>0.9</v>
      </c>
      <c r="K130" s="65">
        <f t="shared" si="10"/>
        <v>9.9999999999999978E-2</v>
      </c>
      <c r="L130" s="28">
        <f t="shared" si="13"/>
        <v>1.9442014192669883E-4</v>
      </c>
      <c r="M130" s="71">
        <f t="shared" si="16"/>
        <v>1.1098032135299586E-3</v>
      </c>
      <c r="N130" s="51">
        <v>40190</v>
      </c>
      <c r="O130" s="77">
        <f t="shared" si="14"/>
        <v>0.12473482811781723</v>
      </c>
      <c r="P130" s="39">
        <f t="shared" si="15"/>
        <v>0.10679333307270289</v>
      </c>
    </row>
    <row r="131" spans="1:16" x14ac:dyDescent="0.3">
      <c r="A131" s="18">
        <v>40191</v>
      </c>
      <c r="B131" s="15">
        <v>22305</v>
      </c>
      <c r="C131" s="15">
        <v>51630</v>
      </c>
      <c r="D131" s="16">
        <v>1671.41</v>
      </c>
      <c r="E131" s="28">
        <f t="shared" si="9"/>
        <v>-1.6317530319735374E-2</v>
      </c>
      <c r="F131" s="39">
        <f t="shared" si="9"/>
        <v>6.7836030623125154E-4</v>
      </c>
      <c r="H131" s="64">
        <f t="shared" si="11"/>
        <v>0.9</v>
      </c>
      <c r="I131" s="65">
        <f t="shared" si="12"/>
        <v>1</v>
      </c>
      <c r="J131" s="66">
        <v>0.9</v>
      </c>
      <c r="K131" s="65">
        <f t="shared" si="10"/>
        <v>9.9999999999999978E-2</v>
      </c>
      <c r="L131" s="28">
        <f t="shared" si="13"/>
        <v>1.1098032135299586E-3</v>
      </c>
      <c r="M131" s="71">
        <f t="shared" si="16"/>
        <v>-1.4617941257138712E-2</v>
      </c>
      <c r="N131" s="50">
        <v>40191</v>
      </c>
      <c r="O131" s="77">
        <f t="shared" si="14"/>
        <v>0.11011688686067853</v>
      </c>
      <c r="P131" s="39">
        <f t="shared" si="15"/>
        <v>8.9050914161356465E-2</v>
      </c>
    </row>
    <row r="132" spans="1:16" x14ac:dyDescent="0.3">
      <c r="A132" s="17">
        <v>40192</v>
      </c>
      <c r="B132" s="13">
        <v>22570</v>
      </c>
      <c r="C132" s="13">
        <v>51630</v>
      </c>
      <c r="D132" s="14">
        <v>1685.77</v>
      </c>
      <c r="E132" s="28">
        <f t="shared" si="9"/>
        <v>1.1880744227751538E-2</v>
      </c>
      <c r="F132" s="39">
        <f t="shared" si="9"/>
        <v>0</v>
      </c>
      <c r="H132" s="64">
        <f t="shared" si="11"/>
        <v>0.9</v>
      </c>
      <c r="I132" s="65">
        <f t="shared" si="12"/>
        <v>1</v>
      </c>
      <c r="J132" s="66">
        <v>0.9</v>
      </c>
      <c r="K132" s="65">
        <f t="shared" si="10"/>
        <v>9.9999999999999978E-2</v>
      </c>
      <c r="L132" s="28">
        <f t="shared" si="13"/>
        <v>-1.4617941257138712E-2</v>
      </c>
      <c r="M132" s="71">
        <f t="shared" si="16"/>
        <v>1.0692669804976384E-2</v>
      </c>
      <c r="N132" s="51">
        <v>40192</v>
      </c>
      <c r="O132" s="77">
        <f t="shared" si="14"/>
        <v>0.1208095566656549</v>
      </c>
      <c r="P132" s="39">
        <f t="shared" si="15"/>
        <v>9.8407547858269107E-2</v>
      </c>
    </row>
    <row r="133" spans="1:16" x14ac:dyDescent="0.3">
      <c r="A133" s="17">
        <v>40193</v>
      </c>
      <c r="B133" s="13">
        <v>22675</v>
      </c>
      <c r="C133" s="13">
        <v>51660</v>
      </c>
      <c r="D133" s="14">
        <v>1701.8</v>
      </c>
      <c r="E133" s="28">
        <f t="shared" si="9"/>
        <v>4.6521931767833369E-3</v>
      </c>
      <c r="F133" s="39">
        <f t="shared" si="9"/>
        <v>5.8105752469495009E-4</v>
      </c>
      <c r="H133" s="64">
        <f t="shared" si="11"/>
        <v>0.9</v>
      </c>
      <c r="I133" s="65">
        <f t="shared" si="12"/>
        <v>1</v>
      </c>
      <c r="J133" s="66">
        <v>1</v>
      </c>
      <c r="K133" s="65">
        <f t="shared" si="10"/>
        <v>0</v>
      </c>
      <c r="L133" s="28">
        <f t="shared" si="13"/>
        <v>1.1880744227751538E-2</v>
      </c>
      <c r="M133" s="71">
        <f t="shared" si="16"/>
        <v>4.6521931767833369E-3</v>
      </c>
      <c r="N133" s="51">
        <v>40193</v>
      </c>
      <c r="O133" s="77">
        <f t="shared" si="14"/>
        <v>0.12546174984243824</v>
      </c>
      <c r="P133" s="39">
        <f t="shared" si="15"/>
        <v>0.10885231374695392</v>
      </c>
    </row>
    <row r="134" spans="1:16" x14ac:dyDescent="0.3">
      <c r="A134" s="18">
        <v>40196</v>
      </c>
      <c r="B134" s="15">
        <v>22790</v>
      </c>
      <c r="C134" s="15">
        <v>51570</v>
      </c>
      <c r="D134" s="70">
        <v>1711.78</v>
      </c>
      <c r="E134" s="71">
        <f t="shared" si="9"/>
        <v>5.0716648291069255E-3</v>
      </c>
      <c r="F134" s="39">
        <f t="shared" si="9"/>
        <v>-1.7421602787456303E-3</v>
      </c>
      <c r="H134" s="64">
        <f t="shared" si="11"/>
        <v>0.9</v>
      </c>
      <c r="I134" s="65">
        <f t="shared" si="12"/>
        <v>1</v>
      </c>
      <c r="J134" s="66">
        <v>1</v>
      </c>
      <c r="K134" s="65">
        <f t="shared" si="10"/>
        <v>0</v>
      </c>
      <c r="L134" s="28">
        <f t="shared" si="13"/>
        <v>4.6521931767833369E-3</v>
      </c>
      <c r="M134" s="71">
        <f t="shared" si="16"/>
        <v>5.0716648291069255E-3</v>
      </c>
      <c r="N134" s="50">
        <v>40196</v>
      </c>
      <c r="O134" s="77">
        <f t="shared" si="14"/>
        <v>0.13053341467154517</v>
      </c>
      <c r="P134" s="39">
        <f t="shared" si="15"/>
        <v>0.11535504385107576</v>
      </c>
    </row>
    <row r="135" spans="1:16" x14ac:dyDescent="0.3">
      <c r="A135" s="17">
        <v>40197</v>
      </c>
      <c r="B135" s="13">
        <v>22810</v>
      </c>
      <c r="C135" s="13">
        <v>51600</v>
      </c>
      <c r="D135" s="14">
        <v>1710.22</v>
      </c>
      <c r="E135" s="28">
        <f t="shared" si="9"/>
        <v>8.7757788503739498E-4</v>
      </c>
      <c r="F135" s="39">
        <f t="shared" si="9"/>
        <v>5.8173356602675419E-4</v>
      </c>
      <c r="H135" s="64">
        <f t="shared" si="11"/>
        <v>0.9</v>
      </c>
      <c r="I135" s="65">
        <f t="shared" si="12"/>
        <v>1</v>
      </c>
      <c r="J135" s="66">
        <v>1</v>
      </c>
      <c r="K135" s="65">
        <f t="shared" si="10"/>
        <v>0</v>
      </c>
      <c r="L135" s="28">
        <f t="shared" si="13"/>
        <v>5.0716648291069255E-3</v>
      </c>
      <c r="M135" s="71">
        <f t="shared" si="16"/>
        <v>8.7757788503739498E-4</v>
      </c>
      <c r="N135" s="51">
        <v>40197</v>
      </c>
      <c r="O135" s="77">
        <f t="shared" si="14"/>
        <v>0.13141099255658256</v>
      </c>
      <c r="P135" s="39">
        <f t="shared" si="15"/>
        <v>0.11433858503720495</v>
      </c>
    </row>
    <row r="136" spans="1:16" x14ac:dyDescent="0.3">
      <c r="A136" s="18">
        <v>40198</v>
      </c>
      <c r="B136" s="15">
        <v>22835</v>
      </c>
      <c r="C136" s="15">
        <v>51605</v>
      </c>
      <c r="D136" s="16">
        <v>1714.38</v>
      </c>
      <c r="E136" s="28">
        <f t="shared" si="9"/>
        <v>1.0960105217010518E-3</v>
      </c>
      <c r="F136" s="39">
        <f t="shared" si="9"/>
        <v>9.6899224806268336E-5</v>
      </c>
      <c r="H136" s="64">
        <f t="shared" si="11"/>
        <v>0.9</v>
      </c>
      <c r="I136" s="65">
        <f t="shared" si="12"/>
        <v>1</v>
      </c>
      <c r="J136" s="66">
        <v>1</v>
      </c>
      <c r="K136" s="65">
        <f t="shared" si="10"/>
        <v>0</v>
      </c>
      <c r="L136" s="28">
        <f t="shared" si="13"/>
        <v>8.7757788503739498E-4</v>
      </c>
      <c r="M136" s="71">
        <f t="shared" si="16"/>
        <v>1.0960105217010518E-3</v>
      </c>
      <c r="N136" s="50">
        <v>40198</v>
      </c>
      <c r="O136" s="77">
        <f t="shared" si="14"/>
        <v>0.13250700307828361</v>
      </c>
      <c r="P136" s="39">
        <f t="shared" si="15"/>
        <v>0.11704914187419369</v>
      </c>
    </row>
    <row r="137" spans="1:16" x14ac:dyDescent="0.3">
      <c r="A137" s="17">
        <v>40199</v>
      </c>
      <c r="B137" s="13">
        <v>23030</v>
      </c>
      <c r="C137" s="13">
        <v>51645</v>
      </c>
      <c r="D137" s="14">
        <v>1722.01</v>
      </c>
      <c r="E137" s="28">
        <f t="shared" si="9"/>
        <v>8.5395226625792908E-3</v>
      </c>
      <c r="F137" s="39">
        <f t="shared" si="9"/>
        <v>7.7511869004931455E-4</v>
      </c>
      <c r="H137" s="64">
        <f t="shared" si="11"/>
        <v>0.9</v>
      </c>
      <c r="I137" s="65">
        <f t="shared" si="12"/>
        <v>1</v>
      </c>
      <c r="J137" s="66">
        <v>1</v>
      </c>
      <c r="K137" s="65">
        <f t="shared" si="10"/>
        <v>0</v>
      </c>
      <c r="L137" s="28">
        <f t="shared" si="13"/>
        <v>1.0960105217010518E-3</v>
      </c>
      <c r="M137" s="71">
        <f t="shared" si="16"/>
        <v>8.5395226625792908E-3</v>
      </c>
      <c r="N137" s="51">
        <v>40199</v>
      </c>
      <c r="O137" s="77">
        <f t="shared" si="14"/>
        <v>0.1410465257408629</v>
      </c>
      <c r="P137" s="39">
        <f t="shared" si="15"/>
        <v>0.12202066799588196</v>
      </c>
    </row>
    <row r="138" spans="1:16" x14ac:dyDescent="0.3">
      <c r="A138" s="17">
        <v>40200</v>
      </c>
      <c r="B138" s="13">
        <v>22435</v>
      </c>
      <c r="C138" s="13">
        <v>51695</v>
      </c>
      <c r="D138" s="14">
        <v>1684.35</v>
      </c>
      <c r="E138" s="28">
        <f t="shared" si="9"/>
        <v>-2.5835866261398222E-2</v>
      </c>
      <c r="F138" s="39">
        <f t="shared" si="9"/>
        <v>9.681479330041487E-4</v>
      </c>
      <c r="H138" s="64">
        <f t="shared" si="11"/>
        <v>0.9</v>
      </c>
      <c r="I138" s="65">
        <f t="shared" si="12"/>
        <v>1</v>
      </c>
      <c r="J138" s="66">
        <v>1</v>
      </c>
      <c r="K138" s="65">
        <f t="shared" si="10"/>
        <v>0</v>
      </c>
      <c r="L138" s="28">
        <f t="shared" si="13"/>
        <v>8.5395226625792908E-3</v>
      </c>
      <c r="M138" s="71">
        <f t="shared" si="16"/>
        <v>-2.5835866261398222E-2</v>
      </c>
      <c r="N138" s="51">
        <v>40200</v>
      </c>
      <c r="O138" s="77">
        <f t="shared" si="14"/>
        <v>0.11521065947946468</v>
      </c>
      <c r="P138" s="39">
        <f t="shared" si="15"/>
        <v>9.7482309707181525E-2</v>
      </c>
    </row>
    <row r="139" spans="1:16" x14ac:dyDescent="0.3">
      <c r="A139" s="18">
        <v>40203</v>
      </c>
      <c r="B139" s="15">
        <v>22350</v>
      </c>
      <c r="C139" s="15">
        <v>51680</v>
      </c>
      <c r="D139" s="70">
        <v>1670.2</v>
      </c>
      <c r="E139" s="71">
        <f t="shared" si="9"/>
        <v>-3.7887229774905551E-3</v>
      </c>
      <c r="F139" s="39">
        <f t="shared" si="9"/>
        <v>-2.9016345874843807E-4</v>
      </c>
      <c r="H139" s="64">
        <f t="shared" si="11"/>
        <v>0.9</v>
      </c>
      <c r="I139" s="65">
        <f t="shared" si="12"/>
        <v>1</v>
      </c>
      <c r="J139" s="66">
        <v>0.9</v>
      </c>
      <c r="K139" s="65">
        <f t="shared" si="10"/>
        <v>9.9999999999999978E-2</v>
      </c>
      <c r="L139" s="28">
        <f t="shared" si="13"/>
        <v>-2.3155464841957983E-2</v>
      </c>
      <c r="M139" s="71">
        <f t="shared" si="16"/>
        <v>-3.4388670256163432E-3</v>
      </c>
      <c r="N139" s="50">
        <v>40203</v>
      </c>
      <c r="O139" s="77">
        <f t="shared" si="14"/>
        <v>0.11177179245384834</v>
      </c>
      <c r="P139" s="39">
        <f t="shared" si="15"/>
        <v>8.8262507004443824E-2</v>
      </c>
    </row>
    <row r="140" spans="1:16" x14ac:dyDescent="0.3">
      <c r="A140" s="17">
        <v>40204</v>
      </c>
      <c r="B140" s="13">
        <v>21885</v>
      </c>
      <c r="C140" s="13">
        <v>51720</v>
      </c>
      <c r="D140" s="14">
        <v>1637.34</v>
      </c>
      <c r="E140" s="28">
        <f t="shared" si="9"/>
        <v>-2.0805369127516737E-2</v>
      </c>
      <c r="F140" s="39">
        <f t="shared" si="9"/>
        <v>7.7399380804954454E-4</v>
      </c>
      <c r="H140" s="64">
        <f t="shared" si="11"/>
        <v>0.9</v>
      </c>
      <c r="I140" s="65">
        <f t="shared" si="12"/>
        <v>1</v>
      </c>
      <c r="J140" s="66">
        <v>0.9</v>
      </c>
      <c r="K140" s="65">
        <f t="shared" si="10"/>
        <v>9.9999999999999978E-2</v>
      </c>
      <c r="L140" s="28">
        <f t="shared" si="13"/>
        <v>-3.4388670256163432E-3</v>
      </c>
      <c r="M140" s="71">
        <f t="shared" si="16"/>
        <v>-1.8647432833960108E-2</v>
      </c>
      <c r="N140" s="51">
        <v>40204</v>
      </c>
      <c r="O140" s="77">
        <f t="shared" si="14"/>
        <v>9.3124359619888242E-2</v>
      </c>
      <c r="P140" s="39">
        <f t="shared" si="15"/>
        <v>6.6851714296884079E-2</v>
      </c>
    </row>
    <row r="141" spans="1:16" x14ac:dyDescent="0.3">
      <c r="A141" s="18">
        <v>40205</v>
      </c>
      <c r="B141" s="15">
        <v>21700</v>
      </c>
      <c r="C141" s="15">
        <v>51720</v>
      </c>
      <c r="D141" s="16">
        <v>1625.48</v>
      </c>
      <c r="E141" s="28">
        <f t="shared" si="9"/>
        <v>-8.4532785012565448E-3</v>
      </c>
      <c r="F141" s="39">
        <f t="shared" si="9"/>
        <v>0</v>
      </c>
      <c r="H141" s="64">
        <f t="shared" si="11"/>
        <v>0.9</v>
      </c>
      <c r="I141" s="65">
        <f t="shared" si="12"/>
        <v>1</v>
      </c>
      <c r="J141" s="66">
        <v>0.9</v>
      </c>
      <c r="K141" s="65">
        <f t="shared" si="10"/>
        <v>9.9999999999999978E-2</v>
      </c>
      <c r="L141" s="28">
        <f t="shared" si="13"/>
        <v>-1.8647432833960108E-2</v>
      </c>
      <c r="M141" s="71">
        <f t="shared" si="16"/>
        <v>-7.6079506511308901E-3</v>
      </c>
      <c r="N141" s="50">
        <v>40205</v>
      </c>
      <c r="O141" s="77">
        <f t="shared" si="14"/>
        <v>8.5516408968757354E-2</v>
      </c>
      <c r="P141" s="39">
        <f t="shared" si="15"/>
        <v>5.9124021006815575E-2</v>
      </c>
    </row>
    <row r="142" spans="1:16" x14ac:dyDescent="0.3">
      <c r="A142" s="17">
        <v>40206</v>
      </c>
      <c r="B142" s="13">
        <v>21980</v>
      </c>
      <c r="C142" s="13">
        <v>51660</v>
      </c>
      <c r="D142" s="14">
        <v>1642.43</v>
      </c>
      <c r="E142" s="28">
        <f t="shared" si="9"/>
        <v>1.2903225806451646E-2</v>
      </c>
      <c r="F142" s="39">
        <f t="shared" si="9"/>
        <v>-1.1600928074245731E-3</v>
      </c>
      <c r="H142" s="64">
        <f t="shared" si="11"/>
        <v>0.9</v>
      </c>
      <c r="I142" s="65">
        <f t="shared" si="12"/>
        <v>1</v>
      </c>
      <c r="J142" s="66">
        <v>0.9</v>
      </c>
      <c r="K142" s="65">
        <f t="shared" si="10"/>
        <v>9.9999999999999978E-2</v>
      </c>
      <c r="L142" s="28">
        <f t="shared" si="13"/>
        <v>-7.6079506511308901E-3</v>
      </c>
      <c r="M142" s="71">
        <f t="shared" si="16"/>
        <v>1.1496893945064025E-2</v>
      </c>
      <c r="N142" s="51">
        <v>40206</v>
      </c>
      <c r="O142" s="77">
        <f t="shared" si="14"/>
        <v>9.7013302913821375E-2</v>
      </c>
      <c r="P142" s="39">
        <f t="shared" si="15"/>
        <v>7.0168236965218789E-2</v>
      </c>
    </row>
    <row r="143" spans="1:16" x14ac:dyDescent="0.3">
      <c r="A143" s="17">
        <v>40207</v>
      </c>
      <c r="B143" s="13">
        <v>21385</v>
      </c>
      <c r="C143" s="13">
        <v>51710</v>
      </c>
      <c r="D143" s="14">
        <v>1602.43</v>
      </c>
      <c r="E143" s="28">
        <f t="shared" si="9"/>
        <v>-2.7070063694267565E-2</v>
      </c>
      <c r="F143" s="39">
        <f t="shared" si="9"/>
        <v>9.6786682152538717E-4</v>
      </c>
      <c r="H143" s="64">
        <f t="shared" si="11"/>
        <v>0.9</v>
      </c>
      <c r="I143" s="65">
        <f t="shared" si="12"/>
        <v>1</v>
      </c>
      <c r="J143" s="66">
        <v>1</v>
      </c>
      <c r="K143" s="65">
        <f t="shared" si="10"/>
        <v>0</v>
      </c>
      <c r="L143" s="28">
        <f t="shared" si="13"/>
        <v>1.2903225806451646E-2</v>
      </c>
      <c r="M143" s="71">
        <f t="shared" si="16"/>
        <v>-2.7070063694267565E-2</v>
      </c>
      <c r="N143" s="51">
        <v>40207</v>
      </c>
      <c r="O143" s="77">
        <f t="shared" si="14"/>
        <v>6.994323921955381E-2</v>
      </c>
      <c r="P143" s="39">
        <f t="shared" si="15"/>
        <v>4.4105190455712373E-2</v>
      </c>
    </row>
    <row r="144" spans="1:16" x14ac:dyDescent="0.3">
      <c r="A144" s="18">
        <v>40210</v>
      </c>
      <c r="B144" s="15">
        <v>21465</v>
      </c>
      <c r="C144" s="15">
        <v>51720</v>
      </c>
      <c r="D144" s="70">
        <v>1606.44</v>
      </c>
      <c r="E144" s="71">
        <f t="shared" si="9"/>
        <v>3.740939911152763E-3</v>
      </c>
      <c r="F144" s="39">
        <f t="shared" si="9"/>
        <v>1.9338619222586395E-4</v>
      </c>
      <c r="H144" s="64">
        <f t="shared" si="11"/>
        <v>0.9</v>
      </c>
      <c r="I144" s="65">
        <f t="shared" si="12"/>
        <v>1</v>
      </c>
      <c r="J144" s="66">
        <v>0.9</v>
      </c>
      <c r="K144" s="65">
        <f t="shared" si="10"/>
        <v>9.9999999999999978E-2</v>
      </c>
      <c r="L144" s="28">
        <f t="shared" si="13"/>
        <v>-2.4266270642688274E-2</v>
      </c>
      <c r="M144" s="71">
        <f t="shared" si="16"/>
        <v>3.3861845392600732E-3</v>
      </c>
      <c r="N144" s="50">
        <v>40210</v>
      </c>
      <c r="O144" s="77">
        <f t="shared" si="14"/>
        <v>7.3329423758813878E-2</v>
      </c>
      <c r="P144" s="39">
        <f t="shared" si="15"/>
        <v>4.6718010868290527E-2</v>
      </c>
    </row>
    <row r="145" spans="1:16" x14ac:dyDescent="0.3">
      <c r="A145" s="17">
        <v>40211</v>
      </c>
      <c r="B145" s="13">
        <v>21340</v>
      </c>
      <c r="C145" s="13">
        <v>51735</v>
      </c>
      <c r="D145" s="14">
        <v>1595.81</v>
      </c>
      <c r="E145" s="28">
        <f t="shared" ref="E145:F208" si="17">B145/B144-1</f>
        <v>-5.8234334963894741E-3</v>
      </c>
      <c r="F145" s="39">
        <f t="shared" si="17"/>
        <v>2.9002320185611552E-4</v>
      </c>
      <c r="H145" s="64">
        <f t="shared" si="11"/>
        <v>0.9</v>
      </c>
      <c r="I145" s="65">
        <f t="shared" si="12"/>
        <v>1</v>
      </c>
      <c r="J145" s="66">
        <v>1</v>
      </c>
      <c r="K145" s="65">
        <f t="shared" ref="K145:K208" si="18">1-J145</f>
        <v>0</v>
      </c>
      <c r="L145" s="28">
        <f t="shared" si="13"/>
        <v>3.740939911152763E-3</v>
      </c>
      <c r="M145" s="71">
        <f t="shared" si="16"/>
        <v>-5.8234334963894741E-3</v>
      </c>
      <c r="N145" s="51">
        <v>40211</v>
      </c>
      <c r="O145" s="77">
        <f t="shared" si="14"/>
        <v>6.7505990262424403E-2</v>
      </c>
      <c r="P145" s="39">
        <f t="shared" si="15"/>
        <v>3.9791756258388933E-2</v>
      </c>
    </row>
    <row r="146" spans="1:16" x14ac:dyDescent="0.3">
      <c r="A146" s="18">
        <v>40212</v>
      </c>
      <c r="B146" s="15">
        <v>21585</v>
      </c>
      <c r="C146" s="15">
        <v>51770</v>
      </c>
      <c r="D146" s="16">
        <v>1615.02</v>
      </c>
      <c r="E146" s="28">
        <f t="shared" si="17"/>
        <v>1.1480787253983049E-2</v>
      </c>
      <c r="F146" s="39">
        <f t="shared" si="17"/>
        <v>6.7652459650147101E-4</v>
      </c>
      <c r="H146" s="64">
        <f t="shared" ref="H146:H209" si="19">IF($D145&lt;=1850,0.9,IF(AND($D145&lt;=1900,$D145&gt;1850),0.7,IF(AND($D145&lt;=1950,$D145&gt;1900),0.5,IF(AND($D145&lt;=2000,$D145&gt;1950),0.3,IF($D145&gt;2000,0.2,0)))))</f>
        <v>0.9</v>
      </c>
      <c r="I146" s="65">
        <f t="shared" ref="I146:I209" si="20">IF($D145&lt;=1850,1,IF(AND($D145&lt;=1900,$D145&gt;1850),0.9,IF(AND($D145&lt;=1950,$D145&gt;1900),0.7,IF(AND($D145&lt;=2000,$D145&gt;1950),0.5,IF($D145&gt;2000,0.3,0)))))</f>
        <v>1</v>
      </c>
      <c r="J146" s="66">
        <v>0.9</v>
      </c>
      <c r="K146" s="65">
        <f t="shared" si="18"/>
        <v>9.9999999999999978E-2</v>
      </c>
      <c r="L146" s="28">
        <f t="shared" ref="L146:L209" si="21">E145*J146+F145*K146</f>
        <v>-5.2120878265649153E-3</v>
      </c>
      <c r="M146" s="71">
        <f t="shared" si="16"/>
        <v>1.0400360988234892E-2</v>
      </c>
      <c r="N146" s="50">
        <v>40212</v>
      </c>
      <c r="O146" s="77">
        <f t="shared" ref="O146:O209" si="22">O145+M146</f>
        <v>7.7906351250659298E-2</v>
      </c>
      <c r="P146" s="39">
        <f t="shared" ref="P146:P209" si="23">D146/$D$16-1</f>
        <v>5.2308534344579494E-2</v>
      </c>
    </row>
    <row r="147" spans="1:16" x14ac:dyDescent="0.3">
      <c r="A147" s="17">
        <v>40213</v>
      </c>
      <c r="B147" s="13">
        <v>21560</v>
      </c>
      <c r="C147" s="13">
        <v>51790</v>
      </c>
      <c r="D147" s="14">
        <v>1616.42</v>
      </c>
      <c r="E147" s="28">
        <f t="shared" si="17"/>
        <v>-1.1582117211026421E-3</v>
      </c>
      <c r="F147" s="39">
        <f t="shared" si="17"/>
        <v>3.8632412594163945E-4</v>
      </c>
      <c r="H147" s="64">
        <f t="shared" si="19"/>
        <v>0.9</v>
      </c>
      <c r="I147" s="65">
        <f t="shared" si="20"/>
        <v>1</v>
      </c>
      <c r="J147" s="66">
        <v>1</v>
      </c>
      <c r="K147" s="65">
        <f t="shared" si="18"/>
        <v>0</v>
      </c>
      <c r="L147" s="28">
        <f t="shared" si="21"/>
        <v>1.1480787253983049E-2</v>
      </c>
      <c r="M147" s="71">
        <f t="shared" si="16"/>
        <v>-1.1582117211026421E-3</v>
      </c>
      <c r="N147" s="51">
        <v>40213</v>
      </c>
      <c r="O147" s="77">
        <f t="shared" si="22"/>
        <v>7.6748139529556655E-2</v>
      </c>
      <c r="P147" s="39">
        <f t="shared" si="23"/>
        <v>5.3220740972412361E-2</v>
      </c>
    </row>
    <row r="148" spans="1:16" x14ac:dyDescent="0.3">
      <c r="A148" s="17">
        <v>40214</v>
      </c>
      <c r="B148" s="13">
        <v>20945</v>
      </c>
      <c r="C148" s="13">
        <v>51860</v>
      </c>
      <c r="D148" s="14">
        <v>1567.12</v>
      </c>
      <c r="E148" s="28">
        <f t="shared" si="17"/>
        <v>-2.8525046382189223E-2</v>
      </c>
      <c r="F148" s="39">
        <f t="shared" si="17"/>
        <v>1.3516122803629571E-3</v>
      </c>
      <c r="H148" s="64">
        <f t="shared" si="19"/>
        <v>0.9</v>
      </c>
      <c r="I148" s="65">
        <f t="shared" si="20"/>
        <v>1</v>
      </c>
      <c r="J148" s="66">
        <v>0.9</v>
      </c>
      <c r="K148" s="65">
        <f t="shared" si="18"/>
        <v>9.9999999999999978E-2</v>
      </c>
      <c r="L148" s="28">
        <f t="shared" si="21"/>
        <v>-1.0037581363982141E-3</v>
      </c>
      <c r="M148" s="71">
        <f t="shared" ref="M148:M211" si="24">E148*J148+F148*K148</f>
        <v>-2.5537380515934006E-2</v>
      </c>
      <c r="N148" s="51">
        <v>40214</v>
      </c>
      <c r="O148" s="77">
        <f t="shared" si="22"/>
        <v>5.1210759013622653E-2</v>
      </c>
      <c r="P148" s="39">
        <f t="shared" si="23"/>
        <v>2.1098036149445498E-2</v>
      </c>
    </row>
    <row r="149" spans="1:16" x14ac:dyDescent="0.3">
      <c r="A149" s="18">
        <v>40217</v>
      </c>
      <c r="B149" s="15">
        <v>20770</v>
      </c>
      <c r="C149" s="15">
        <v>51830</v>
      </c>
      <c r="D149" s="70">
        <v>1552.79</v>
      </c>
      <c r="E149" s="71">
        <f t="shared" si="17"/>
        <v>-8.3552160420148347E-3</v>
      </c>
      <c r="F149" s="39">
        <f t="shared" si="17"/>
        <v>-5.7848052448905563E-4</v>
      </c>
      <c r="H149" s="64">
        <f t="shared" si="19"/>
        <v>0.9</v>
      </c>
      <c r="I149" s="65">
        <f t="shared" si="20"/>
        <v>1</v>
      </c>
      <c r="J149" s="66">
        <v>0.9</v>
      </c>
      <c r="K149" s="65">
        <f t="shared" si="18"/>
        <v>9.9999999999999978E-2</v>
      </c>
      <c r="L149" s="28">
        <f t="shared" si="21"/>
        <v>-2.5537380515934006E-2</v>
      </c>
      <c r="M149" s="71">
        <f t="shared" si="24"/>
        <v>-7.5775424902622566E-3</v>
      </c>
      <c r="N149" s="50">
        <v>40217</v>
      </c>
      <c r="O149" s="77">
        <f t="shared" si="22"/>
        <v>4.3633216523360399E-2</v>
      </c>
      <c r="P149" s="39">
        <f t="shared" si="23"/>
        <v>1.1760949737414705E-2</v>
      </c>
    </row>
    <row r="150" spans="1:16" x14ac:dyDescent="0.3">
      <c r="A150" s="17">
        <v>40218</v>
      </c>
      <c r="B150" s="13">
        <v>20955</v>
      </c>
      <c r="C150" s="13">
        <v>59000</v>
      </c>
      <c r="D150" s="14">
        <v>1570.49</v>
      </c>
      <c r="E150" s="28">
        <f t="shared" si="17"/>
        <v>8.9070775156476767E-3</v>
      </c>
      <c r="F150" s="39">
        <f t="shared" si="17"/>
        <v>0.13833687053829835</v>
      </c>
      <c r="H150" s="64">
        <f t="shared" si="19"/>
        <v>0.9</v>
      </c>
      <c r="I150" s="65">
        <f t="shared" si="20"/>
        <v>1</v>
      </c>
      <c r="J150" s="66">
        <v>0.9</v>
      </c>
      <c r="K150" s="65">
        <f t="shared" si="18"/>
        <v>9.9999999999999978E-2</v>
      </c>
      <c r="L150" s="28">
        <f t="shared" si="21"/>
        <v>-7.5775424902622566E-3</v>
      </c>
      <c r="M150" s="71">
        <f t="shared" si="24"/>
        <v>2.1850056817912741E-2</v>
      </c>
      <c r="N150" s="51">
        <v>40218</v>
      </c>
      <c r="O150" s="77">
        <f t="shared" si="22"/>
        <v>6.5483273341273143E-2</v>
      </c>
      <c r="P150" s="39">
        <f t="shared" si="23"/>
        <v>2.3293847817871471E-2</v>
      </c>
    </row>
    <row r="151" spans="1:16" x14ac:dyDescent="0.3">
      <c r="A151" s="18">
        <v>40219</v>
      </c>
      <c r="B151" s="15">
        <v>20965</v>
      </c>
      <c r="C151" s="15">
        <v>51820</v>
      </c>
      <c r="D151" s="16">
        <v>1570.12</v>
      </c>
      <c r="E151" s="28">
        <f t="shared" si="17"/>
        <v>4.7721307563830528E-4</v>
      </c>
      <c r="F151" s="39">
        <f t="shared" si="17"/>
        <v>-0.12169491525423726</v>
      </c>
      <c r="H151" s="64">
        <f t="shared" si="19"/>
        <v>0.9</v>
      </c>
      <c r="I151" s="65">
        <f t="shared" si="20"/>
        <v>1</v>
      </c>
      <c r="J151" s="66">
        <v>0.9</v>
      </c>
      <c r="K151" s="65">
        <f t="shared" si="18"/>
        <v>9.9999999999999978E-2</v>
      </c>
      <c r="L151" s="28">
        <f t="shared" si="21"/>
        <v>2.1850056817912741E-2</v>
      </c>
      <c r="M151" s="71">
        <f t="shared" si="24"/>
        <v>-1.1739999757349249E-2</v>
      </c>
      <c r="N151" s="50">
        <v>40219</v>
      </c>
      <c r="O151" s="77">
        <f t="shared" si="22"/>
        <v>5.3743273583923896E-2</v>
      </c>
      <c r="P151" s="39">
        <f t="shared" si="23"/>
        <v>2.3052764637658374E-2</v>
      </c>
    </row>
    <row r="152" spans="1:16" x14ac:dyDescent="0.3">
      <c r="A152" s="17">
        <v>40220</v>
      </c>
      <c r="B152" s="13">
        <v>21320</v>
      </c>
      <c r="C152" s="13">
        <v>51935</v>
      </c>
      <c r="D152" s="14">
        <v>1597.81</v>
      </c>
      <c r="E152" s="28">
        <f t="shared" si="17"/>
        <v>1.6932983544001967E-2</v>
      </c>
      <c r="F152" s="39">
        <f t="shared" si="17"/>
        <v>2.2192203782323006E-3</v>
      </c>
      <c r="H152" s="64">
        <f t="shared" si="19"/>
        <v>0.9</v>
      </c>
      <c r="I152" s="65">
        <f t="shared" si="20"/>
        <v>1</v>
      </c>
      <c r="J152" s="66">
        <v>1</v>
      </c>
      <c r="K152" s="65">
        <f t="shared" si="18"/>
        <v>0</v>
      </c>
      <c r="L152" s="28">
        <f t="shared" si="21"/>
        <v>4.7721307563830528E-4</v>
      </c>
      <c r="M152" s="71">
        <f t="shared" si="24"/>
        <v>1.6932983544001967E-2</v>
      </c>
      <c r="N152" s="51">
        <v>40220</v>
      </c>
      <c r="O152" s="77">
        <f t="shared" si="22"/>
        <v>7.0676257127925857E-2</v>
      </c>
      <c r="P152" s="39">
        <f t="shared" si="23"/>
        <v>4.1094908583864331E-2</v>
      </c>
    </row>
    <row r="153" spans="1:16" x14ac:dyDescent="0.3">
      <c r="A153" s="17">
        <v>40221</v>
      </c>
      <c r="B153" s="13">
        <v>21235</v>
      </c>
      <c r="C153" s="13">
        <v>52035</v>
      </c>
      <c r="D153" s="14">
        <v>1593.66</v>
      </c>
      <c r="E153" s="28">
        <f t="shared" si="17"/>
        <v>-3.9868667917448697E-3</v>
      </c>
      <c r="F153" s="39">
        <f t="shared" si="17"/>
        <v>1.9254837777991085E-3</v>
      </c>
      <c r="H153" s="64">
        <f t="shared" si="19"/>
        <v>0.9</v>
      </c>
      <c r="I153" s="65">
        <f t="shared" si="20"/>
        <v>1</v>
      </c>
      <c r="J153" s="66">
        <v>1</v>
      </c>
      <c r="K153" s="65">
        <f t="shared" si="18"/>
        <v>0</v>
      </c>
      <c r="L153" s="28">
        <f t="shared" si="21"/>
        <v>1.6932983544001967E-2</v>
      </c>
      <c r="M153" s="71">
        <f t="shared" si="24"/>
        <v>-3.9868667917448697E-3</v>
      </c>
      <c r="N153" s="51">
        <v>40221</v>
      </c>
      <c r="O153" s="77">
        <f t="shared" si="22"/>
        <v>6.6689390336180987E-2</v>
      </c>
      <c r="P153" s="39">
        <f t="shared" si="23"/>
        <v>3.8390867508503179E-2</v>
      </c>
    </row>
    <row r="154" spans="1:16" x14ac:dyDescent="0.3">
      <c r="A154" s="18">
        <v>40225</v>
      </c>
      <c r="B154" s="15">
        <v>21375</v>
      </c>
      <c r="C154" s="15">
        <v>52035</v>
      </c>
      <c r="D154" s="70">
        <v>1601.05</v>
      </c>
      <c r="E154" s="71">
        <f t="shared" si="17"/>
        <v>6.5928890981870047E-3</v>
      </c>
      <c r="F154" s="39">
        <f t="shared" si="17"/>
        <v>0</v>
      </c>
      <c r="H154" s="64">
        <f t="shared" si="19"/>
        <v>0.9</v>
      </c>
      <c r="I154" s="65">
        <f t="shared" si="20"/>
        <v>1</v>
      </c>
      <c r="J154" s="66">
        <v>0.9</v>
      </c>
      <c r="K154" s="65">
        <f t="shared" si="18"/>
        <v>9.9999999999999978E-2</v>
      </c>
      <c r="L154" s="28">
        <f t="shared" si="21"/>
        <v>-3.395631734790472E-3</v>
      </c>
      <c r="M154" s="71">
        <f t="shared" si="24"/>
        <v>5.9336001883683043E-3</v>
      </c>
      <c r="N154" s="50">
        <v>40225</v>
      </c>
      <c r="O154" s="77">
        <f t="shared" si="22"/>
        <v>7.2622990524549291E-2</v>
      </c>
      <c r="P154" s="39">
        <f t="shared" si="23"/>
        <v>4.3206015351134441E-2</v>
      </c>
    </row>
    <row r="155" spans="1:16" x14ac:dyDescent="0.3">
      <c r="A155" s="17">
        <v>40226</v>
      </c>
      <c r="B155" s="13">
        <v>21760</v>
      </c>
      <c r="C155" s="13">
        <v>51990</v>
      </c>
      <c r="D155" s="14">
        <v>1627.43</v>
      </c>
      <c r="E155" s="28">
        <f t="shared" si="17"/>
        <v>1.8011695906432701E-2</v>
      </c>
      <c r="F155" s="39">
        <f t="shared" si="17"/>
        <v>-8.6480253675413898E-4</v>
      </c>
      <c r="H155" s="64">
        <f t="shared" si="19"/>
        <v>0.9</v>
      </c>
      <c r="I155" s="65">
        <f t="shared" si="20"/>
        <v>1</v>
      </c>
      <c r="J155" s="66">
        <v>1</v>
      </c>
      <c r="K155" s="65">
        <f t="shared" si="18"/>
        <v>0</v>
      </c>
      <c r="L155" s="28">
        <f t="shared" si="21"/>
        <v>6.5928890981870047E-3</v>
      </c>
      <c r="M155" s="71">
        <f t="shared" si="24"/>
        <v>1.8011695906432701E-2</v>
      </c>
      <c r="N155" s="51">
        <v>40226</v>
      </c>
      <c r="O155" s="77">
        <f t="shared" si="22"/>
        <v>9.0634686430981992E-2</v>
      </c>
      <c r="P155" s="39">
        <f t="shared" si="23"/>
        <v>6.0394594524153966E-2</v>
      </c>
    </row>
    <row r="156" spans="1:16" x14ac:dyDescent="0.3">
      <c r="A156" s="18">
        <v>40227</v>
      </c>
      <c r="B156" s="15">
        <v>21680</v>
      </c>
      <c r="C156" s="15">
        <v>52045</v>
      </c>
      <c r="D156" s="16">
        <v>1621.19</v>
      </c>
      <c r="E156" s="28">
        <f t="shared" si="17"/>
        <v>-3.6764705882352811E-3</v>
      </c>
      <c r="F156" s="39">
        <f t="shared" si="17"/>
        <v>1.0578957491824692E-3</v>
      </c>
      <c r="H156" s="64">
        <f t="shared" si="19"/>
        <v>0.9</v>
      </c>
      <c r="I156" s="65">
        <f t="shared" si="20"/>
        <v>1</v>
      </c>
      <c r="J156" s="66">
        <v>1</v>
      </c>
      <c r="K156" s="65">
        <f t="shared" si="18"/>
        <v>0</v>
      </c>
      <c r="L156" s="28">
        <f t="shared" si="21"/>
        <v>1.8011695906432701E-2</v>
      </c>
      <c r="M156" s="71">
        <f t="shared" si="24"/>
        <v>-3.6764705882352811E-3</v>
      </c>
      <c r="N156" s="50">
        <v>40227</v>
      </c>
      <c r="O156" s="77">
        <f t="shared" si="22"/>
        <v>8.6958215842746711E-2</v>
      </c>
      <c r="P156" s="39">
        <f t="shared" si="23"/>
        <v>5.632875926867098E-2</v>
      </c>
    </row>
    <row r="157" spans="1:16" x14ac:dyDescent="0.3">
      <c r="A157" s="17">
        <v>40228</v>
      </c>
      <c r="B157" s="13">
        <v>21295</v>
      </c>
      <c r="C157" s="13">
        <v>51970</v>
      </c>
      <c r="D157" s="14">
        <v>1593.9</v>
      </c>
      <c r="E157" s="28">
        <f t="shared" si="17"/>
        <v>-1.7758302583025798E-2</v>
      </c>
      <c r="F157" s="39">
        <f t="shared" si="17"/>
        <v>-1.4410606206167742E-3</v>
      </c>
      <c r="H157" s="64">
        <f t="shared" si="19"/>
        <v>0.9</v>
      </c>
      <c r="I157" s="65">
        <f t="shared" si="20"/>
        <v>1</v>
      </c>
      <c r="J157" s="66">
        <v>0.9</v>
      </c>
      <c r="K157" s="65">
        <f t="shared" si="18"/>
        <v>9.9999999999999978E-2</v>
      </c>
      <c r="L157" s="28">
        <f t="shared" si="21"/>
        <v>-3.203033954493506E-3</v>
      </c>
      <c r="M157" s="71">
        <f t="shared" si="24"/>
        <v>-1.6126578386784895E-2</v>
      </c>
      <c r="N157" s="51">
        <v>40228</v>
      </c>
      <c r="O157" s="77">
        <f t="shared" si="22"/>
        <v>7.0831637455961813E-2</v>
      </c>
      <c r="P157" s="39">
        <f t="shared" si="23"/>
        <v>3.8547245787560191E-2</v>
      </c>
    </row>
    <row r="158" spans="1:16" x14ac:dyDescent="0.3">
      <c r="A158" s="17">
        <v>40231</v>
      </c>
      <c r="B158" s="13">
        <v>21760</v>
      </c>
      <c r="C158" s="13">
        <v>51920</v>
      </c>
      <c r="D158" s="14">
        <v>1627.1</v>
      </c>
      <c r="E158" s="28">
        <f t="shared" si="17"/>
        <v>2.1836111763324784E-2</v>
      </c>
      <c r="F158" s="39">
        <f t="shared" si="17"/>
        <v>-9.6209351548970368E-4</v>
      </c>
      <c r="H158" s="64">
        <f t="shared" si="19"/>
        <v>0.9</v>
      </c>
      <c r="I158" s="65">
        <f t="shared" si="20"/>
        <v>1</v>
      </c>
      <c r="J158" s="66">
        <v>0.9</v>
      </c>
      <c r="K158" s="65">
        <f t="shared" si="18"/>
        <v>9.9999999999999978E-2</v>
      </c>
      <c r="L158" s="28">
        <f t="shared" si="21"/>
        <v>-1.6126578386784895E-2</v>
      </c>
      <c r="M158" s="71">
        <f t="shared" si="24"/>
        <v>1.9556291235443335E-2</v>
      </c>
      <c r="N158" s="51">
        <v>40231</v>
      </c>
      <c r="O158" s="77">
        <f t="shared" si="22"/>
        <v>9.0387928691405148E-2</v>
      </c>
      <c r="P158" s="39">
        <f t="shared" si="23"/>
        <v>6.0179574390450519E-2</v>
      </c>
    </row>
    <row r="159" spans="1:16" x14ac:dyDescent="0.3">
      <c r="A159" s="18">
        <v>40232</v>
      </c>
      <c r="B159" s="15">
        <v>21760</v>
      </c>
      <c r="C159" s="15">
        <v>51950</v>
      </c>
      <c r="D159" s="70">
        <v>1628.9</v>
      </c>
      <c r="E159" s="71">
        <f t="shared" si="17"/>
        <v>0</v>
      </c>
      <c r="F159" s="39">
        <f t="shared" si="17"/>
        <v>5.778120184900537E-4</v>
      </c>
      <c r="H159" s="64">
        <f t="shared" si="19"/>
        <v>0.9</v>
      </c>
      <c r="I159" s="65">
        <f t="shared" si="20"/>
        <v>1</v>
      </c>
      <c r="J159" s="66">
        <v>1</v>
      </c>
      <c r="K159" s="65">
        <f t="shared" si="18"/>
        <v>0</v>
      </c>
      <c r="L159" s="28">
        <f t="shared" si="21"/>
        <v>2.1836111763324784E-2</v>
      </c>
      <c r="M159" s="71">
        <f t="shared" si="24"/>
        <v>0</v>
      </c>
      <c r="N159" s="50">
        <v>40232</v>
      </c>
      <c r="O159" s="77">
        <f t="shared" si="22"/>
        <v>9.0387928691405148E-2</v>
      </c>
      <c r="P159" s="39">
        <f t="shared" si="23"/>
        <v>6.1352411483378333E-2</v>
      </c>
    </row>
    <row r="160" spans="1:16" x14ac:dyDescent="0.3">
      <c r="A160" s="17">
        <v>40233</v>
      </c>
      <c r="B160" s="13">
        <v>21490</v>
      </c>
      <c r="C160" s="13">
        <v>52070</v>
      </c>
      <c r="D160" s="14">
        <v>1612.83</v>
      </c>
      <c r="E160" s="28">
        <f t="shared" si="17"/>
        <v>-1.2408088235294157E-2</v>
      </c>
      <c r="F160" s="39">
        <f t="shared" si="17"/>
        <v>2.3099133782482628E-3</v>
      </c>
      <c r="H160" s="64">
        <f t="shared" si="19"/>
        <v>0.9</v>
      </c>
      <c r="I160" s="65">
        <f t="shared" si="20"/>
        <v>1</v>
      </c>
      <c r="J160" s="66">
        <v>0.9</v>
      </c>
      <c r="K160" s="65">
        <f t="shared" si="18"/>
        <v>9.9999999999999978E-2</v>
      </c>
      <c r="L160" s="28">
        <f t="shared" si="21"/>
        <v>5.7781201849005359E-5</v>
      </c>
      <c r="M160" s="71">
        <f t="shared" si="24"/>
        <v>-1.0936288073939914E-2</v>
      </c>
      <c r="N160" s="51">
        <v>40233</v>
      </c>
      <c r="O160" s="77">
        <f t="shared" si="22"/>
        <v>7.9451640617465236E-2</v>
      </c>
      <c r="P160" s="39">
        <f t="shared" si="23"/>
        <v>5.088158254818409E-2</v>
      </c>
    </row>
    <row r="161" spans="1:16" x14ac:dyDescent="0.3">
      <c r="A161" s="18">
        <v>40234</v>
      </c>
      <c r="B161" s="15">
        <v>21170</v>
      </c>
      <c r="C161" s="15">
        <v>52170</v>
      </c>
      <c r="D161" s="16">
        <v>1587.51</v>
      </c>
      <c r="E161" s="28">
        <f t="shared" si="17"/>
        <v>-1.4890646812470876E-2</v>
      </c>
      <c r="F161" s="39">
        <f t="shared" si="17"/>
        <v>1.9204916458612775E-3</v>
      </c>
      <c r="H161" s="64">
        <f t="shared" si="19"/>
        <v>0.9</v>
      </c>
      <c r="I161" s="65">
        <f t="shared" si="20"/>
        <v>1</v>
      </c>
      <c r="J161" s="66">
        <v>0.9</v>
      </c>
      <c r="K161" s="65">
        <f t="shared" si="18"/>
        <v>9.9999999999999978E-2</v>
      </c>
      <c r="L161" s="28">
        <f t="shared" si="21"/>
        <v>-1.0936288073939914E-2</v>
      </c>
      <c r="M161" s="71">
        <f t="shared" si="24"/>
        <v>-1.3209532966637662E-2</v>
      </c>
      <c r="N161" s="50">
        <v>40234</v>
      </c>
      <c r="O161" s="77">
        <f t="shared" si="22"/>
        <v>6.6242107650827581E-2</v>
      </c>
      <c r="P161" s="39">
        <f t="shared" si="23"/>
        <v>3.4383674107666407E-2</v>
      </c>
    </row>
    <row r="162" spans="1:16" x14ac:dyDescent="0.3">
      <c r="A162" s="17">
        <v>40235</v>
      </c>
      <c r="B162" s="13">
        <v>21180</v>
      </c>
      <c r="C162" s="13">
        <v>52150</v>
      </c>
      <c r="D162" s="14">
        <v>1594.58</v>
      </c>
      <c r="E162" s="28">
        <f t="shared" si="17"/>
        <v>4.7236655644788961E-4</v>
      </c>
      <c r="F162" s="39">
        <f t="shared" si="17"/>
        <v>-3.8336208548972461E-4</v>
      </c>
      <c r="H162" s="64">
        <f t="shared" si="19"/>
        <v>0.9</v>
      </c>
      <c r="I162" s="65">
        <f t="shared" si="20"/>
        <v>1</v>
      </c>
      <c r="J162" s="66">
        <v>0.9</v>
      </c>
      <c r="K162" s="65">
        <f t="shared" si="18"/>
        <v>9.9999999999999978E-2</v>
      </c>
      <c r="L162" s="28">
        <f t="shared" si="21"/>
        <v>-1.3209532966637662E-2</v>
      </c>
      <c r="M162" s="71">
        <f t="shared" si="24"/>
        <v>3.8679369225412823E-4</v>
      </c>
      <c r="N162" s="51">
        <v>40235</v>
      </c>
      <c r="O162" s="77">
        <f t="shared" si="22"/>
        <v>6.6628901343081706E-2</v>
      </c>
      <c r="P162" s="39">
        <f t="shared" si="23"/>
        <v>3.8990317578221578E-2</v>
      </c>
    </row>
    <row r="163" spans="1:16" x14ac:dyDescent="0.3">
      <c r="A163" s="17">
        <v>40239</v>
      </c>
      <c r="B163" s="13">
        <v>21550</v>
      </c>
      <c r="C163" s="13">
        <v>52160</v>
      </c>
      <c r="D163" s="14">
        <v>1615.12</v>
      </c>
      <c r="E163" s="28">
        <f t="shared" si="17"/>
        <v>1.7469310670443772E-2</v>
      </c>
      <c r="F163" s="39">
        <f t="shared" si="17"/>
        <v>1.9175455417075327E-4</v>
      </c>
      <c r="H163" s="64">
        <f t="shared" si="19"/>
        <v>0.9</v>
      </c>
      <c r="I163" s="65">
        <f t="shared" si="20"/>
        <v>1</v>
      </c>
      <c r="J163" s="66">
        <v>1</v>
      </c>
      <c r="K163" s="65">
        <f t="shared" si="18"/>
        <v>0</v>
      </c>
      <c r="L163" s="28">
        <f t="shared" si="21"/>
        <v>4.7236655644788961E-4</v>
      </c>
      <c r="M163" s="71">
        <f t="shared" si="24"/>
        <v>1.7469310670443772E-2</v>
      </c>
      <c r="N163" s="51">
        <v>40239</v>
      </c>
      <c r="O163" s="77">
        <f t="shared" si="22"/>
        <v>8.4098212013525478E-2</v>
      </c>
      <c r="P163" s="39">
        <f t="shared" si="23"/>
        <v>5.2373691960853286E-2</v>
      </c>
    </row>
    <row r="164" spans="1:16" x14ac:dyDescent="0.3">
      <c r="A164" s="18">
        <v>40240</v>
      </c>
      <c r="B164" s="15">
        <v>21610</v>
      </c>
      <c r="C164" s="15">
        <v>52210</v>
      </c>
      <c r="D164" s="70">
        <v>1622.44</v>
      </c>
      <c r="E164" s="71">
        <f t="shared" si="17"/>
        <v>2.7842227378189754E-3</v>
      </c>
      <c r="F164" s="39">
        <f t="shared" si="17"/>
        <v>9.585889570551398E-4</v>
      </c>
      <c r="H164" s="64">
        <f t="shared" si="19"/>
        <v>0.9</v>
      </c>
      <c r="I164" s="65">
        <f t="shared" si="20"/>
        <v>1</v>
      </c>
      <c r="J164" s="66">
        <v>1</v>
      </c>
      <c r="K164" s="65">
        <f t="shared" si="18"/>
        <v>0</v>
      </c>
      <c r="L164" s="28">
        <f t="shared" si="21"/>
        <v>1.7469310670443772E-2</v>
      </c>
      <c r="M164" s="71">
        <f t="shared" si="24"/>
        <v>2.7842227378189754E-3</v>
      </c>
      <c r="N164" s="50">
        <v>40240</v>
      </c>
      <c r="O164" s="77">
        <f t="shared" si="22"/>
        <v>8.6882434751344453E-2</v>
      </c>
      <c r="P164" s="39">
        <f t="shared" si="23"/>
        <v>5.7143229472093049E-2</v>
      </c>
    </row>
    <row r="165" spans="1:16" x14ac:dyDescent="0.3">
      <c r="A165" s="17">
        <v>40241</v>
      </c>
      <c r="B165" s="13">
        <v>21535</v>
      </c>
      <c r="C165" s="13">
        <v>52275</v>
      </c>
      <c r="D165" s="14">
        <v>1618.2</v>
      </c>
      <c r="E165" s="28">
        <f t="shared" si="17"/>
        <v>-3.4706154558075131E-3</v>
      </c>
      <c r="F165" s="39">
        <f t="shared" si="17"/>
        <v>1.2449722275427177E-3</v>
      </c>
      <c r="H165" s="64">
        <f t="shared" si="19"/>
        <v>0.9</v>
      </c>
      <c r="I165" s="65">
        <f t="shared" si="20"/>
        <v>1</v>
      </c>
      <c r="J165" s="66">
        <v>1</v>
      </c>
      <c r="K165" s="65">
        <f t="shared" si="18"/>
        <v>0</v>
      </c>
      <c r="L165" s="28">
        <f t="shared" si="21"/>
        <v>2.7842227378189754E-3</v>
      </c>
      <c r="M165" s="71">
        <f t="shared" si="24"/>
        <v>-3.4706154558075131E-3</v>
      </c>
      <c r="N165" s="51">
        <v>40241</v>
      </c>
      <c r="O165" s="77">
        <f t="shared" si="22"/>
        <v>8.341181929553694E-2</v>
      </c>
      <c r="P165" s="39">
        <f t="shared" si="23"/>
        <v>5.438054654208524E-2</v>
      </c>
    </row>
    <row r="166" spans="1:16" x14ac:dyDescent="0.3">
      <c r="A166" s="18">
        <v>40242</v>
      </c>
      <c r="B166" s="15">
        <v>21845</v>
      </c>
      <c r="C166" s="15">
        <v>52280</v>
      </c>
      <c r="D166" s="16">
        <v>1634.57</v>
      </c>
      <c r="E166" s="28">
        <f t="shared" si="17"/>
        <v>1.4395170652426348E-2</v>
      </c>
      <c r="F166" s="39">
        <f t="shared" si="17"/>
        <v>9.5648015303595457E-5</v>
      </c>
      <c r="H166" s="64">
        <f t="shared" si="19"/>
        <v>0.9</v>
      </c>
      <c r="I166" s="65">
        <f t="shared" si="20"/>
        <v>1</v>
      </c>
      <c r="J166" s="66">
        <v>0.9</v>
      </c>
      <c r="K166" s="65">
        <f t="shared" si="18"/>
        <v>9.9999999999999978E-2</v>
      </c>
      <c r="L166" s="28">
        <f t="shared" si="21"/>
        <v>-2.9990566874724899E-3</v>
      </c>
      <c r="M166" s="71">
        <f t="shared" si="24"/>
        <v>1.2965218388714074E-2</v>
      </c>
      <c r="N166" s="50">
        <v>40242</v>
      </c>
      <c r="O166" s="77">
        <f t="shared" si="22"/>
        <v>9.6377037684251016E-2</v>
      </c>
      <c r="P166" s="39">
        <f t="shared" si="23"/>
        <v>6.5046848326100859E-2</v>
      </c>
    </row>
    <row r="167" spans="1:16" x14ac:dyDescent="0.3">
      <c r="A167" s="17">
        <v>40245</v>
      </c>
      <c r="B167" s="13">
        <v>22200</v>
      </c>
      <c r="C167" s="13">
        <v>52255</v>
      </c>
      <c r="D167" s="14">
        <v>1660.04</v>
      </c>
      <c r="E167" s="28">
        <f t="shared" si="17"/>
        <v>1.6250858319981631E-2</v>
      </c>
      <c r="F167" s="39">
        <f t="shared" si="17"/>
        <v>-4.7819433817908319E-4</v>
      </c>
      <c r="H167" s="64">
        <f t="shared" si="19"/>
        <v>0.9</v>
      </c>
      <c r="I167" s="65">
        <f t="shared" si="20"/>
        <v>1</v>
      </c>
      <c r="J167" s="66">
        <v>1</v>
      </c>
      <c r="K167" s="65">
        <f t="shared" si="18"/>
        <v>0</v>
      </c>
      <c r="L167" s="28">
        <f t="shared" si="21"/>
        <v>1.4395170652426348E-2</v>
      </c>
      <c r="M167" s="71">
        <f t="shared" si="24"/>
        <v>1.6250858319981631E-2</v>
      </c>
      <c r="N167" s="51">
        <v>40245</v>
      </c>
      <c r="O167" s="77">
        <f t="shared" si="22"/>
        <v>0.11262789600423265</v>
      </c>
      <c r="P167" s="39">
        <f t="shared" si="23"/>
        <v>8.164249319102912E-2</v>
      </c>
    </row>
    <row r="168" spans="1:16" x14ac:dyDescent="0.3">
      <c r="A168" s="17">
        <v>40246</v>
      </c>
      <c r="B168" s="13">
        <v>22200</v>
      </c>
      <c r="C168" s="13">
        <v>52275</v>
      </c>
      <c r="D168" s="14">
        <v>1660.83</v>
      </c>
      <c r="E168" s="28">
        <f t="shared" si="17"/>
        <v>0</v>
      </c>
      <c r="F168" s="39">
        <f t="shared" si="17"/>
        <v>3.8273849392411741E-4</v>
      </c>
      <c r="H168" s="64">
        <f t="shared" si="19"/>
        <v>0.9</v>
      </c>
      <c r="I168" s="65">
        <f t="shared" si="20"/>
        <v>1</v>
      </c>
      <c r="J168" s="66">
        <v>1</v>
      </c>
      <c r="K168" s="65">
        <f t="shared" si="18"/>
        <v>0</v>
      </c>
      <c r="L168" s="28">
        <f t="shared" si="21"/>
        <v>1.6250858319981631E-2</v>
      </c>
      <c r="M168" s="71">
        <f t="shared" si="24"/>
        <v>0</v>
      </c>
      <c r="N168" s="51">
        <v>40246</v>
      </c>
      <c r="O168" s="77">
        <f t="shared" si="22"/>
        <v>0.11262789600423265</v>
      </c>
      <c r="P168" s="39">
        <f t="shared" si="23"/>
        <v>8.2157238359591878E-2</v>
      </c>
    </row>
    <row r="169" spans="1:16" x14ac:dyDescent="0.3">
      <c r="A169" s="18">
        <v>40247</v>
      </c>
      <c r="B169" s="15">
        <v>22225</v>
      </c>
      <c r="C169" s="15">
        <v>52315</v>
      </c>
      <c r="D169" s="70">
        <v>1662.24</v>
      </c>
      <c r="E169" s="71">
        <f t="shared" si="17"/>
        <v>1.1261261261261701E-3</v>
      </c>
      <c r="F169" s="39">
        <f t="shared" si="17"/>
        <v>7.6518412242942979E-4</v>
      </c>
      <c r="H169" s="64">
        <f t="shared" si="19"/>
        <v>0.9</v>
      </c>
      <c r="I169" s="65">
        <f t="shared" si="20"/>
        <v>1</v>
      </c>
      <c r="J169" s="66">
        <v>0.9</v>
      </c>
      <c r="K169" s="65">
        <f t="shared" si="18"/>
        <v>9.9999999999999978E-2</v>
      </c>
      <c r="L169" s="28">
        <f t="shared" si="21"/>
        <v>3.827384939241173E-5</v>
      </c>
      <c r="M169" s="71">
        <f t="shared" si="24"/>
        <v>1.0900319257564962E-3</v>
      </c>
      <c r="N169" s="50">
        <v>40247</v>
      </c>
      <c r="O169" s="77">
        <f t="shared" si="22"/>
        <v>0.11371792792998914</v>
      </c>
      <c r="P169" s="39">
        <f t="shared" si="23"/>
        <v>8.307596074905188E-2</v>
      </c>
    </row>
    <row r="170" spans="1:16" x14ac:dyDescent="0.3">
      <c r="A170" s="17">
        <v>40248</v>
      </c>
      <c r="B170" s="13">
        <v>22090</v>
      </c>
      <c r="C170" s="13">
        <v>52100</v>
      </c>
      <c r="D170" s="14">
        <v>1656.62</v>
      </c>
      <c r="E170" s="28">
        <f t="shared" si="17"/>
        <v>-6.074240719910029E-3</v>
      </c>
      <c r="F170" s="39">
        <f t="shared" si="17"/>
        <v>-4.1097199655930616E-3</v>
      </c>
      <c r="H170" s="64">
        <f t="shared" si="19"/>
        <v>0.9</v>
      </c>
      <c r="I170" s="65">
        <f t="shared" si="20"/>
        <v>1</v>
      </c>
      <c r="J170" s="66">
        <v>1</v>
      </c>
      <c r="K170" s="65">
        <f t="shared" si="18"/>
        <v>0</v>
      </c>
      <c r="L170" s="28">
        <f t="shared" si="21"/>
        <v>1.1261261261261701E-3</v>
      </c>
      <c r="M170" s="71">
        <f t="shared" si="24"/>
        <v>-6.074240719910029E-3</v>
      </c>
      <c r="N170" s="51">
        <v>40248</v>
      </c>
      <c r="O170" s="77">
        <f t="shared" si="22"/>
        <v>0.10764368721007911</v>
      </c>
      <c r="P170" s="39">
        <f t="shared" si="23"/>
        <v>7.9414102714466139E-2</v>
      </c>
    </row>
    <row r="171" spans="1:16" x14ac:dyDescent="0.3">
      <c r="A171" s="18">
        <v>40249</v>
      </c>
      <c r="B171" s="15">
        <v>22155</v>
      </c>
      <c r="C171" s="15">
        <v>52140</v>
      </c>
      <c r="D171" s="16">
        <v>1662.74</v>
      </c>
      <c r="E171" s="28">
        <f t="shared" si="17"/>
        <v>2.9425079221367945E-3</v>
      </c>
      <c r="F171" s="39">
        <f t="shared" si="17"/>
        <v>7.6775431861797472E-4</v>
      </c>
      <c r="H171" s="64">
        <f t="shared" si="19"/>
        <v>0.9</v>
      </c>
      <c r="I171" s="65">
        <f t="shared" si="20"/>
        <v>1</v>
      </c>
      <c r="J171" s="66">
        <v>0.9</v>
      </c>
      <c r="K171" s="65">
        <f t="shared" si="18"/>
        <v>9.9999999999999978E-2</v>
      </c>
      <c r="L171" s="28">
        <f t="shared" si="21"/>
        <v>-5.8777886444783319E-3</v>
      </c>
      <c r="M171" s="71">
        <f t="shared" si="24"/>
        <v>2.7250325617849125E-3</v>
      </c>
      <c r="N171" s="50">
        <v>40249</v>
      </c>
      <c r="O171" s="77">
        <f t="shared" si="22"/>
        <v>0.11036871977186402</v>
      </c>
      <c r="P171" s="39">
        <f t="shared" si="23"/>
        <v>8.3401748830420841E-2</v>
      </c>
    </row>
    <row r="172" spans="1:16" x14ac:dyDescent="0.3">
      <c r="A172" s="17">
        <v>40252</v>
      </c>
      <c r="B172" s="13">
        <v>21930</v>
      </c>
      <c r="C172" s="13">
        <v>52145</v>
      </c>
      <c r="D172" s="14">
        <v>1649.5</v>
      </c>
      <c r="E172" s="28">
        <f t="shared" si="17"/>
        <v>-1.0155721056195E-2</v>
      </c>
      <c r="F172" s="39">
        <f t="shared" si="17"/>
        <v>9.5895665515932649E-5</v>
      </c>
      <c r="H172" s="64">
        <f t="shared" si="19"/>
        <v>0.9</v>
      </c>
      <c r="I172" s="65">
        <f t="shared" si="20"/>
        <v>1</v>
      </c>
      <c r="J172" s="66">
        <v>1</v>
      </c>
      <c r="K172" s="65">
        <f t="shared" si="18"/>
        <v>0</v>
      </c>
      <c r="L172" s="28">
        <f t="shared" si="21"/>
        <v>2.9425079221367945E-3</v>
      </c>
      <c r="M172" s="71">
        <f t="shared" si="24"/>
        <v>-1.0155721056195E-2</v>
      </c>
      <c r="N172" s="51">
        <v>40252</v>
      </c>
      <c r="O172" s="77">
        <f t="shared" si="22"/>
        <v>0.10021299871566902</v>
      </c>
      <c r="P172" s="39">
        <f t="shared" si="23"/>
        <v>7.4774880435774183E-2</v>
      </c>
    </row>
    <row r="173" spans="1:16" x14ac:dyDescent="0.3">
      <c r="A173" s="17">
        <v>40253</v>
      </c>
      <c r="B173" s="13">
        <v>21985</v>
      </c>
      <c r="C173" s="13">
        <v>52240</v>
      </c>
      <c r="D173" s="14">
        <v>1648.01</v>
      </c>
      <c r="E173" s="28">
        <f t="shared" si="17"/>
        <v>2.507979936160476E-3</v>
      </c>
      <c r="F173" s="39">
        <f t="shared" si="17"/>
        <v>1.8218429379615042E-3</v>
      </c>
      <c r="H173" s="64">
        <f t="shared" si="19"/>
        <v>0.9</v>
      </c>
      <c r="I173" s="65">
        <f t="shared" si="20"/>
        <v>1</v>
      </c>
      <c r="J173" s="66">
        <v>0.9</v>
      </c>
      <c r="K173" s="65">
        <f t="shared" si="18"/>
        <v>9.9999999999999978E-2</v>
      </c>
      <c r="L173" s="28">
        <f t="shared" si="21"/>
        <v>-9.1305593840239063E-3</v>
      </c>
      <c r="M173" s="71">
        <f t="shared" si="24"/>
        <v>2.4393662363405787E-3</v>
      </c>
      <c r="N173" s="51">
        <v>40253</v>
      </c>
      <c r="O173" s="77">
        <f t="shared" si="22"/>
        <v>0.10265236495200961</v>
      </c>
      <c r="P173" s="39">
        <f t="shared" si="23"/>
        <v>7.3804031953295102E-2</v>
      </c>
    </row>
    <row r="174" spans="1:16" x14ac:dyDescent="0.3">
      <c r="A174" s="18">
        <v>40254</v>
      </c>
      <c r="B174" s="15">
        <v>22415</v>
      </c>
      <c r="C174" s="15">
        <v>52350</v>
      </c>
      <c r="D174" s="70">
        <v>1682.86</v>
      </c>
      <c r="E174" s="71">
        <f t="shared" si="17"/>
        <v>1.9558790084148292E-2</v>
      </c>
      <c r="F174" s="39">
        <f t="shared" si="17"/>
        <v>2.1056661562022239E-3</v>
      </c>
      <c r="H174" s="64">
        <f t="shared" si="19"/>
        <v>0.9</v>
      </c>
      <c r="I174" s="65">
        <f t="shared" si="20"/>
        <v>1</v>
      </c>
      <c r="J174" s="66">
        <v>1</v>
      </c>
      <c r="K174" s="65">
        <f t="shared" si="18"/>
        <v>0</v>
      </c>
      <c r="L174" s="28">
        <f t="shared" si="21"/>
        <v>2.507979936160476E-3</v>
      </c>
      <c r="M174" s="71">
        <f t="shared" si="24"/>
        <v>1.9558790084148292E-2</v>
      </c>
      <c r="N174" s="50">
        <v>40254</v>
      </c>
      <c r="O174" s="77">
        <f t="shared" si="22"/>
        <v>0.1222111550361579</v>
      </c>
      <c r="P174" s="39">
        <f t="shared" si="23"/>
        <v>9.6511461224702444E-2</v>
      </c>
    </row>
    <row r="175" spans="1:16" x14ac:dyDescent="0.3">
      <c r="A175" s="17">
        <v>40255</v>
      </c>
      <c r="B175" s="13">
        <v>22320</v>
      </c>
      <c r="C175" s="13">
        <v>52400</v>
      </c>
      <c r="D175" s="14">
        <v>1675.17</v>
      </c>
      <c r="E175" s="28">
        <f t="shared" si="17"/>
        <v>-4.2382333258977889E-3</v>
      </c>
      <c r="F175" s="39">
        <f t="shared" si="17"/>
        <v>9.5510983763125168E-4</v>
      </c>
      <c r="H175" s="64">
        <f t="shared" si="19"/>
        <v>0.9</v>
      </c>
      <c r="I175" s="65">
        <f t="shared" si="20"/>
        <v>1</v>
      </c>
      <c r="J175" s="66">
        <v>1</v>
      </c>
      <c r="K175" s="65">
        <f t="shared" si="18"/>
        <v>0</v>
      </c>
      <c r="L175" s="28">
        <f t="shared" si="21"/>
        <v>1.9558790084148292E-2</v>
      </c>
      <c r="M175" s="71">
        <f t="shared" si="24"/>
        <v>-4.2382333258977889E-3</v>
      </c>
      <c r="N175" s="51">
        <v>40255</v>
      </c>
      <c r="O175" s="77">
        <f t="shared" si="22"/>
        <v>0.11797292171026011</v>
      </c>
      <c r="P175" s="39">
        <f t="shared" si="23"/>
        <v>9.1500840533250027E-2</v>
      </c>
    </row>
    <row r="176" spans="1:16" x14ac:dyDescent="0.3">
      <c r="A176" s="18">
        <v>40256</v>
      </c>
      <c r="B176" s="15">
        <v>22460</v>
      </c>
      <c r="C176" s="15">
        <v>52420</v>
      </c>
      <c r="D176" s="16">
        <v>1686.11</v>
      </c>
      <c r="E176" s="28">
        <f t="shared" si="17"/>
        <v>6.2724014336916767E-3</v>
      </c>
      <c r="F176" s="39">
        <f t="shared" si="17"/>
        <v>3.8167938931299439E-4</v>
      </c>
      <c r="H176" s="64">
        <f t="shared" si="19"/>
        <v>0.9</v>
      </c>
      <c r="I176" s="65">
        <f t="shared" si="20"/>
        <v>1</v>
      </c>
      <c r="J176" s="66">
        <v>0.9</v>
      </c>
      <c r="K176" s="65">
        <f t="shared" si="18"/>
        <v>9.9999999999999978E-2</v>
      </c>
      <c r="L176" s="28">
        <f t="shared" si="21"/>
        <v>-3.7188990095448848E-3</v>
      </c>
      <c r="M176" s="71">
        <f t="shared" si="24"/>
        <v>5.6833292292538086E-3</v>
      </c>
      <c r="N176" s="50">
        <v>40256</v>
      </c>
      <c r="O176" s="77">
        <f t="shared" si="22"/>
        <v>0.12365625093951392</v>
      </c>
      <c r="P176" s="39">
        <f t="shared" si="23"/>
        <v>9.8629083753599911E-2</v>
      </c>
    </row>
    <row r="177" spans="1:16" x14ac:dyDescent="0.3">
      <c r="A177" s="17">
        <v>40259</v>
      </c>
      <c r="B177" s="13">
        <v>22200</v>
      </c>
      <c r="C177" s="13">
        <v>52430</v>
      </c>
      <c r="D177" s="14">
        <v>1672.67</v>
      </c>
      <c r="E177" s="28">
        <f t="shared" si="17"/>
        <v>-1.1576135351736405E-2</v>
      </c>
      <c r="F177" s="39">
        <f t="shared" si="17"/>
        <v>1.9076688286912002E-4</v>
      </c>
      <c r="H177" s="64">
        <f t="shared" si="19"/>
        <v>0.9</v>
      </c>
      <c r="I177" s="65">
        <f t="shared" si="20"/>
        <v>1</v>
      </c>
      <c r="J177" s="66">
        <v>1</v>
      </c>
      <c r="K177" s="65">
        <f t="shared" si="18"/>
        <v>0</v>
      </c>
      <c r="L177" s="28">
        <f t="shared" si="21"/>
        <v>6.2724014336916767E-3</v>
      </c>
      <c r="M177" s="71">
        <f t="shared" si="24"/>
        <v>-1.1576135351736405E-2</v>
      </c>
      <c r="N177" s="51">
        <v>40259</v>
      </c>
      <c r="O177" s="77">
        <f t="shared" si="22"/>
        <v>0.11208011558777752</v>
      </c>
      <c r="P177" s="39">
        <f t="shared" si="23"/>
        <v>8.987190012640589E-2</v>
      </c>
    </row>
    <row r="178" spans="1:16" x14ac:dyDescent="0.3">
      <c r="A178" s="17">
        <v>40260</v>
      </c>
      <c r="B178" s="13">
        <v>22425</v>
      </c>
      <c r="C178" s="13">
        <v>52380</v>
      </c>
      <c r="D178" s="14">
        <v>1681.82</v>
      </c>
      <c r="E178" s="28">
        <f t="shared" si="17"/>
        <v>1.0135135135135087E-2</v>
      </c>
      <c r="F178" s="39">
        <f t="shared" si="17"/>
        <v>-9.5365248903300781E-4</v>
      </c>
      <c r="H178" s="64">
        <f t="shared" si="19"/>
        <v>0.9</v>
      </c>
      <c r="I178" s="65">
        <f t="shared" si="20"/>
        <v>1</v>
      </c>
      <c r="J178" s="66">
        <v>0.9</v>
      </c>
      <c r="K178" s="65">
        <f t="shared" si="18"/>
        <v>9.9999999999999978E-2</v>
      </c>
      <c r="L178" s="28">
        <f t="shared" si="21"/>
        <v>-1.0399445128275854E-2</v>
      </c>
      <c r="M178" s="71">
        <f t="shared" si="24"/>
        <v>9.026256372718278E-3</v>
      </c>
      <c r="N178" s="51">
        <v>40260</v>
      </c>
      <c r="O178" s="77">
        <f t="shared" si="22"/>
        <v>0.1211063719604958</v>
      </c>
      <c r="P178" s="39">
        <f t="shared" si="23"/>
        <v>9.5833822015455317E-2</v>
      </c>
    </row>
    <row r="179" spans="1:16" x14ac:dyDescent="0.3">
      <c r="A179" s="18">
        <v>40261</v>
      </c>
      <c r="B179" s="15">
        <v>22425</v>
      </c>
      <c r="C179" s="15">
        <v>52195</v>
      </c>
      <c r="D179" s="70">
        <v>1681.01</v>
      </c>
      <c r="E179" s="71">
        <f t="shared" si="17"/>
        <v>0</v>
      </c>
      <c r="F179" s="39">
        <f t="shared" si="17"/>
        <v>-3.5318823978617297E-3</v>
      </c>
      <c r="H179" s="64">
        <f t="shared" si="19"/>
        <v>0.9</v>
      </c>
      <c r="I179" s="65">
        <f t="shared" si="20"/>
        <v>1</v>
      </c>
      <c r="J179" s="66">
        <v>1</v>
      </c>
      <c r="K179" s="65">
        <f t="shared" si="18"/>
        <v>0</v>
      </c>
      <c r="L179" s="28">
        <f t="shared" si="21"/>
        <v>1.0135135135135087E-2</v>
      </c>
      <c r="M179" s="71">
        <f t="shared" si="24"/>
        <v>0</v>
      </c>
      <c r="N179" s="50">
        <v>40261</v>
      </c>
      <c r="O179" s="77">
        <f t="shared" si="22"/>
        <v>0.1211063719604958</v>
      </c>
      <c r="P179" s="39">
        <f t="shared" si="23"/>
        <v>9.5306045323637845E-2</v>
      </c>
    </row>
    <row r="180" spans="1:16" x14ac:dyDescent="0.3">
      <c r="A180" s="17">
        <v>40262</v>
      </c>
      <c r="B180" s="13">
        <v>22450</v>
      </c>
      <c r="C180" s="13">
        <v>52315</v>
      </c>
      <c r="D180" s="14">
        <v>1688.39</v>
      </c>
      <c r="E180" s="28">
        <f t="shared" si="17"/>
        <v>1.1148272017837968E-3</v>
      </c>
      <c r="F180" s="39">
        <f t="shared" si="17"/>
        <v>2.2990707922214693E-3</v>
      </c>
      <c r="H180" s="64">
        <f t="shared" si="19"/>
        <v>0.9</v>
      </c>
      <c r="I180" s="65">
        <f t="shared" si="20"/>
        <v>1</v>
      </c>
      <c r="J180" s="66">
        <v>1</v>
      </c>
      <c r="K180" s="65">
        <f t="shared" si="18"/>
        <v>0</v>
      </c>
      <c r="L180" s="28">
        <f t="shared" si="21"/>
        <v>0</v>
      </c>
      <c r="M180" s="71">
        <f t="shared" si="24"/>
        <v>1.1148272017837968E-3</v>
      </c>
      <c r="N180" s="51">
        <v>40262</v>
      </c>
      <c r="O180" s="77">
        <f t="shared" si="22"/>
        <v>0.1222211991622796</v>
      </c>
      <c r="P180" s="39">
        <f t="shared" si="23"/>
        <v>0.10011467740464197</v>
      </c>
    </row>
    <row r="181" spans="1:16" x14ac:dyDescent="0.3">
      <c r="A181" s="18">
        <v>40263</v>
      </c>
      <c r="B181" s="15">
        <v>22575</v>
      </c>
      <c r="C181" s="15">
        <v>52370</v>
      </c>
      <c r="D181" s="16">
        <v>1697.72</v>
      </c>
      <c r="E181" s="28">
        <f t="shared" si="17"/>
        <v>5.5679287305121505E-3</v>
      </c>
      <c r="F181" s="39">
        <f t="shared" si="17"/>
        <v>1.0513237121283492E-3</v>
      </c>
      <c r="H181" s="64">
        <f t="shared" si="19"/>
        <v>0.9</v>
      </c>
      <c r="I181" s="65">
        <f t="shared" si="20"/>
        <v>1</v>
      </c>
      <c r="J181" s="66">
        <v>0.9</v>
      </c>
      <c r="K181" s="65">
        <f t="shared" si="18"/>
        <v>9.9999999999999978E-2</v>
      </c>
      <c r="L181" s="28">
        <f t="shared" si="21"/>
        <v>1.2332515608275642E-3</v>
      </c>
      <c r="M181" s="71">
        <f t="shared" si="24"/>
        <v>5.1162682286737702E-3</v>
      </c>
      <c r="N181" s="50">
        <v>40263</v>
      </c>
      <c r="O181" s="77">
        <f t="shared" si="22"/>
        <v>0.12733746739095336</v>
      </c>
      <c r="P181" s="39">
        <f t="shared" si="23"/>
        <v>0.10619388300298427</v>
      </c>
    </row>
    <row r="182" spans="1:16" x14ac:dyDescent="0.3">
      <c r="A182" s="17">
        <v>40266</v>
      </c>
      <c r="B182" s="13">
        <v>22520</v>
      </c>
      <c r="C182" s="13">
        <v>52305</v>
      </c>
      <c r="D182" s="14">
        <v>1691.99</v>
      </c>
      <c r="E182" s="28">
        <f t="shared" si="17"/>
        <v>-2.4363233665559703E-3</v>
      </c>
      <c r="F182" s="39">
        <f t="shared" si="17"/>
        <v>-1.2411686079816242E-3</v>
      </c>
      <c r="H182" s="64">
        <f t="shared" si="19"/>
        <v>0.9</v>
      </c>
      <c r="I182" s="65">
        <f t="shared" si="20"/>
        <v>1</v>
      </c>
      <c r="J182" s="66">
        <v>1</v>
      </c>
      <c r="K182" s="65">
        <f t="shared" si="18"/>
        <v>0</v>
      </c>
      <c r="L182" s="28">
        <f t="shared" si="21"/>
        <v>5.5679287305121505E-3</v>
      </c>
      <c r="M182" s="71">
        <f t="shared" si="24"/>
        <v>-2.4363233665559703E-3</v>
      </c>
      <c r="N182" s="51">
        <v>40266</v>
      </c>
      <c r="O182" s="77">
        <f t="shared" si="22"/>
        <v>0.12490114402439739</v>
      </c>
      <c r="P182" s="39">
        <f t="shared" si="23"/>
        <v>0.10246035159049738</v>
      </c>
    </row>
    <row r="183" spans="1:16" x14ac:dyDescent="0.3">
      <c r="A183" s="17">
        <v>40267</v>
      </c>
      <c r="B183" s="13">
        <v>22665</v>
      </c>
      <c r="C183" s="13">
        <v>52220</v>
      </c>
      <c r="D183" s="14">
        <v>1700.19</v>
      </c>
      <c r="E183" s="28">
        <f t="shared" si="17"/>
        <v>6.4387211367673558E-3</v>
      </c>
      <c r="F183" s="39">
        <f t="shared" si="17"/>
        <v>-1.6250836440110383E-3</v>
      </c>
      <c r="H183" s="64">
        <f t="shared" si="19"/>
        <v>0.9</v>
      </c>
      <c r="I183" s="65">
        <f t="shared" si="20"/>
        <v>1</v>
      </c>
      <c r="J183" s="66">
        <v>0.9</v>
      </c>
      <c r="K183" s="65">
        <f t="shared" si="18"/>
        <v>9.9999999999999978E-2</v>
      </c>
      <c r="L183" s="28">
        <f t="shared" si="21"/>
        <v>-2.3168078906985359E-3</v>
      </c>
      <c r="M183" s="71">
        <f t="shared" si="24"/>
        <v>5.6323406586895166E-3</v>
      </c>
      <c r="N183" s="51">
        <v>40267</v>
      </c>
      <c r="O183" s="77">
        <f t="shared" si="22"/>
        <v>0.1305334846830869</v>
      </c>
      <c r="P183" s="39">
        <f t="shared" si="23"/>
        <v>0.10780327612494633</v>
      </c>
    </row>
    <row r="184" spans="1:16" x14ac:dyDescent="0.3">
      <c r="A184" s="18">
        <v>40268</v>
      </c>
      <c r="B184" s="15">
        <v>22580</v>
      </c>
      <c r="C184" s="15">
        <v>52250</v>
      </c>
      <c r="D184" s="70">
        <v>1692.85</v>
      </c>
      <c r="E184" s="71">
        <f t="shared" si="17"/>
        <v>-3.7502757555702981E-3</v>
      </c>
      <c r="F184" s="39">
        <f t="shared" si="17"/>
        <v>5.744925315971372E-4</v>
      </c>
      <c r="H184" s="64">
        <f t="shared" si="19"/>
        <v>0.9</v>
      </c>
      <c r="I184" s="65">
        <f t="shared" si="20"/>
        <v>1</v>
      </c>
      <c r="J184" s="66">
        <v>1</v>
      </c>
      <c r="K184" s="65">
        <f t="shared" si="18"/>
        <v>0</v>
      </c>
      <c r="L184" s="28">
        <f t="shared" si="21"/>
        <v>6.4387211367673558E-3</v>
      </c>
      <c r="M184" s="71">
        <f t="shared" si="24"/>
        <v>-3.7502757555702981E-3</v>
      </c>
      <c r="N184" s="50">
        <v>40268</v>
      </c>
      <c r="O184" s="77">
        <f t="shared" si="22"/>
        <v>0.1267832089275166</v>
      </c>
      <c r="P184" s="39">
        <f t="shared" si="23"/>
        <v>0.10302070709045164</v>
      </c>
    </row>
    <row r="185" spans="1:16" x14ac:dyDescent="0.3">
      <c r="A185" s="17">
        <v>40269</v>
      </c>
      <c r="B185" s="13">
        <v>22940</v>
      </c>
      <c r="C185" s="13">
        <v>52330</v>
      </c>
      <c r="D185" s="14">
        <v>1719.17</v>
      </c>
      <c r="E185" s="28">
        <f t="shared" si="17"/>
        <v>1.5943312666076181E-2</v>
      </c>
      <c r="F185" s="39">
        <f t="shared" si="17"/>
        <v>1.5311004784688276E-3</v>
      </c>
      <c r="H185" s="64">
        <f t="shared" si="19"/>
        <v>0.9</v>
      </c>
      <c r="I185" s="65">
        <f t="shared" si="20"/>
        <v>1</v>
      </c>
      <c r="J185" s="66">
        <v>0.9</v>
      </c>
      <c r="K185" s="65">
        <f t="shared" si="18"/>
        <v>9.9999999999999978E-2</v>
      </c>
      <c r="L185" s="28">
        <f t="shared" si="21"/>
        <v>-3.3177989268535547E-3</v>
      </c>
      <c r="M185" s="71">
        <f t="shared" si="24"/>
        <v>1.4502091447315447E-2</v>
      </c>
      <c r="N185" s="51">
        <v>40269</v>
      </c>
      <c r="O185" s="77">
        <f t="shared" si="22"/>
        <v>0.14128530037483206</v>
      </c>
      <c r="P185" s="39">
        <f t="shared" si="23"/>
        <v>0.12017019169370702</v>
      </c>
    </row>
    <row r="186" spans="1:16" x14ac:dyDescent="0.3">
      <c r="A186" s="18">
        <v>40270</v>
      </c>
      <c r="B186" s="15">
        <v>23040</v>
      </c>
      <c r="C186" s="15">
        <v>52365</v>
      </c>
      <c r="D186" s="16">
        <v>1723.49</v>
      </c>
      <c r="E186" s="28">
        <f t="shared" si="17"/>
        <v>4.3591979075849885E-3</v>
      </c>
      <c r="F186" s="39">
        <f t="shared" si="17"/>
        <v>6.6883240970772029E-4</v>
      </c>
      <c r="H186" s="64">
        <f t="shared" si="19"/>
        <v>0.9</v>
      </c>
      <c r="I186" s="65">
        <f t="shared" si="20"/>
        <v>1</v>
      </c>
      <c r="J186" s="66">
        <v>1</v>
      </c>
      <c r="K186" s="65">
        <f t="shared" si="18"/>
        <v>0</v>
      </c>
      <c r="L186" s="28">
        <f t="shared" si="21"/>
        <v>1.5943312666076181E-2</v>
      </c>
      <c r="M186" s="71">
        <f t="shared" si="24"/>
        <v>4.3591979075849885E-3</v>
      </c>
      <c r="N186" s="50">
        <v>40270</v>
      </c>
      <c r="O186" s="77">
        <f t="shared" si="22"/>
        <v>0.14564449828241705</v>
      </c>
      <c r="P186" s="39">
        <f t="shared" si="23"/>
        <v>0.12298500071673368</v>
      </c>
    </row>
    <row r="187" spans="1:16" x14ac:dyDescent="0.3">
      <c r="A187" s="17">
        <v>40273</v>
      </c>
      <c r="B187" s="13">
        <v>23160</v>
      </c>
      <c r="C187" s="13">
        <v>52360</v>
      </c>
      <c r="D187" s="14">
        <v>1724.99</v>
      </c>
      <c r="E187" s="28">
        <f t="shared" si="17"/>
        <v>5.2083333333332593E-3</v>
      </c>
      <c r="F187" s="39">
        <f t="shared" si="17"/>
        <v>-9.5483624558356794E-5</v>
      </c>
      <c r="H187" s="64">
        <f t="shared" si="19"/>
        <v>0.9</v>
      </c>
      <c r="I187" s="65">
        <f t="shared" si="20"/>
        <v>1</v>
      </c>
      <c r="J187" s="66">
        <v>1</v>
      </c>
      <c r="K187" s="65">
        <f t="shared" si="18"/>
        <v>0</v>
      </c>
      <c r="L187" s="28">
        <f t="shared" si="21"/>
        <v>4.3591979075849885E-3</v>
      </c>
      <c r="M187" s="71">
        <f t="shared" si="24"/>
        <v>5.2083333333332593E-3</v>
      </c>
      <c r="N187" s="51">
        <v>40273</v>
      </c>
      <c r="O187" s="77">
        <f t="shared" si="22"/>
        <v>0.1508528316157503</v>
      </c>
      <c r="P187" s="39">
        <f t="shared" si="23"/>
        <v>0.12396236496084034</v>
      </c>
    </row>
    <row r="188" spans="1:16" x14ac:dyDescent="0.3">
      <c r="A188" s="17">
        <v>40274</v>
      </c>
      <c r="B188" s="13">
        <v>23170</v>
      </c>
      <c r="C188" s="13">
        <v>52365</v>
      </c>
      <c r="D188" s="14">
        <v>1726.09</v>
      </c>
      <c r="E188" s="28">
        <f t="shared" si="17"/>
        <v>4.3177892918833116E-4</v>
      </c>
      <c r="F188" s="39">
        <f t="shared" si="17"/>
        <v>9.5492742551606113E-5</v>
      </c>
      <c r="H188" s="64">
        <f t="shared" si="19"/>
        <v>0.9</v>
      </c>
      <c r="I188" s="65">
        <f t="shared" si="20"/>
        <v>1</v>
      </c>
      <c r="J188" s="66">
        <v>1</v>
      </c>
      <c r="K188" s="65">
        <f t="shared" si="18"/>
        <v>0</v>
      </c>
      <c r="L188" s="28">
        <f t="shared" si="21"/>
        <v>5.2083333333332593E-3</v>
      </c>
      <c r="M188" s="71">
        <f t="shared" si="24"/>
        <v>4.3177892918833116E-4</v>
      </c>
      <c r="N188" s="51">
        <v>40274</v>
      </c>
      <c r="O188" s="77">
        <f t="shared" si="22"/>
        <v>0.15128461054493864</v>
      </c>
      <c r="P188" s="39">
        <f t="shared" si="23"/>
        <v>0.12467909873985161</v>
      </c>
    </row>
    <row r="189" spans="1:16" x14ac:dyDescent="0.3">
      <c r="A189" s="18">
        <v>40275</v>
      </c>
      <c r="B189" s="15">
        <v>23130</v>
      </c>
      <c r="C189" s="15">
        <v>52450</v>
      </c>
      <c r="D189" s="70">
        <v>1726.6</v>
      </c>
      <c r="E189" s="71">
        <f t="shared" si="17"/>
        <v>-1.7263703064307467E-3</v>
      </c>
      <c r="F189" s="39">
        <f t="shared" si="17"/>
        <v>1.6232216174925096E-3</v>
      </c>
      <c r="H189" s="64">
        <f t="shared" si="19"/>
        <v>0.9</v>
      </c>
      <c r="I189" s="65">
        <f t="shared" si="20"/>
        <v>1</v>
      </c>
      <c r="J189" s="66">
        <v>1</v>
      </c>
      <c r="K189" s="65">
        <f t="shared" si="18"/>
        <v>0</v>
      </c>
      <c r="L189" s="28">
        <f t="shared" si="21"/>
        <v>4.3177892918833116E-4</v>
      </c>
      <c r="M189" s="71">
        <f t="shared" si="24"/>
        <v>-1.7263703064307467E-3</v>
      </c>
      <c r="N189" s="50">
        <v>40275</v>
      </c>
      <c r="O189" s="77">
        <f t="shared" si="22"/>
        <v>0.14955824023850789</v>
      </c>
      <c r="P189" s="39">
        <f t="shared" si="23"/>
        <v>0.12501140258284793</v>
      </c>
    </row>
    <row r="190" spans="1:16" x14ac:dyDescent="0.3">
      <c r="A190" s="17">
        <v>40276</v>
      </c>
      <c r="B190" s="13">
        <v>23185</v>
      </c>
      <c r="C190" s="13">
        <v>52550</v>
      </c>
      <c r="D190" s="14">
        <v>1733.78</v>
      </c>
      <c r="E190" s="28">
        <f t="shared" si="17"/>
        <v>2.3778642455685173E-3</v>
      </c>
      <c r="F190" s="39">
        <f t="shared" si="17"/>
        <v>1.9065776930409228E-3</v>
      </c>
      <c r="H190" s="64">
        <f t="shared" si="19"/>
        <v>0.9</v>
      </c>
      <c r="I190" s="65">
        <f t="shared" si="20"/>
        <v>1</v>
      </c>
      <c r="J190" s="66">
        <v>0.9</v>
      </c>
      <c r="K190" s="65">
        <f t="shared" si="18"/>
        <v>9.9999999999999978E-2</v>
      </c>
      <c r="L190" s="28">
        <f t="shared" si="21"/>
        <v>-1.3914111140384212E-3</v>
      </c>
      <c r="M190" s="71">
        <f t="shared" si="24"/>
        <v>2.3307355903157577E-3</v>
      </c>
      <c r="N190" s="51">
        <v>40276</v>
      </c>
      <c r="O190" s="77">
        <f t="shared" si="22"/>
        <v>0.15188897582882366</v>
      </c>
      <c r="P190" s="39">
        <f t="shared" si="23"/>
        <v>0.12968971943130425</v>
      </c>
    </row>
    <row r="191" spans="1:16" x14ac:dyDescent="0.3">
      <c r="A191" s="18">
        <v>40277</v>
      </c>
      <c r="B191" s="15">
        <v>23080</v>
      </c>
      <c r="C191" s="15">
        <v>52515</v>
      </c>
      <c r="D191" s="16">
        <v>1724.47</v>
      </c>
      <c r="E191" s="28">
        <f t="shared" si="17"/>
        <v>-4.528790166055674E-3</v>
      </c>
      <c r="F191" s="39">
        <f t="shared" si="17"/>
        <v>-6.6603235014273121E-4</v>
      </c>
      <c r="H191" s="64">
        <f t="shared" si="19"/>
        <v>0.9</v>
      </c>
      <c r="I191" s="65">
        <f t="shared" si="20"/>
        <v>1</v>
      </c>
      <c r="J191" s="66">
        <v>1</v>
      </c>
      <c r="K191" s="65">
        <f t="shared" si="18"/>
        <v>0</v>
      </c>
      <c r="L191" s="28">
        <f t="shared" si="21"/>
        <v>2.3778642455685173E-3</v>
      </c>
      <c r="M191" s="71">
        <f t="shared" si="24"/>
        <v>-4.528790166055674E-3</v>
      </c>
      <c r="N191" s="50">
        <v>40277</v>
      </c>
      <c r="O191" s="77">
        <f t="shared" si="22"/>
        <v>0.14736018566276798</v>
      </c>
      <c r="P191" s="39">
        <f t="shared" si="23"/>
        <v>0.12362354535621667</v>
      </c>
    </row>
    <row r="192" spans="1:16" x14ac:dyDescent="0.3">
      <c r="A192" s="17">
        <v>40280</v>
      </c>
      <c r="B192" s="13">
        <v>22895</v>
      </c>
      <c r="C192" s="13">
        <v>52440</v>
      </c>
      <c r="D192" s="14">
        <v>1710.3</v>
      </c>
      <c r="E192" s="28">
        <f t="shared" si="17"/>
        <v>-8.0155979202772842E-3</v>
      </c>
      <c r="F192" s="39">
        <f t="shared" si="17"/>
        <v>-1.4281633818908901E-3</v>
      </c>
      <c r="H192" s="64">
        <f t="shared" si="19"/>
        <v>0.9</v>
      </c>
      <c r="I192" s="65">
        <f t="shared" si="20"/>
        <v>1</v>
      </c>
      <c r="J192" s="66">
        <v>0.9</v>
      </c>
      <c r="K192" s="65">
        <f t="shared" si="18"/>
        <v>9.9999999999999978E-2</v>
      </c>
      <c r="L192" s="28">
        <f t="shared" si="21"/>
        <v>-4.1425143844643795E-3</v>
      </c>
      <c r="M192" s="71">
        <f t="shared" si="24"/>
        <v>-7.356854466438645E-3</v>
      </c>
      <c r="N192" s="51">
        <v>40280</v>
      </c>
      <c r="O192" s="77">
        <f t="shared" si="22"/>
        <v>0.14000333119632935</v>
      </c>
      <c r="P192" s="39">
        <f t="shared" si="23"/>
        <v>0.11439071113022403</v>
      </c>
    </row>
    <row r="193" spans="1:16" x14ac:dyDescent="0.3">
      <c r="A193" s="17">
        <v>40281</v>
      </c>
      <c r="B193" s="13">
        <v>22855</v>
      </c>
      <c r="C193" s="13">
        <v>52420</v>
      </c>
      <c r="D193" s="14">
        <v>1710.59</v>
      </c>
      <c r="E193" s="28">
        <f t="shared" si="17"/>
        <v>-1.7471063550993371E-3</v>
      </c>
      <c r="F193" s="39">
        <f t="shared" si="17"/>
        <v>-3.8138825324185444E-4</v>
      </c>
      <c r="H193" s="64">
        <f t="shared" si="19"/>
        <v>0.9</v>
      </c>
      <c r="I193" s="65">
        <f t="shared" si="20"/>
        <v>1</v>
      </c>
      <c r="J193" s="66">
        <v>0.9</v>
      </c>
      <c r="K193" s="65">
        <f t="shared" si="18"/>
        <v>9.9999999999999978E-2</v>
      </c>
      <c r="L193" s="28">
        <f t="shared" si="21"/>
        <v>-7.356854466438645E-3</v>
      </c>
      <c r="M193" s="71">
        <f t="shared" si="24"/>
        <v>-1.6105345449135887E-3</v>
      </c>
      <c r="N193" s="51">
        <v>40281</v>
      </c>
      <c r="O193" s="77">
        <f t="shared" si="22"/>
        <v>0.13839279665141577</v>
      </c>
      <c r="P193" s="39">
        <f t="shared" si="23"/>
        <v>0.11457966821741783</v>
      </c>
    </row>
    <row r="194" spans="1:16" x14ac:dyDescent="0.3">
      <c r="A194" s="18">
        <v>40282</v>
      </c>
      <c r="B194" s="15">
        <v>23200</v>
      </c>
      <c r="C194" s="15">
        <v>52400</v>
      </c>
      <c r="D194" s="70">
        <v>1735.33</v>
      </c>
      <c r="E194" s="71">
        <f t="shared" si="17"/>
        <v>1.5095165171734815E-2</v>
      </c>
      <c r="F194" s="39">
        <f t="shared" si="17"/>
        <v>-3.8153376573824005E-4</v>
      </c>
      <c r="H194" s="64">
        <f t="shared" si="19"/>
        <v>0.9</v>
      </c>
      <c r="I194" s="65">
        <f t="shared" si="20"/>
        <v>1</v>
      </c>
      <c r="J194" s="66">
        <v>0.9</v>
      </c>
      <c r="K194" s="65">
        <f t="shared" si="18"/>
        <v>9.9999999999999978E-2</v>
      </c>
      <c r="L194" s="28">
        <f t="shared" si="21"/>
        <v>-1.6105345449135887E-3</v>
      </c>
      <c r="M194" s="71">
        <f t="shared" si="24"/>
        <v>1.3547495277987509E-2</v>
      </c>
      <c r="N194" s="50">
        <v>40282</v>
      </c>
      <c r="O194" s="77">
        <f t="shared" si="22"/>
        <v>0.15194029192940328</v>
      </c>
      <c r="P194" s="39">
        <f t="shared" si="23"/>
        <v>0.1306996624835477</v>
      </c>
    </row>
    <row r="195" spans="1:16" x14ac:dyDescent="0.3">
      <c r="A195" s="17">
        <v>40283</v>
      </c>
      <c r="B195" s="13">
        <v>23280</v>
      </c>
      <c r="C195" s="13">
        <v>52360</v>
      </c>
      <c r="D195" s="14">
        <v>1743.91</v>
      </c>
      <c r="E195" s="28">
        <f t="shared" si="17"/>
        <v>3.4482758620688614E-3</v>
      </c>
      <c r="F195" s="39">
        <f t="shared" si="17"/>
        <v>-7.6335877862598878E-4</v>
      </c>
      <c r="H195" s="64">
        <f t="shared" si="19"/>
        <v>0.9</v>
      </c>
      <c r="I195" s="65">
        <f t="shared" si="20"/>
        <v>1</v>
      </c>
      <c r="J195" s="66">
        <v>1</v>
      </c>
      <c r="K195" s="65">
        <f t="shared" si="18"/>
        <v>0</v>
      </c>
      <c r="L195" s="28">
        <f t="shared" si="21"/>
        <v>1.5095165171734815E-2</v>
      </c>
      <c r="M195" s="71">
        <f t="shared" si="24"/>
        <v>3.4482758620688614E-3</v>
      </c>
      <c r="N195" s="51">
        <v>40283</v>
      </c>
      <c r="O195" s="77">
        <f t="shared" si="22"/>
        <v>0.15538856779147214</v>
      </c>
      <c r="P195" s="39">
        <f t="shared" si="23"/>
        <v>0.13629018595983688</v>
      </c>
    </row>
    <row r="196" spans="1:16" x14ac:dyDescent="0.3">
      <c r="A196" s="18">
        <v>40284</v>
      </c>
      <c r="B196" s="15">
        <v>23135</v>
      </c>
      <c r="C196" s="15">
        <v>52425</v>
      </c>
      <c r="D196" s="16">
        <v>1734.49</v>
      </c>
      <c r="E196" s="28">
        <f t="shared" si="17"/>
        <v>-6.2285223367697373E-3</v>
      </c>
      <c r="F196" s="39">
        <f t="shared" si="17"/>
        <v>1.2414056531704354E-3</v>
      </c>
      <c r="H196" s="64">
        <f t="shared" si="19"/>
        <v>0.9</v>
      </c>
      <c r="I196" s="65">
        <f t="shared" si="20"/>
        <v>1</v>
      </c>
      <c r="J196" s="66">
        <v>1</v>
      </c>
      <c r="K196" s="65">
        <f t="shared" si="18"/>
        <v>0</v>
      </c>
      <c r="L196" s="28">
        <f t="shared" si="21"/>
        <v>3.4482758620688614E-3</v>
      </c>
      <c r="M196" s="71">
        <f t="shared" si="24"/>
        <v>-6.2285223367697373E-3</v>
      </c>
      <c r="N196" s="50">
        <v>40284</v>
      </c>
      <c r="O196" s="77">
        <f t="shared" si="22"/>
        <v>0.14916004545470241</v>
      </c>
      <c r="P196" s="39">
        <f t="shared" si="23"/>
        <v>0.13015233850684815</v>
      </c>
    </row>
    <row r="197" spans="1:16" x14ac:dyDescent="0.3">
      <c r="A197" s="17">
        <v>40287</v>
      </c>
      <c r="B197" s="13">
        <v>22740</v>
      </c>
      <c r="C197" s="13">
        <v>52500</v>
      </c>
      <c r="D197" s="14">
        <v>1705.3</v>
      </c>
      <c r="E197" s="28">
        <f t="shared" si="17"/>
        <v>-1.7073697860384707E-2</v>
      </c>
      <c r="F197" s="39">
        <f t="shared" si="17"/>
        <v>1.4306151645206988E-3</v>
      </c>
      <c r="H197" s="64">
        <f t="shared" si="19"/>
        <v>0.9</v>
      </c>
      <c r="I197" s="65">
        <f t="shared" si="20"/>
        <v>1</v>
      </c>
      <c r="J197" s="66">
        <v>0.9</v>
      </c>
      <c r="K197" s="65">
        <f t="shared" si="18"/>
        <v>9.9999999999999978E-2</v>
      </c>
      <c r="L197" s="28">
        <f t="shared" si="21"/>
        <v>-5.4815295377757204E-3</v>
      </c>
      <c r="M197" s="71">
        <f t="shared" si="24"/>
        <v>-1.5223266557894166E-2</v>
      </c>
      <c r="N197" s="51">
        <v>40287</v>
      </c>
      <c r="O197" s="77">
        <f t="shared" si="22"/>
        <v>0.13393677889680825</v>
      </c>
      <c r="P197" s="39">
        <f t="shared" si="23"/>
        <v>0.11113283031653576</v>
      </c>
    </row>
    <row r="198" spans="1:16" x14ac:dyDescent="0.3">
      <c r="A198" s="17">
        <v>40288</v>
      </c>
      <c r="B198" s="13">
        <v>22880</v>
      </c>
      <c r="C198" s="13">
        <v>52510</v>
      </c>
      <c r="D198" s="14">
        <v>1718.03</v>
      </c>
      <c r="E198" s="28">
        <f t="shared" si="17"/>
        <v>6.1565523306947867E-3</v>
      </c>
      <c r="F198" s="39">
        <f t="shared" si="17"/>
        <v>1.9047619047629638E-4</v>
      </c>
      <c r="H198" s="64">
        <f t="shared" si="19"/>
        <v>0.9</v>
      </c>
      <c r="I198" s="65">
        <f t="shared" si="20"/>
        <v>1</v>
      </c>
      <c r="J198" s="66">
        <v>0.9</v>
      </c>
      <c r="K198" s="65">
        <f t="shared" si="18"/>
        <v>9.9999999999999978E-2</v>
      </c>
      <c r="L198" s="28">
        <f t="shared" si="21"/>
        <v>-1.5223266557894166E-2</v>
      </c>
      <c r="M198" s="71">
        <f t="shared" si="24"/>
        <v>5.5599447166729378E-3</v>
      </c>
      <c r="N198" s="51">
        <v>40288</v>
      </c>
      <c r="O198" s="77">
        <f t="shared" si="22"/>
        <v>0.13949672361348117</v>
      </c>
      <c r="P198" s="39">
        <f t="shared" si="23"/>
        <v>0.1194273948681861</v>
      </c>
    </row>
    <row r="199" spans="1:16" x14ac:dyDescent="0.3">
      <c r="A199" s="18">
        <v>40289</v>
      </c>
      <c r="B199" s="15">
        <v>23245</v>
      </c>
      <c r="C199" s="15">
        <v>52500</v>
      </c>
      <c r="D199" s="70">
        <v>1747.58</v>
      </c>
      <c r="E199" s="71">
        <f t="shared" si="17"/>
        <v>1.5952797202797298E-2</v>
      </c>
      <c r="F199" s="39">
        <f t="shared" si="17"/>
        <v>-1.9043991620648626E-4</v>
      </c>
      <c r="H199" s="64">
        <f t="shared" si="19"/>
        <v>0.9</v>
      </c>
      <c r="I199" s="65">
        <f t="shared" si="20"/>
        <v>1</v>
      </c>
      <c r="J199" s="66">
        <v>1</v>
      </c>
      <c r="K199" s="65">
        <f t="shared" si="18"/>
        <v>0</v>
      </c>
      <c r="L199" s="28">
        <f t="shared" si="21"/>
        <v>6.1565523306947867E-3</v>
      </c>
      <c r="M199" s="71">
        <f t="shared" si="24"/>
        <v>1.5952797202797298E-2</v>
      </c>
      <c r="N199" s="50">
        <v>40289</v>
      </c>
      <c r="O199" s="77">
        <f t="shared" si="22"/>
        <v>0.15544952081627847</v>
      </c>
      <c r="P199" s="39">
        <f t="shared" si="23"/>
        <v>0.13868147047708401</v>
      </c>
    </row>
    <row r="200" spans="1:16" x14ac:dyDescent="0.3">
      <c r="A200" s="17">
        <v>40290</v>
      </c>
      <c r="B200" s="13">
        <v>23170</v>
      </c>
      <c r="C200" s="13">
        <v>52540</v>
      </c>
      <c r="D200" s="14">
        <v>1739.52</v>
      </c>
      <c r="E200" s="28">
        <f t="shared" si="17"/>
        <v>-3.2265003226500388E-3</v>
      </c>
      <c r="F200" s="39">
        <f t="shared" si="17"/>
        <v>7.6190476190474143E-4</v>
      </c>
      <c r="H200" s="64">
        <f t="shared" si="19"/>
        <v>0.9</v>
      </c>
      <c r="I200" s="65">
        <f t="shared" si="20"/>
        <v>1</v>
      </c>
      <c r="J200" s="66">
        <v>1</v>
      </c>
      <c r="K200" s="65">
        <f t="shared" si="18"/>
        <v>0</v>
      </c>
      <c r="L200" s="28">
        <f t="shared" si="21"/>
        <v>1.5952797202797298E-2</v>
      </c>
      <c r="M200" s="71">
        <f t="shared" si="24"/>
        <v>-3.2265003226500388E-3</v>
      </c>
      <c r="N200" s="51">
        <v>40290</v>
      </c>
      <c r="O200" s="77">
        <f t="shared" si="22"/>
        <v>0.15222302049362843</v>
      </c>
      <c r="P200" s="39">
        <f t="shared" si="23"/>
        <v>0.1334297666054185</v>
      </c>
    </row>
    <row r="201" spans="1:16" x14ac:dyDescent="0.3">
      <c r="A201" s="18">
        <v>40291</v>
      </c>
      <c r="B201" s="15">
        <v>23140</v>
      </c>
      <c r="C201" s="15">
        <v>52570</v>
      </c>
      <c r="D201" s="16">
        <v>1737.03</v>
      </c>
      <c r="E201" s="28">
        <f t="shared" si="17"/>
        <v>-1.2947777298230045E-3</v>
      </c>
      <c r="F201" s="39">
        <f t="shared" si="17"/>
        <v>5.7099352873990483E-4</v>
      </c>
      <c r="H201" s="64">
        <f t="shared" si="19"/>
        <v>0.9</v>
      </c>
      <c r="I201" s="65">
        <f t="shared" si="20"/>
        <v>1</v>
      </c>
      <c r="J201" s="66">
        <v>0.9</v>
      </c>
      <c r="K201" s="65">
        <f t="shared" si="18"/>
        <v>9.9999999999999978E-2</v>
      </c>
      <c r="L201" s="28">
        <f t="shared" si="21"/>
        <v>-2.8276598141945609E-3</v>
      </c>
      <c r="M201" s="71">
        <f t="shared" si="24"/>
        <v>-1.1082006039667136E-3</v>
      </c>
      <c r="N201" s="50">
        <v>40291</v>
      </c>
      <c r="O201" s="77">
        <f t="shared" si="22"/>
        <v>0.15111481988966172</v>
      </c>
      <c r="P201" s="39">
        <f t="shared" si="23"/>
        <v>0.13180734196020172</v>
      </c>
    </row>
    <row r="202" spans="1:16" x14ac:dyDescent="0.3">
      <c r="A202" s="17">
        <v>40294</v>
      </c>
      <c r="B202" s="13">
        <v>23385</v>
      </c>
      <c r="C202" s="13">
        <v>52575</v>
      </c>
      <c r="D202" s="14">
        <v>1752.2</v>
      </c>
      <c r="E202" s="28">
        <f t="shared" si="17"/>
        <v>1.0587726879861759E-2</v>
      </c>
      <c r="F202" s="39">
        <f t="shared" si="17"/>
        <v>9.5111280197901493E-5</v>
      </c>
      <c r="H202" s="64">
        <f t="shared" si="19"/>
        <v>0.9</v>
      </c>
      <c r="I202" s="65">
        <f t="shared" si="20"/>
        <v>1</v>
      </c>
      <c r="J202" s="66">
        <v>0.9</v>
      </c>
      <c r="K202" s="65">
        <f t="shared" si="18"/>
        <v>9.9999999999999978E-2</v>
      </c>
      <c r="L202" s="28">
        <f t="shared" si="21"/>
        <v>-1.1082006039667136E-3</v>
      </c>
      <c r="M202" s="71">
        <f t="shared" si="24"/>
        <v>9.5384653198953718E-3</v>
      </c>
      <c r="N202" s="51">
        <v>40294</v>
      </c>
      <c r="O202" s="77">
        <f t="shared" si="22"/>
        <v>0.1606532852095571</v>
      </c>
      <c r="P202" s="39">
        <f t="shared" si="23"/>
        <v>0.14169175234893205</v>
      </c>
    </row>
    <row r="203" spans="1:16" x14ac:dyDescent="0.3">
      <c r="A203" s="17">
        <v>40295</v>
      </c>
      <c r="B203" s="13">
        <v>23365</v>
      </c>
      <c r="C203" s="13">
        <v>52650</v>
      </c>
      <c r="D203" s="14">
        <v>1749.55</v>
      </c>
      <c r="E203" s="28">
        <f t="shared" si="17"/>
        <v>-8.5524909129786053E-4</v>
      </c>
      <c r="F203" s="39">
        <f t="shared" si="17"/>
        <v>1.4265335235377208E-3</v>
      </c>
      <c r="H203" s="64">
        <f t="shared" si="19"/>
        <v>0.9</v>
      </c>
      <c r="I203" s="65">
        <f t="shared" si="20"/>
        <v>1</v>
      </c>
      <c r="J203" s="66">
        <v>1</v>
      </c>
      <c r="K203" s="65">
        <f t="shared" si="18"/>
        <v>0</v>
      </c>
      <c r="L203" s="28">
        <f t="shared" si="21"/>
        <v>1.0587726879861759E-2</v>
      </c>
      <c r="M203" s="71">
        <f t="shared" si="24"/>
        <v>-8.5524909129786053E-4</v>
      </c>
      <c r="N203" s="51">
        <v>40295</v>
      </c>
      <c r="O203" s="77">
        <f t="shared" si="22"/>
        <v>0.15979803611825924</v>
      </c>
      <c r="P203" s="39">
        <f t="shared" si="23"/>
        <v>0.13996507551767712</v>
      </c>
    </row>
    <row r="204" spans="1:16" x14ac:dyDescent="0.3">
      <c r="A204" s="18">
        <v>40296</v>
      </c>
      <c r="B204" s="15">
        <v>23060</v>
      </c>
      <c r="C204" s="15">
        <v>52770</v>
      </c>
      <c r="D204" s="70">
        <v>1733.91</v>
      </c>
      <c r="E204" s="71">
        <f t="shared" si="17"/>
        <v>-1.305371281831802E-2</v>
      </c>
      <c r="F204" s="39">
        <f t="shared" si="17"/>
        <v>2.2792022792021971E-3</v>
      </c>
      <c r="H204" s="64">
        <f t="shared" si="19"/>
        <v>0.9</v>
      </c>
      <c r="I204" s="65">
        <f t="shared" si="20"/>
        <v>1</v>
      </c>
      <c r="J204" s="66">
        <v>0.9</v>
      </c>
      <c r="K204" s="65">
        <f t="shared" si="18"/>
        <v>9.9999999999999978E-2</v>
      </c>
      <c r="L204" s="28">
        <f t="shared" si="21"/>
        <v>-6.2707082981430253E-4</v>
      </c>
      <c r="M204" s="71">
        <f t="shared" si="24"/>
        <v>-1.1520421308565997E-2</v>
      </c>
      <c r="N204" s="50">
        <v>40296</v>
      </c>
      <c r="O204" s="77">
        <f t="shared" si="22"/>
        <v>0.14827761480969323</v>
      </c>
      <c r="P204" s="39">
        <f t="shared" si="23"/>
        <v>0.12977442433246034</v>
      </c>
    </row>
    <row r="205" spans="1:16" x14ac:dyDescent="0.3">
      <c r="A205" s="17">
        <v>40297</v>
      </c>
      <c r="B205" s="13">
        <v>22770</v>
      </c>
      <c r="C205" s="13">
        <v>52820</v>
      </c>
      <c r="D205" s="14">
        <v>1728.42</v>
      </c>
      <c r="E205" s="28">
        <f t="shared" si="17"/>
        <v>-1.2575888985255856E-2</v>
      </c>
      <c r="F205" s="39">
        <f t="shared" si="17"/>
        <v>9.4750805381837999E-4</v>
      </c>
      <c r="H205" s="64">
        <f t="shared" si="19"/>
        <v>0.9</v>
      </c>
      <c r="I205" s="65">
        <f t="shared" si="20"/>
        <v>1</v>
      </c>
      <c r="J205" s="66">
        <v>0.9</v>
      </c>
      <c r="K205" s="65">
        <f t="shared" si="18"/>
        <v>9.9999999999999978E-2</v>
      </c>
      <c r="L205" s="28">
        <f t="shared" si="21"/>
        <v>-1.1520421308565997E-2</v>
      </c>
      <c r="M205" s="71">
        <f t="shared" si="24"/>
        <v>-1.1223549281348432E-2</v>
      </c>
      <c r="N205" s="51">
        <v>40297</v>
      </c>
      <c r="O205" s="77">
        <f t="shared" si="22"/>
        <v>0.13705406552834479</v>
      </c>
      <c r="P205" s="39">
        <f t="shared" si="23"/>
        <v>0.12619727119903046</v>
      </c>
    </row>
    <row r="206" spans="1:16" x14ac:dyDescent="0.3">
      <c r="A206" s="18">
        <v>40298</v>
      </c>
      <c r="B206" s="15">
        <v>22950</v>
      </c>
      <c r="C206" s="15">
        <v>52770</v>
      </c>
      <c r="D206" s="16">
        <v>1741.56</v>
      </c>
      <c r="E206" s="28">
        <f t="shared" si="17"/>
        <v>7.905138339920903E-3</v>
      </c>
      <c r="F206" s="39">
        <f t="shared" si="17"/>
        <v>-9.4661113214689063E-4</v>
      </c>
      <c r="H206" s="64">
        <f t="shared" si="19"/>
        <v>0.9</v>
      </c>
      <c r="I206" s="65">
        <f t="shared" si="20"/>
        <v>1</v>
      </c>
      <c r="J206" s="66">
        <v>0.9</v>
      </c>
      <c r="K206" s="65">
        <f t="shared" si="18"/>
        <v>9.9999999999999978E-2</v>
      </c>
      <c r="L206" s="28">
        <f t="shared" si="21"/>
        <v>-1.1223549281348432E-2</v>
      </c>
      <c r="M206" s="71">
        <f t="shared" si="24"/>
        <v>7.019963392714124E-3</v>
      </c>
      <c r="N206" s="50">
        <v>40298</v>
      </c>
      <c r="O206" s="77">
        <f t="shared" si="22"/>
        <v>0.14407402892105892</v>
      </c>
      <c r="P206" s="39">
        <f t="shared" si="23"/>
        <v>0.13475898197740332</v>
      </c>
    </row>
    <row r="207" spans="1:16" x14ac:dyDescent="0.3">
      <c r="A207" s="17">
        <v>40301</v>
      </c>
      <c r="B207" s="13">
        <v>22590</v>
      </c>
      <c r="C207" s="13">
        <v>52705</v>
      </c>
      <c r="D207" s="14">
        <v>1721.21</v>
      </c>
      <c r="E207" s="28">
        <f t="shared" si="17"/>
        <v>-1.5686274509803977E-2</v>
      </c>
      <c r="F207" s="39">
        <f t="shared" si="17"/>
        <v>-1.2317604699639828E-3</v>
      </c>
      <c r="H207" s="64">
        <f t="shared" si="19"/>
        <v>0.9</v>
      </c>
      <c r="I207" s="65">
        <f t="shared" si="20"/>
        <v>1</v>
      </c>
      <c r="J207" s="66">
        <v>1</v>
      </c>
      <c r="K207" s="65">
        <f t="shared" si="18"/>
        <v>0</v>
      </c>
      <c r="L207" s="28">
        <f t="shared" si="21"/>
        <v>7.905138339920903E-3</v>
      </c>
      <c r="M207" s="71">
        <f t="shared" si="24"/>
        <v>-1.5686274509803977E-2</v>
      </c>
      <c r="N207" s="51">
        <v>40301</v>
      </c>
      <c r="O207" s="77">
        <f t="shared" si="22"/>
        <v>0.12838775441125494</v>
      </c>
      <c r="P207" s="39">
        <f t="shared" si="23"/>
        <v>0.12149940706569184</v>
      </c>
    </row>
    <row r="208" spans="1:16" x14ac:dyDescent="0.3">
      <c r="A208" s="17">
        <v>40302</v>
      </c>
      <c r="B208" s="13">
        <v>22590</v>
      </c>
      <c r="C208" s="13">
        <v>52700</v>
      </c>
      <c r="D208" s="14">
        <v>1718.75</v>
      </c>
      <c r="E208" s="28">
        <f t="shared" si="17"/>
        <v>0</v>
      </c>
      <c r="F208" s="39">
        <f t="shared" si="17"/>
        <v>-9.4867659614861211E-5</v>
      </c>
      <c r="H208" s="64">
        <f t="shared" si="19"/>
        <v>0.9</v>
      </c>
      <c r="I208" s="65">
        <f t="shared" si="20"/>
        <v>1</v>
      </c>
      <c r="J208" s="66">
        <v>0.9</v>
      </c>
      <c r="K208" s="65">
        <f t="shared" si="18"/>
        <v>9.9999999999999978E-2</v>
      </c>
      <c r="L208" s="28">
        <f t="shared" si="21"/>
        <v>-1.4240823105819979E-2</v>
      </c>
      <c r="M208" s="71">
        <f t="shared" si="24"/>
        <v>-9.486765961486119E-6</v>
      </c>
      <c r="N208" s="51">
        <v>40302</v>
      </c>
      <c r="O208" s="77">
        <f t="shared" si="22"/>
        <v>0.12837826764529345</v>
      </c>
      <c r="P208" s="39">
        <f t="shared" si="23"/>
        <v>0.11989652970535736</v>
      </c>
    </row>
    <row r="209" spans="1:16" x14ac:dyDescent="0.3">
      <c r="A209" s="18">
        <v>40304</v>
      </c>
      <c r="B209" s="15">
        <v>22090</v>
      </c>
      <c r="C209" s="15">
        <v>52650</v>
      </c>
      <c r="D209" s="70">
        <v>1684.71</v>
      </c>
      <c r="E209" s="71">
        <f t="shared" ref="E209:F272" si="25">B209/B208-1</f>
        <v>-2.2133687472332908E-2</v>
      </c>
      <c r="F209" s="39">
        <f t="shared" si="25"/>
        <v>-9.4876660341558505E-4</v>
      </c>
      <c r="H209" s="64">
        <f t="shared" si="19"/>
        <v>0.9</v>
      </c>
      <c r="I209" s="65">
        <f t="shared" si="20"/>
        <v>1</v>
      </c>
      <c r="J209" s="66">
        <v>1</v>
      </c>
      <c r="K209" s="65">
        <f t="shared" ref="K209:K272" si="26">1-J209</f>
        <v>0</v>
      </c>
      <c r="L209" s="28">
        <f t="shared" si="21"/>
        <v>0</v>
      </c>
      <c r="M209" s="71">
        <f t="shared" si="24"/>
        <v>-2.2133687472332908E-2</v>
      </c>
      <c r="N209" s="50">
        <v>40304</v>
      </c>
      <c r="O209" s="77">
        <f t="shared" si="22"/>
        <v>0.10624458017296054</v>
      </c>
      <c r="P209" s="39">
        <f t="shared" si="23"/>
        <v>9.7716877125767265E-2</v>
      </c>
    </row>
    <row r="210" spans="1:16" x14ac:dyDescent="0.3">
      <c r="A210" s="17">
        <v>40305</v>
      </c>
      <c r="B210" s="13">
        <v>21590</v>
      </c>
      <c r="C210" s="13">
        <v>52650</v>
      </c>
      <c r="D210" s="14">
        <v>1647.5</v>
      </c>
      <c r="E210" s="28">
        <f t="shared" si="25"/>
        <v>-2.2634676324128522E-2</v>
      </c>
      <c r="F210" s="39">
        <f t="shared" si="25"/>
        <v>0</v>
      </c>
      <c r="H210" s="64">
        <f t="shared" ref="H210:H273" si="27">IF($D209&lt;=1850,0.9,IF(AND($D209&lt;=1900,$D209&gt;1850),0.7,IF(AND($D209&lt;=1950,$D209&gt;1900),0.5,IF(AND($D209&lt;=2000,$D209&gt;1950),0.3,IF($D209&gt;2000,0.2,0)))))</f>
        <v>0.9</v>
      </c>
      <c r="I210" s="65">
        <f t="shared" ref="I210:I273" si="28">IF($D209&lt;=1850,1,IF(AND($D209&lt;=1900,$D209&gt;1850),0.9,IF(AND($D209&lt;=1950,$D209&gt;1900),0.7,IF(AND($D209&lt;=2000,$D209&gt;1950),0.5,IF($D209&gt;2000,0.3,0)))))</f>
        <v>1</v>
      </c>
      <c r="J210" s="66">
        <v>0.9</v>
      </c>
      <c r="K210" s="65">
        <f t="shared" si="26"/>
        <v>9.9999999999999978E-2</v>
      </c>
      <c r="L210" s="28">
        <f t="shared" ref="L210:L273" si="29">E209*J210+F209*K210</f>
        <v>-2.0015195385441178E-2</v>
      </c>
      <c r="M210" s="71">
        <f t="shared" si="24"/>
        <v>-2.0371208691715669E-2</v>
      </c>
      <c r="N210" s="51">
        <v>40305</v>
      </c>
      <c r="O210" s="77">
        <f t="shared" ref="O210:O273" si="30">O209+M210</f>
        <v>8.5873371481244867E-2</v>
      </c>
      <c r="P210" s="39">
        <f t="shared" ref="P210:P273" si="31">D210/$D$16-1</f>
        <v>7.3471728110298784E-2</v>
      </c>
    </row>
    <row r="211" spans="1:16" x14ac:dyDescent="0.3">
      <c r="A211" s="18">
        <v>40308</v>
      </c>
      <c r="B211" s="15">
        <v>22000</v>
      </c>
      <c r="C211" s="15">
        <v>52660</v>
      </c>
      <c r="D211" s="16">
        <v>1677.63</v>
      </c>
      <c r="E211" s="28">
        <f t="shared" si="25"/>
        <v>1.8990273274664293E-2</v>
      </c>
      <c r="F211" s="39">
        <f t="shared" si="25"/>
        <v>1.8993352326690527E-4</v>
      </c>
      <c r="H211" s="64">
        <f t="shared" si="27"/>
        <v>0.9</v>
      </c>
      <c r="I211" s="65">
        <f t="shared" si="28"/>
        <v>1</v>
      </c>
      <c r="J211" s="66">
        <v>0.9</v>
      </c>
      <c r="K211" s="65">
        <f t="shared" si="26"/>
        <v>9.9999999999999978E-2</v>
      </c>
      <c r="L211" s="28">
        <f t="shared" si="29"/>
        <v>-2.0371208691715669E-2</v>
      </c>
      <c r="M211" s="71">
        <f t="shared" si="24"/>
        <v>1.7110239299524554E-2</v>
      </c>
      <c r="N211" s="50">
        <v>40308</v>
      </c>
      <c r="O211" s="77">
        <f t="shared" si="30"/>
        <v>0.10298361078076942</v>
      </c>
      <c r="P211" s="39">
        <f t="shared" si="31"/>
        <v>9.3103717893584736E-2</v>
      </c>
    </row>
    <row r="212" spans="1:16" x14ac:dyDescent="0.3">
      <c r="A212" s="17">
        <v>40309</v>
      </c>
      <c r="B212" s="13">
        <v>21870</v>
      </c>
      <c r="C212" s="13">
        <v>52505</v>
      </c>
      <c r="D212" s="14">
        <v>1670.24</v>
      </c>
      <c r="E212" s="28">
        <f t="shared" si="25"/>
        <v>-5.9090909090908639E-3</v>
      </c>
      <c r="F212" s="39">
        <f t="shared" si="25"/>
        <v>-2.9434105582984982E-3</v>
      </c>
      <c r="H212" s="64">
        <f t="shared" si="27"/>
        <v>0.9</v>
      </c>
      <c r="I212" s="65">
        <f t="shared" si="28"/>
        <v>1</v>
      </c>
      <c r="J212" s="66">
        <v>1</v>
      </c>
      <c r="K212" s="65">
        <f t="shared" si="26"/>
        <v>0</v>
      </c>
      <c r="L212" s="28">
        <f t="shared" si="29"/>
        <v>1.8990273274664293E-2</v>
      </c>
      <c r="M212" s="71">
        <f t="shared" ref="M212:M275" si="32">E212*J212+F212*K212</f>
        <v>-5.9090909090908639E-3</v>
      </c>
      <c r="N212" s="51">
        <v>40309</v>
      </c>
      <c r="O212" s="77">
        <f t="shared" si="30"/>
        <v>9.7074519871678561E-2</v>
      </c>
      <c r="P212" s="39">
        <f t="shared" si="31"/>
        <v>8.8288570050953252E-2</v>
      </c>
    </row>
    <row r="213" spans="1:16" x14ac:dyDescent="0.3">
      <c r="A213" s="17">
        <v>40310</v>
      </c>
      <c r="B213" s="13">
        <v>21800</v>
      </c>
      <c r="C213" s="13">
        <v>52660</v>
      </c>
      <c r="D213" s="14">
        <v>1663.03</v>
      </c>
      <c r="E213" s="28">
        <f t="shared" si="25"/>
        <v>-3.2007315957933713E-3</v>
      </c>
      <c r="F213" s="39">
        <f t="shared" si="25"/>
        <v>2.9520998000189813E-3</v>
      </c>
      <c r="H213" s="64">
        <f t="shared" si="27"/>
        <v>0.9</v>
      </c>
      <c r="I213" s="65">
        <f t="shared" si="28"/>
        <v>1</v>
      </c>
      <c r="J213" s="66">
        <v>0.9</v>
      </c>
      <c r="K213" s="65">
        <f t="shared" si="26"/>
        <v>9.9999999999999978E-2</v>
      </c>
      <c r="L213" s="28">
        <f t="shared" si="29"/>
        <v>-5.612522874011627E-3</v>
      </c>
      <c r="M213" s="71">
        <f t="shared" si="32"/>
        <v>-2.5854484562121364E-3</v>
      </c>
      <c r="N213" s="51">
        <v>40310</v>
      </c>
      <c r="O213" s="77">
        <f t="shared" si="30"/>
        <v>9.4489071415466419E-2</v>
      </c>
      <c r="P213" s="39">
        <f t="shared" si="31"/>
        <v>8.3590705917614638E-2</v>
      </c>
    </row>
    <row r="214" spans="1:16" x14ac:dyDescent="0.3">
      <c r="A214" s="18">
        <v>40311</v>
      </c>
      <c r="B214" s="15">
        <v>22250</v>
      </c>
      <c r="C214" s="15">
        <v>52550</v>
      </c>
      <c r="D214" s="70">
        <v>1694.58</v>
      </c>
      <c r="E214" s="71">
        <f t="shared" si="25"/>
        <v>2.0642201834862428E-2</v>
      </c>
      <c r="F214" s="39">
        <f t="shared" si="25"/>
        <v>-2.0888720091151169E-3</v>
      </c>
      <c r="H214" s="64">
        <f t="shared" si="27"/>
        <v>0.9</v>
      </c>
      <c r="I214" s="65">
        <f t="shared" si="28"/>
        <v>1</v>
      </c>
      <c r="J214" s="66">
        <v>0.9</v>
      </c>
      <c r="K214" s="65">
        <f t="shared" si="26"/>
        <v>9.9999999999999978E-2</v>
      </c>
      <c r="L214" s="28">
        <f t="shared" si="29"/>
        <v>-2.5854484562121364E-3</v>
      </c>
      <c r="M214" s="71">
        <f t="shared" si="32"/>
        <v>1.8369094450464675E-2</v>
      </c>
      <c r="N214" s="50">
        <v>40311</v>
      </c>
      <c r="O214" s="77">
        <f t="shared" si="30"/>
        <v>0.11285816586593109</v>
      </c>
      <c r="P214" s="39">
        <f t="shared" si="31"/>
        <v>0.10414793385198795</v>
      </c>
    </row>
    <row r="215" spans="1:16" x14ac:dyDescent="0.3">
      <c r="A215" s="17">
        <v>40312</v>
      </c>
      <c r="B215" s="13">
        <v>22185</v>
      </c>
      <c r="C215" s="13">
        <v>52585</v>
      </c>
      <c r="D215" s="14">
        <v>1695.63</v>
      </c>
      <c r="E215" s="28">
        <f t="shared" si="25"/>
        <v>-2.9213483146067754E-3</v>
      </c>
      <c r="F215" s="39">
        <f t="shared" si="25"/>
        <v>6.6603235014262019E-4</v>
      </c>
      <c r="H215" s="64">
        <f t="shared" si="27"/>
        <v>0.9</v>
      </c>
      <c r="I215" s="65">
        <f t="shared" si="28"/>
        <v>1</v>
      </c>
      <c r="J215" s="66">
        <v>1</v>
      </c>
      <c r="K215" s="65">
        <f t="shared" si="26"/>
        <v>0</v>
      </c>
      <c r="L215" s="28">
        <f t="shared" si="29"/>
        <v>2.0642201834862428E-2</v>
      </c>
      <c r="M215" s="71">
        <f t="shared" si="32"/>
        <v>-2.9213483146067754E-3</v>
      </c>
      <c r="N215" s="51">
        <v>40312</v>
      </c>
      <c r="O215" s="77">
        <f t="shared" si="30"/>
        <v>0.10993681755132431</v>
      </c>
      <c r="P215" s="39">
        <f t="shared" si="31"/>
        <v>0.10483208882286266</v>
      </c>
    </row>
    <row r="216" spans="1:16" x14ac:dyDescent="0.3">
      <c r="A216" s="18">
        <v>40315</v>
      </c>
      <c r="B216" s="15">
        <v>21650</v>
      </c>
      <c r="C216" s="15">
        <v>52565</v>
      </c>
      <c r="D216" s="16">
        <v>1651.51</v>
      </c>
      <c r="E216" s="28">
        <f t="shared" si="25"/>
        <v>-2.4115393283750231E-2</v>
      </c>
      <c r="F216" s="39">
        <f t="shared" si="25"/>
        <v>-3.8033659788916374E-4</v>
      </c>
      <c r="H216" s="64">
        <f t="shared" si="27"/>
        <v>0.9</v>
      </c>
      <c r="I216" s="65">
        <f t="shared" si="28"/>
        <v>1</v>
      </c>
      <c r="J216" s="66">
        <v>0.9</v>
      </c>
      <c r="K216" s="65">
        <f t="shared" si="26"/>
        <v>9.9999999999999978E-2</v>
      </c>
      <c r="L216" s="28">
        <f t="shared" si="29"/>
        <v>-2.5626102481318357E-3</v>
      </c>
      <c r="M216" s="71">
        <f t="shared" si="32"/>
        <v>-2.1741887615164126E-2</v>
      </c>
      <c r="N216" s="50">
        <v>40315</v>
      </c>
      <c r="O216" s="77">
        <f t="shared" si="30"/>
        <v>8.8194929936160182E-2</v>
      </c>
      <c r="P216" s="39">
        <f t="shared" si="31"/>
        <v>7.6084548522876716E-2</v>
      </c>
    </row>
    <row r="217" spans="1:16" x14ac:dyDescent="0.3">
      <c r="A217" s="17">
        <v>40316</v>
      </c>
      <c r="B217" s="13">
        <v>21575</v>
      </c>
      <c r="C217" s="13">
        <v>52620</v>
      </c>
      <c r="D217" s="14">
        <v>1643.24</v>
      </c>
      <c r="E217" s="28">
        <f t="shared" si="25"/>
        <v>-3.4642032332563577E-3</v>
      </c>
      <c r="F217" s="39">
        <f t="shared" si="25"/>
        <v>1.0463235993531939E-3</v>
      </c>
      <c r="H217" s="64">
        <f t="shared" si="27"/>
        <v>0.9</v>
      </c>
      <c r="I217" s="65">
        <f t="shared" si="28"/>
        <v>1</v>
      </c>
      <c r="J217" s="66">
        <v>0.9</v>
      </c>
      <c r="K217" s="65">
        <f t="shared" si="26"/>
        <v>9.9999999999999978E-2</v>
      </c>
      <c r="L217" s="28">
        <f t="shared" si="29"/>
        <v>-2.1741887615164126E-2</v>
      </c>
      <c r="M217" s="71">
        <f t="shared" si="32"/>
        <v>-3.0131505499954025E-3</v>
      </c>
      <c r="N217" s="51">
        <v>40316</v>
      </c>
      <c r="O217" s="77">
        <f t="shared" si="30"/>
        <v>8.518177938616478E-2</v>
      </c>
      <c r="P217" s="39">
        <f t="shared" si="31"/>
        <v>7.0696013657036261E-2</v>
      </c>
    </row>
    <row r="218" spans="1:16" x14ac:dyDescent="0.3">
      <c r="A218" s="17">
        <v>40317</v>
      </c>
      <c r="B218" s="13">
        <v>21350</v>
      </c>
      <c r="C218" s="13">
        <v>52610</v>
      </c>
      <c r="D218" s="14">
        <v>1630.08</v>
      </c>
      <c r="E218" s="28">
        <f t="shared" si="25"/>
        <v>-1.0428736964078755E-2</v>
      </c>
      <c r="F218" s="39">
        <f t="shared" si="25"/>
        <v>-1.9004180919801605E-4</v>
      </c>
      <c r="H218" s="64">
        <f t="shared" si="27"/>
        <v>0.9</v>
      </c>
      <c r="I218" s="65">
        <f t="shared" si="28"/>
        <v>1</v>
      </c>
      <c r="J218" s="66">
        <v>0.9</v>
      </c>
      <c r="K218" s="65">
        <f t="shared" si="26"/>
        <v>9.9999999999999978E-2</v>
      </c>
      <c r="L218" s="28">
        <f t="shared" si="29"/>
        <v>-3.0131505499954025E-3</v>
      </c>
      <c r="M218" s="71">
        <f t="shared" si="32"/>
        <v>-9.404867448590681E-3</v>
      </c>
      <c r="N218" s="51">
        <v>40317</v>
      </c>
      <c r="O218" s="77">
        <f t="shared" si="30"/>
        <v>7.5776911937574104E-2</v>
      </c>
      <c r="P218" s="39">
        <f t="shared" si="31"/>
        <v>6.212127135540868E-2</v>
      </c>
    </row>
    <row r="219" spans="1:16" x14ac:dyDescent="0.3">
      <c r="A219" s="18">
        <v>40318</v>
      </c>
      <c r="B219" s="15">
        <v>21020</v>
      </c>
      <c r="C219" s="15">
        <v>52625</v>
      </c>
      <c r="D219" s="70">
        <v>1600.18</v>
      </c>
      <c r="E219" s="71">
        <f t="shared" si="25"/>
        <v>-1.5456674473067866E-2</v>
      </c>
      <c r="F219" s="39">
        <f t="shared" si="25"/>
        <v>2.8511689792809491E-4</v>
      </c>
      <c r="H219" s="64">
        <f t="shared" si="27"/>
        <v>0.9</v>
      </c>
      <c r="I219" s="65">
        <f t="shared" si="28"/>
        <v>1</v>
      </c>
      <c r="J219" s="66">
        <v>0.9</v>
      </c>
      <c r="K219" s="65">
        <f t="shared" si="26"/>
        <v>9.9999999999999978E-2</v>
      </c>
      <c r="L219" s="28">
        <f t="shared" si="29"/>
        <v>-9.404867448590681E-3</v>
      </c>
      <c r="M219" s="71">
        <f t="shared" si="32"/>
        <v>-1.388249533596827E-2</v>
      </c>
      <c r="N219" s="50">
        <v>40318</v>
      </c>
      <c r="O219" s="77">
        <f t="shared" si="30"/>
        <v>6.1894416601605835E-2</v>
      </c>
      <c r="P219" s="39">
        <f t="shared" si="31"/>
        <v>4.2639144089552605E-2</v>
      </c>
    </row>
    <row r="220" spans="1:16" x14ac:dyDescent="0.3">
      <c r="A220" s="17">
        <v>40322</v>
      </c>
      <c r="B220" s="13">
        <v>21160</v>
      </c>
      <c r="C220" s="13">
        <v>52750</v>
      </c>
      <c r="D220" s="14">
        <v>1604.93</v>
      </c>
      <c r="E220" s="28">
        <f t="shared" si="25"/>
        <v>6.6603235014273121E-3</v>
      </c>
      <c r="F220" s="39">
        <f t="shared" si="25"/>
        <v>2.3752969121140222E-3</v>
      </c>
      <c r="H220" s="64">
        <f t="shared" si="27"/>
        <v>0.9</v>
      </c>
      <c r="I220" s="65">
        <f t="shared" si="28"/>
        <v>1</v>
      </c>
      <c r="J220" s="66">
        <v>0.9</v>
      </c>
      <c r="K220" s="65">
        <f t="shared" si="26"/>
        <v>9.9999999999999978E-2</v>
      </c>
      <c r="L220" s="28">
        <f t="shared" si="29"/>
        <v>-1.388249533596827E-2</v>
      </c>
      <c r="M220" s="71">
        <f t="shared" si="32"/>
        <v>6.2318208424959835E-3</v>
      </c>
      <c r="N220" s="51">
        <v>40322</v>
      </c>
      <c r="O220" s="77">
        <f t="shared" si="30"/>
        <v>6.8126237444101817E-2</v>
      </c>
      <c r="P220" s="39">
        <f t="shared" si="31"/>
        <v>4.573413086255651E-2</v>
      </c>
    </row>
    <row r="221" spans="1:16" x14ac:dyDescent="0.3">
      <c r="A221" s="18">
        <v>40323</v>
      </c>
      <c r="B221" s="15">
        <v>20595</v>
      </c>
      <c r="C221" s="15">
        <v>52845</v>
      </c>
      <c r="D221" s="16">
        <v>1560.83</v>
      </c>
      <c r="E221" s="28">
        <f t="shared" si="25"/>
        <v>-2.6701323251417719E-2</v>
      </c>
      <c r="F221" s="39">
        <f t="shared" si="25"/>
        <v>1.8009478672986745E-3</v>
      </c>
      <c r="H221" s="64">
        <f t="shared" si="27"/>
        <v>0.9</v>
      </c>
      <c r="I221" s="65">
        <f t="shared" si="28"/>
        <v>1</v>
      </c>
      <c r="J221" s="66">
        <v>1</v>
      </c>
      <c r="K221" s="65">
        <f t="shared" si="26"/>
        <v>0</v>
      </c>
      <c r="L221" s="28">
        <f t="shared" si="29"/>
        <v>6.6603235014273121E-3</v>
      </c>
      <c r="M221" s="71">
        <f t="shared" si="32"/>
        <v>-2.6701323251417719E-2</v>
      </c>
      <c r="N221" s="50">
        <v>40323</v>
      </c>
      <c r="O221" s="77">
        <f t="shared" si="30"/>
        <v>4.1424914192684098E-2</v>
      </c>
      <c r="P221" s="39">
        <f t="shared" si="31"/>
        <v>1.6999622085825505E-2</v>
      </c>
    </row>
    <row r="222" spans="1:16" x14ac:dyDescent="0.3">
      <c r="A222" s="17">
        <v>40324</v>
      </c>
      <c r="B222" s="13">
        <v>20715</v>
      </c>
      <c r="C222" s="13">
        <v>52775</v>
      </c>
      <c r="D222" s="14">
        <v>1582.12</v>
      </c>
      <c r="E222" s="28">
        <f t="shared" si="25"/>
        <v>5.8266569555718295E-3</v>
      </c>
      <c r="F222" s="39">
        <f t="shared" si="25"/>
        <v>-1.3246286309016586E-3</v>
      </c>
      <c r="H222" s="64">
        <f t="shared" si="27"/>
        <v>0.9</v>
      </c>
      <c r="I222" s="65">
        <f t="shared" si="28"/>
        <v>1</v>
      </c>
      <c r="J222" s="66">
        <v>0.9</v>
      </c>
      <c r="K222" s="65">
        <f t="shared" si="26"/>
        <v>9.9999999999999978E-2</v>
      </c>
      <c r="L222" s="28">
        <f t="shared" si="29"/>
        <v>-2.3851096139546082E-2</v>
      </c>
      <c r="M222" s="71">
        <f t="shared" si="32"/>
        <v>5.1115283969244809E-3</v>
      </c>
      <c r="N222" s="51">
        <v>40324</v>
      </c>
      <c r="O222" s="77">
        <f t="shared" si="30"/>
        <v>4.6536442589608581E-2</v>
      </c>
      <c r="P222" s="39">
        <f t="shared" si="31"/>
        <v>3.0871678590510321E-2</v>
      </c>
    </row>
    <row r="223" spans="1:16" x14ac:dyDescent="0.3">
      <c r="A223" s="17">
        <v>40325</v>
      </c>
      <c r="B223" s="13">
        <v>21070</v>
      </c>
      <c r="C223" s="13">
        <v>52835</v>
      </c>
      <c r="D223" s="14">
        <v>1607.5</v>
      </c>
      <c r="E223" s="28">
        <f t="shared" si="25"/>
        <v>1.7137340091720965E-2</v>
      </c>
      <c r="F223" s="39">
        <f t="shared" si="25"/>
        <v>1.1369019422073912E-3</v>
      </c>
      <c r="H223" s="64">
        <f t="shared" si="27"/>
        <v>0.9</v>
      </c>
      <c r="I223" s="65">
        <f t="shared" si="28"/>
        <v>1</v>
      </c>
      <c r="J223" s="66">
        <v>1</v>
      </c>
      <c r="K223" s="65">
        <f t="shared" si="26"/>
        <v>0</v>
      </c>
      <c r="L223" s="28">
        <f t="shared" si="29"/>
        <v>5.8266569555718295E-3</v>
      </c>
      <c r="M223" s="71">
        <f t="shared" si="32"/>
        <v>1.7137340091720965E-2</v>
      </c>
      <c r="N223" s="51">
        <v>40325</v>
      </c>
      <c r="O223" s="77">
        <f t="shared" si="30"/>
        <v>6.3673782681329547E-2</v>
      </c>
      <c r="P223" s="39">
        <f t="shared" si="31"/>
        <v>4.7408681600792368E-2</v>
      </c>
    </row>
    <row r="224" spans="1:16" x14ac:dyDescent="0.3">
      <c r="A224" s="18">
        <v>40326</v>
      </c>
      <c r="B224" s="15">
        <v>21290</v>
      </c>
      <c r="C224" s="15">
        <v>52840</v>
      </c>
      <c r="D224" s="70">
        <v>1622.78</v>
      </c>
      <c r="E224" s="71">
        <f t="shared" si="25"/>
        <v>1.0441385856668317E-2</v>
      </c>
      <c r="F224" s="39">
        <f t="shared" si="25"/>
        <v>9.4634238667623549E-5</v>
      </c>
      <c r="H224" s="64">
        <f t="shared" si="27"/>
        <v>0.9</v>
      </c>
      <c r="I224" s="65">
        <f t="shared" si="28"/>
        <v>1</v>
      </c>
      <c r="J224" s="66">
        <v>1</v>
      </c>
      <c r="K224" s="65">
        <f t="shared" si="26"/>
        <v>0</v>
      </c>
      <c r="L224" s="28">
        <f t="shared" si="29"/>
        <v>1.7137340091720965E-2</v>
      </c>
      <c r="M224" s="71">
        <f t="shared" si="32"/>
        <v>1.0441385856668317E-2</v>
      </c>
      <c r="N224" s="50">
        <v>40326</v>
      </c>
      <c r="O224" s="77">
        <f t="shared" si="30"/>
        <v>7.4115168537997864E-2</v>
      </c>
      <c r="P224" s="39">
        <f t="shared" si="31"/>
        <v>5.7364765367423853E-2</v>
      </c>
    </row>
    <row r="225" spans="1:16" x14ac:dyDescent="0.3">
      <c r="A225" s="17">
        <v>40329</v>
      </c>
      <c r="B225" s="13">
        <v>21550</v>
      </c>
      <c r="C225" s="13">
        <v>52870</v>
      </c>
      <c r="D225" s="14">
        <v>1641.25</v>
      </c>
      <c r="E225" s="28">
        <f t="shared" si="25"/>
        <v>1.2212306247064264E-2</v>
      </c>
      <c r="F225" s="39">
        <f t="shared" si="25"/>
        <v>5.6775170325518154E-4</v>
      </c>
      <c r="H225" s="64">
        <f t="shared" si="27"/>
        <v>0.9</v>
      </c>
      <c r="I225" s="65">
        <f t="shared" si="28"/>
        <v>1</v>
      </c>
      <c r="J225" s="66">
        <v>1</v>
      </c>
      <c r="K225" s="65">
        <f t="shared" si="26"/>
        <v>0</v>
      </c>
      <c r="L225" s="28">
        <f t="shared" si="29"/>
        <v>1.0441385856668317E-2</v>
      </c>
      <c r="M225" s="71">
        <f t="shared" si="32"/>
        <v>1.2212306247064264E-2</v>
      </c>
      <c r="N225" s="51">
        <v>40329</v>
      </c>
      <c r="O225" s="77">
        <f t="shared" si="30"/>
        <v>8.6327474785062128E-2</v>
      </c>
      <c r="P225" s="39">
        <f t="shared" si="31"/>
        <v>6.9399377093188441E-2</v>
      </c>
    </row>
    <row r="226" spans="1:16" x14ac:dyDescent="0.3">
      <c r="A226" s="18">
        <v>40330</v>
      </c>
      <c r="B226" s="15">
        <v>21430</v>
      </c>
      <c r="C226" s="15">
        <v>52920</v>
      </c>
      <c r="D226" s="16">
        <v>1630.4</v>
      </c>
      <c r="E226" s="28">
        <f t="shared" si="25"/>
        <v>-5.5684454756380619E-3</v>
      </c>
      <c r="F226" s="39">
        <f t="shared" si="25"/>
        <v>9.4571590694148E-4</v>
      </c>
      <c r="H226" s="64">
        <f t="shared" si="27"/>
        <v>0.9</v>
      </c>
      <c r="I226" s="65">
        <f t="shared" si="28"/>
        <v>1</v>
      </c>
      <c r="J226" s="66">
        <v>1</v>
      </c>
      <c r="K226" s="65">
        <f t="shared" si="26"/>
        <v>0</v>
      </c>
      <c r="L226" s="28">
        <f t="shared" si="29"/>
        <v>1.2212306247064264E-2</v>
      </c>
      <c r="M226" s="71">
        <f t="shared" si="32"/>
        <v>-5.5684454756380619E-3</v>
      </c>
      <c r="N226" s="50">
        <v>40330</v>
      </c>
      <c r="O226" s="77">
        <f t="shared" si="30"/>
        <v>8.0759029309424066E-2</v>
      </c>
      <c r="P226" s="39">
        <f t="shared" si="31"/>
        <v>6.2329775727484771E-2</v>
      </c>
    </row>
    <row r="227" spans="1:16" x14ac:dyDescent="0.3">
      <c r="A227" s="17">
        <v>40332</v>
      </c>
      <c r="B227" s="13">
        <v>21915</v>
      </c>
      <c r="C227" s="13">
        <v>52915</v>
      </c>
      <c r="D227" s="14">
        <v>1661.84</v>
      </c>
      <c r="E227" s="28">
        <f t="shared" si="25"/>
        <v>2.2631824545030321E-2</v>
      </c>
      <c r="F227" s="39">
        <f t="shared" si="25"/>
        <v>-9.4482237339432729E-5</v>
      </c>
      <c r="H227" s="64">
        <f t="shared" si="27"/>
        <v>0.9</v>
      </c>
      <c r="I227" s="65">
        <f t="shared" si="28"/>
        <v>1</v>
      </c>
      <c r="J227" s="66">
        <v>0.9</v>
      </c>
      <c r="K227" s="65">
        <f t="shared" si="26"/>
        <v>9.9999999999999978E-2</v>
      </c>
      <c r="L227" s="28">
        <f t="shared" si="29"/>
        <v>-4.9170293373801081E-3</v>
      </c>
      <c r="M227" s="71">
        <f t="shared" si="32"/>
        <v>2.0359193866793347E-2</v>
      </c>
      <c r="N227" s="51">
        <v>40332</v>
      </c>
      <c r="O227" s="77">
        <f t="shared" si="30"/>
        <v>0.10111822317621741</v>
      </c>
      <c r="P227" s="39">
        <f t="shared" si="31"/>
        <v>8.2815330283956934E-2</v>
      </c>
    </row>
    <row r="228" spans="1:16" x14ac:dyDescent="0.3">
      <c r="A228" s="17">
        <v>40333</v>
      </c>
      <c r="B228" s="13">
        <v>21945</v>
      </c>
      <c r="C228" s="13">
        <v>52850</v>
      </c>
      <c r="D228" s="14">
        <v>1664.13</v>
      </c>
      <c r="E228" s="28">
        <f t="shared" si="25"/>
        <v>1.3689253935660339E-3</v>
      </c>
      <c r="F228" s="39">
        <f t="shared" si="25"/>
        <v>-1.2283851459888862E-3</v>
      </c>
      <c r="H228" s="64">
        <f t="shared" si="27"/>
        <v>0.9</v>
      </c>
      <c r="I228" s="65">
        <f t="shared" si="28"/>
        <v>1</v>
      </c>
      <c r="J228" s="66">
        <v>1</v>
      </c>
      <c r="K228" s="65">
        <f t="shared" si="26"/>
        <v>0</v>
      </c>
      <c r="L228" s="28">
        <f t="shared" si="29"/>
        <v>2.2631824545030321E-2</v>
      </c>
      <c r="M228" s="71">
        <f t="shared" si="32"/>
        <v>1.3689253935660339E-3</v>
      </c>
      <c r="N228" s="51">
        <v>40333</v>
      </c>
      <c r="O228" s="77">
        <f t="shared" si="30"/>
        <v>0.10248714856978344</v>
      </c>
      <c r="P228" s="39">
        <f t="shared" si="31"/>
        <v>8.430743969662613E-2</v>
      </c>
    </row>
    <row r="229" spans="1:16" x14ac:dyDescent="0.3">
      <c r="A229" s="18">
        <v>40336</v>
      </c>
      <c r="B229" s="15">
        <v>21595</v>
      </c>
      <c r="C229" s="15">
        <v>52925</v>
      </c>
      <c r="D229" s="70">
        <v>1637.97</v>
      </c>
      <c r="E229" s="71">
        <f t="shared" si="25"/>
        <v>-1.5948963317384379E-2</v>
      </c>
      <c r="F229" s="39">
        <f t="shared" si="25"/>
        <v>1.4191106906338291E-3</v>
      </c>
      <c r="H229" s="64">
        <f t="shared" si="27"/>
        <v>0.9</v>
      </c>
      <c r="I229" s="65">
        <f t="shared" si="28"/>
        <v>1</v>
      </c>
      <c r="J229" s="66">
        <v>1</v>
      </c>
      <c r="K229" s="65">
        <f t="shared" si="26"/>
        <v>0</v>
      </c>
      <c r="L229" s="28">
        <f t="shared" si="29"/>
        <v>1.3689253935660339E-3</v>
      </c>
      <c r="M229" s="71">
        <f t="shared" si="32"/>
        <v>-1.5948963317384379E-2</v>
      </c>
      <c r="N229" s="50">
        <v>40336</v>
      </c>
      <c r="O229" s="77">
        <f t="shared" si="30"/>
        <v>8.6538185252399064E-2</v>
      </c>
      <c r="P229" s="39">
        <f t="shared" si="31"/>
        <v>6.7262207279408903E-2</v>
      </c>
    </row>
    <row r="230" spans="1:16" x14ac:dyDescent="0.3">
      <c r="A230" s="17">
        <v>40337</v>
      </c>
      <c r="B230" s="13">
        <v>21765</v>
      </c>
      <c r="C230" s="13">
        <v>52925</v>
      </c>
      <c r="D230" s="14">
        <v>1651.48</v>
      </c>
      <c r="E230" s="28">
        <f t="shared" si="25"/>
        <v>7.8721926371845274E-3</v>
      </c>
      <c r="F230" s="39">
        <f t="shared" si="25"/>
        <v>0</v>
      </c>
      <c r="H230" s="64">
        <f t="shared" si="27"/>
        <v>0.9</v>
      </c>
      <c r="I230" s="65">
        <f t="shared" si="28"/>
        <v>1</v>
      </c>
      <c r="J230" s="66">
        <v>0.9</v>
      </c>
      <c r="K230" s="65">
        <f t="shared" si="26"/>
        <v>9.9999999999999978E-2</v>
      </c>
      <c r="L230" s="28">
        <f t="shared" si="29"/>
        <v>-1.4212155916582559E-2</v>
      </c>
      <c r="M230" s="71">
        <f t="shared" si="32"/>
        <v>7.0849733734660745E-3</v>
      </c>
      <c r="N230" s="51">
        <v>40337</v>
      </c>
      <c r="O230" s="77">
        <f t="shared" si="30"/>
        <v>9.3623158625865135E-2</v>
      </c>
      <c r="P230" s="39">
        <f t="shared" si="31"/>
        <v>7.6065001237994645E-2</v>
      </c>
    </row>
    <row r="231" spans="1:16" x14ac:dyDescent="0.3">
      <c r="A231" s="18">
        <v>40338</v>
      </c>
      <c r="B231" s="15">
        <v>21640</v>
      </c>
      <c r="C231" s="15">
        <v>52930</v>
      </c>
      <c r="D231" s="16">
        <v>1647.22</v>
      </c>
      <c r="E231" s="28">
        <f t="shared" si="25"/>
        <v>-5.7431656328968961E-3</v>
      </c>
      <c r="F231" s="39">
        <f t="shared" si="25"/>
        <v>9.4473311289533513E-5</v>
      </c>
      <c r="H231" s="64">
        <f t="shared" si="27"/>
        <v>0.9</v>
      </c>
      <c r="I231" s="65">
        <f t="shared" si="28"/>
        <v>1</v>
      </c>
      <c r="J231" s="66">
        <v>1</v>
      </c>
      <c r="K231" s="65">
        <f t="shared" si="26"/>
        <v>0</v>
      </c>
      <c r="L231" s="28">
        <f t="shared" si="29"/>
        <v>7.8721926371845274E-3</v>
      </c>
      <c r="M231" s="71">
        <f t="shared" si="32"/>
        <v>-5.7431656328968961E-3</v>
      </c>
      <c r="N231" s="50">
        <v>40338</v>
      </c>
      <c r="O231" s="77">
        <f t="shared" si="30"/>
        <v>8.7879992992968239E-2</v>
      </c>
      <c r="P231" s="39">
        <f t="shared" si="31"/>
        <v>7.3289286784732344E-2</v>
      </c>
    </row>
    <row r="232" spans="1:16" x14ac:dyDescent="0.3">
      <c r="A232" s="17">
        <v>40339</v>
      </c>
      <c r="B232" s="13">
        <v>21730</v>
      </c>
      <c r="C232" s="13">
        <v>52895</v>
      </c>
      <c r="D232" s="14">
        <v>1651.7</v>
      </c>
      <c r="E232" s="28">
        <f t="shared" si="25"/>
        <v>4.1589648798521228E-3</v>
      </c>
      <c r="F232" s="39">
        <f t="shared" si="25"/>
        <v>-6.6125070848288559E-4</v>
      </c>
      <c r="H232" s="64">
        <f t="shared" si="27"/>
        <v>0.9</v>
      </c>
      <c r="I232" s="65">
        <f t="shared" si="28"/>
        <v>1</v>
      </c>
      <c r="J232" s="66">
        <v>0.9</v>
      </c>
      <c r="K232" s="65">
        <f t="shared" si="26"/>
        <v>9.9999999999999978E-2</v>
      </c>
      <c r="L232" s="28">
        <f t="shared" si="29"/>
        <v>-5.1594017384782535E-3</v>
      </c>
      <c r="M232" s="71">
        <f t="shared" si="32"/>
        <v>3.6769433210186221E-3</v>
      </c>
      <c r="N232" s="51">
        <v>40339</v>
      </c>
      <c r="O232" s="77">
        <f t="shared" si="30"/>
        <v>9.1556936313986856E-2</v>
      </c>
      <c r="P232" s="39">
        <f t="shared" si="31"/>
        <v>7.6208347993796943E-2</v>
      </c>
    </row>
    <row r="233" spans="1:16" x14ac:dyDescent="0.3">
      <c r="A233" s="17">
        <v>40340</v>
      </c>
      <c r="B233" s="13">
        <v>22060</v>
      </c>
      <c r="C233" s="13">
        <v>52125</v>
      </c>
      <c r="D233" s="14">
        <v>1675.34</v>
      </c>
      <c r="E233" s="28">
        <f t="shared" si="25"/>
        <v>1.5186378278877033E-2</v>
      </c>
      <c r="F233" s="39">
        <f t="shared" si="25"/>
        <v>-1.4557141506758686E-2</v>
      </c>
      <c r="H233" s="64">
        <f t="shared" si="27"/>
        <v>0.9</v>
      </c>
      <c r="I233" s="65">
        <f t="shared" si="28"/>
        <v>1</v>
      </c>
      <c r="J233" s="66">
        <v>1</v>
      </c>
      <c r="K233" s="65">
        <f t="shared" si="26"/>
        <v>0</v>
      </c>
      <c r="L233" s="28">
        <f t="shared" si="29"/>
        <v>4.1589648798521228E-3</v>
      </c>
      <c r="M233" s="71">
        <f t="shared" si="32"/>
        <v>1.5186378278877033E-2</v>
      </c>
      <c r="N233" s="51">
        <v>40340</v>
      </c>
      <c r="O233" s="77">
        <f t="shared" si="30"/>
        <v>0.10674331459286389</v>
      </c>
      <c r="P233" s="39">
        <f t="shared" si="31"/>
        <v>9.1611608480915319E-2</v>
      </c>
    </row>
    <row r="234" spans="1:16" x14ac:dyDescent="0.3">
      <c r="A234" s="18">
        <v>40343</v>
      </c>
      <c r="B234" s="15">
        <v>22270</v>
      </c>
      <c r="C234" s="15">
        <v>52155</v>
      </c>
      <c r="D234" s="70">
        <v>1690.6</v>
      </c>
      <c r="E234" s="71">
        <f t="shared" si="25"/>
        <v>9.5194922937442694E-3</v>
      </c>
      <c r="F234" s="39">
        <f t="shared" si="25"/>
        <v>5.7553956834532904E-4</v>
      </c>
      <c r="H234" s="64">
        <f t="shared" si="27"/>
        <v>0.9</v>
      </c>
      <c r="I234" s="65">
        <f t="shared" si="28"/>
        <v>1</v>
      </c>
      <c r="J234" s="66">
        <v>1</v>
      </c>
      <c r="K234" s="65">
        <f t="shared" si="26"/>
        <v>0</v>
      </c>
      <c r="L234" s="28">
        <f t="shared" si="29"/>
        <v>1.5186378278877033E-2</v>
      </c>
      <c r="M234" s="71">
        <f t="shared" si="32"/>
        <v>9.5194922937442694E-3</v>
      </c>
      <c r="N234" s="50">
        <v>40343</v>
      </c>
      <c r="O234" s="77">
        <f t="shared" si="30"/>
        <v>0.11626280688660816</v>
      </c>
      <c r="P234" s="39">
        <f t="shared" si="31"/>
        <v>0.10155466072429209</v>
      </c>
    </row>
    <row r="235" spans="1:16" x14ac:dyDescent="0.3">
      <c r="A235" s="17">
        <v>40344</v>
      </c>
      <c r="B235" s="13">
        <v>22300</v>
      </c>
      <c r="C235" s="13">
        <v>52145</v>
      </c>
      <c r="D235" s="14">
        <v>1690.03</v>
      </c>
      <c r="E235" s="28">
        <f t="shared" si="25"/>
        <v>1.3471037269869868E-3</v>
      </c>
      <c r="F235" s="39">
        <f t="shared" si="25"/>
        <v>-1.9173617102863361E-4</v>
      </c>
      <c r="H235" s="64">
        <f t="shared" si="27"/>
        <v>0.9</v>
      </c>
      <c r="I235" s="65">
        <f t="shared" si="28"/>
        <v>1</v>
      </c>
      <c r="J235" s="66">
        <v>1</v>
      </c>
      <c r="K235" s="65">
        <f t="shared" si="26"/>
        <v>0</v>
      </c>
      <c r="L235" s="28">
        <f t="shared" si="29"/>
        <v>9.5194922937442694E-3</v>
      </c>
      <c r="M235" s="71">
        <f t="shared" si="32"/>
        <v>1.3471037269869868E-3</v>
      </c>
      <c r="N235" s="51">
        <v>40344</v>
      </c>
      <c r="O235" s="77">
        <f t="shared" si="30"/>
        <v>0.11760991061359514</v>
      </c>
      <c r="P235" s="39">
        <f t="shared" si="31"/>
        <v>0.10118326231153163</v>
      </c>
    </row>
    <row r="236" spans="1:16" x14ac:dyDescent="0.3">
      <c r="A236" s="18">
        <v>40345</v>
      </c>
      <c r="B236" s="15">
        <v>22490</v>
      </c>
      <c r="C236" s="15">
        <v>52120</v>
      </c>
      <c r="D236" s="16">
        <v>1705.33</v>
      </c>
      <c r="E236" s="28">
        <f t="shared" si="25"/>
        <v>8.5201793721974006E-3</v>
      </c>
      <c r="F236" s="39">
        <f t="shared" si="25"/>
        <v>-4.7943235209513269E-4</v>
      </c>
      <c r="H236" s="64">
        <f t="shared" si="27"/>
        <v>0.9</v>
      </c>
      <c r="I236" s="65">
        <f t="shared" si="28"/>
        <v>1</v>
      </c>
      <c r="J236" s="66">
        <v>1</v>
      </c>
      <c r="K236" s="65">
        <f t="shared" si="26"/>
        <v>0</v>
      </c>
      <c r="L236" s="28">
        <f t="shared" si="29"/>
        <v>1.3471037269869868E-3</v>
      </c>
      <c r="M236" s="71">
        <f t="shared" si="32"/>
        <v>8.5201793721974006E-3</v>
      </c>
      <c r="N236" s="50">
        <v>40345</v>
      </c>
      <c r="O236" s="77">
        <f t="shared" si="30"/>
        <v>0.12613008998579256</v>
      </c>
      <c r="P236" s="39">
        <f t="shared" si="31"/>
        <v>0.11115237760141783</v>
      </c>
    </row>
    <row r="237" spans="1:16" x14ac:dyDescent="0.3">
      <c r="A237" s="17">
        <v>40346</v>
      </c>
      <c r="B237" s="13">
        <v>22470</v>
      </c>
      <c r="C237" s="13">
        <v>52140</v>
      </c>
      <c r="D237" s="14">
        <v>1707.92</v>
      </c>
      <c r="E237" s="28">
        <f t="shared" si="25"/>
        <v>-8.8928412627831133E-4</v>
      </c>
      <c r="F237" s="39">
        <f t="shared" si="25"/>
        <v>3.8372985418266836E-4</v>
      </c>
      <c r="H237" s="64">
        <f t="shared" si="27"/>
        <v>0.9</v>
      </c>
      <c r="I237" s="65">
        <f t="shared" si="28"/>
        <v>1</v>
      </c>
      <c r="J237" s="66">
        <v>1</v>
      </c>
      <c r="K237" s="65">
        <f t="shared" si="26"/>
        <v>0</v>
      </c>
      <c r="L237" s="28">
        <f t="shared" si="29"/>
        <v>8.5201793721974006E-3</v>
      </c>
      <c r="M237" s="71">
        <f t="shared" si="32"/>
        <v>-8.8928412627831133E-4</v>
      </c>
      <c r="N237" s="51">
        <v>40346</v>
      </c>
      <c r="O237" s="77">
        <f t="shared" si="30"/>
        <v>0.12524080585951425</v>
      </c>
      <c r="P237" s="39">
        <f t="shared" si="31"/>
        <v>0.1128399598629084</v>
      </c>
    </row>
    <row r="238" spans="1:16" x14ac:dyDescent="0.3">
      <c r="A238" s="17">
        <v>40347</v>
      </c>
      <c r="B238" s="13">
        <v>22525</v>
      </c>
      <c r="C238" s="13">
        <v>52140</v>
      </c>
      <c r="D238" s="14">
        <v>1711.95</v>
      </c>
      <c r="E238" s="28">
        <f t="shared" si="25"/>
        <v>2.4477080551847941E-3</v>
      </c>
      <c r="F238" s="39">
        <f t="shared" si="25"/>
        <v>0</v>
      </c>
      <c r="H238" s="64">
        <f t="shared" si="27"/>
        <v>0.9</v>
      </c>
      <c r="I238" s="65">
        <f t="shared" si="28"/>
        <v>1</v>
      </c>
      <c r="J238" s="66">
        <v>0.9</v>
      </c>
      <c r="K238" s="65">
        <f t="shared" si="26"/>
        <v>9.9999999999999978E-2</v>
      </c>
      <c r="L238" s="28">
        <f t="shared" si="29"/>
        <v>-7.6198272823221338E-4</v>
      </c>
      <c r="M238" s="71">
        <f t="shared" si="32"/>
        <v>2.2029372496663148E-3</v>
      </c>
      <c r="N238" s="51">
        <v>40347</v>
      </c>
      <c r="O238" s="77">
        <f t="shared" si="30"/>
        <v>0.12744374310918055</v>
      </c>
      <c r="P238" s="39">
        <f t="shared" si="31"/>
        <v>0.11546581179874127</v>
      </c>
    </row>
    <row r="239" spans="1:16" x14ac:dyDescent="0.3">
      <c r="A239" s="18">
        <v>40350</v>
      </c>
      <c r="B239" s="15">
        <v>22830</v>
      </c>
      <c r="C239" s="15">
        <v>52025</v>
      </c>
      <c r="D239" s="70">
        <v>1739.68</v>
      </c>
      <c r="E239" s="71">
        <f t="shared" si="25"/>
        <v>1.3540510543840201E-2</v>
      </c>
      <c r="F239" s="39">
        <f t="shared" si="25"/>
        <v>-2.2056003068661179E-3</v>
      </c>
      <c r="H239" s="64">
        <f t="shared" si="27"/>
        <v>0.9</v>
      </c>
      <c r="I239" s="65">
        <f t="shared" si="28"/>
        <v>1</v>
      </c>
      <c r="J239" s="66">
        <v>1</v>
      </c>
      <c r="K239" s="65">
        <f t="shared" si="26"/>
        <v>0</v>
      </c>
      <c r="L239" s="28">
        <f t="shared" si="29"/>
        <v>2.4477080551847941E-3</v>
      </c>
      <c r="M239" s="71">
        <f t="shared" si="32"/>
        <v>1.3540510543840201E-2</v>
      </c>
      <c r="N239" s="50">
        <v>40350</v>
      </c>
      <c r="O239" s="77">
        <f t="shared" si="30"/>
        <v>0.14098425365302075</v>
      </c>
      <c r="P239" s="39">
        <f t="shared" si="31"/>
        <v>0.13353401879145665</v>
      </c>
    </row>
    <row r="240" spans="1:16" x14ac:dyDescent="0.3">
      <c r="A240" s="17">
        <v>40351</v>
      </c>
      <c r="B240" s="13">
        <v>22790</v>
      </c>
      <c r="C240" s="13">
        <v>51980</v>
      </c>
      <c r="D240" s="14">
        <v>1731.48</v>
      </c>
      <c r="E240" s="28">
        <f t="shared" si="25"/>
        <v>-1.752080595707417E-3</v>
      </c>
      <c r="F240" s="39">
        <f t="shared" si="25"/>
        <v>-8.6496876501684916E-4</v>
      </c>
      <c r="H240" s="64">
        <f t="shared" si="27"/>
        <v>0.9</v>
      </c>
      <c r="I240" s="65">
        <f t="shared" si="28"/>
        <v>1</v>
      </c>
      <c r="J240" s="66">
        <v>1</v>
      </c>
      <c r="K240" s="65">
        <f t="shared" si="26"/>
        <v>0</v>
      </c>
      <c r="L240" s="28">
        <f t="shared" si="29"/>
        <v>1.3540510543840201E-2</v>
      </c>
      <c r="M240" s="71">
        <f t="shared" si="32"/>
        <v>-1.752080595707417E-3</v>
      </c>
      <c r="N240" s="51">
        <v>40351</v>
      </c>
      <c r="O240" s="77">
        <f t="shared" si="30"/>
        <v>0.13923217305731334</v>
      </c>
      <c r="P240" s="39">
        <f t="shared" si="31"/>
        <v>0.1281910942570077</v>
      </c>
    </row>
    <row r="241" spans="1:16" x14ac:dyDescent="0.3">
      <c r="A241" s="18">
        <v>40352</v>
      </c>
      <c r="B241" s="15">
        <v>22650</v>
      </c>
      <c r="C241" s="15">
        <v>51935</v>
      </c>
      <c r="D241" s="16">
        <v>1725.82</v>
      </c>
      <c r="E241" s="28">
        <f t="shared" si="25"/>
        <v>-6.1430451952610987E-3</v>
      </c>
      <c r="F241" s="39">
        <f t="shared" si="25"/>
        <v>-8.6571758368603202E-4</v>
      </c>
      <c r="H241" s="64">
        <f t="shared" si="27"/>
        <v>0.9</v>
      </c>
      <c r="I241" s="65">
        <f t="shared" si="28"/>
        <v>1</v>
      </c>
      <c r="J241" s="66">
        <v>0.9</v>
      </c>
      <c r="K241" s="65">
        <f t="shared" si="26"/>
        <v>9.9999999999999978E-2</v>
      </c>
      <c r="L241" s="28">
        <f t="shared" si="29"/>
        <v>-1.6633694126383604E-3</v>
      </c>
      <c r="M241" s="71">
        <f t="shared" si="32"/>
        <v>-5.6153124341035915E-3</v>
      </c>
      <c r="N241" s="50">
        <v>40352</v>
      </c>
      <c r="O241" s="77">
        <f t="shared" si="30"/>
        <v>0.13361686062320974</v>
      </c>
      <c r="P241" s="39">
        <f t="shared" si="31"/>
        <v>0.12450317317591253</v>
      </c>
    </row>
    <row r="242" spans="1:16" x14ac:dyDescent="0.3">
      <c r="A242" s="17">
        <v>40353</v>
      </c>
      <c r="B242" s="13">
        <v>22805</v>
      </c>
      <c r="C242" s="13">
        <v>51985</v>
      </c>
      <c r="D242" s="14">
        <v>1739.87</v>
      </c>
      <c r="E242" s="28">
        <f t="shared" si="25"/>
        <v>6.8432671081677388E-3</v>
      </c>
      <c r="F242" s="39">
        <f t="shared" si="25"/>
        <v>9.6274188889955425E-4</v>
      </c>
      <c r="H242" s="64">
        <f t="shared" si="27"/>
        <v>0.9</v>
      </c>
      <c r="I242" s="65">
        <f t="shared" si="28"/>
        <v>1</v>
      </c>
      <c r="J242" s="66">
        <v>0.9</v>
      </c>
      <c r="K242" s="65">
        <f t="shared" si="26"/>
        <v>9.9999999999999978E-2</v>
      </c>
      <c r="L242" s="28">
        <f t="shared" si="29"/>
        <v>-5.6153124341035915E-3</v>
      </c>
      <c r="M242" s="71">
        <f t="shared" si="32"/>
        <v>6.2552145862409207E-3</v>
      </c>
      <c r="N242" s="51">
        <v>40353</v>
      </c>
      <c r="O242" s="77">
        <f t="shared" si="30"/>
        <v>0.13987207520945066</v>
      </c>
      <c r="P242" s="39">
        <f t="shared" si="31"/>
        <v>0.13365781826237666</v>
      </c>
    </row>
    <row r="243" spans="1:16" x14ac:dyDescent="0.3">
      <c r="A243" s="17">
        <v>40354</v>
      </c>
      <c r="B243" s="13">
        <v>22590</v>
      </c>
      <c r="C243" s="13">
        <v>51980</v>
      </c>
      <c r="D243" s="14">
        <v>1729.84</v>
      </c>
      <c r="E243" s="28">
        <f t="shared" si="25"/>
        <v>-9.4277570708177771E-3</v>
      </c>
      <c r="F243" s="39">
        <f t="shared" si="25"/>
        <v>-9.6181590843458231E-5</v>
      </c>
      <c r="H243" s="64">
        <f t="shared" si="27"/>
        <v>0.9</v>
      </c>
      <c r="I243" s="65">
        <f t="shared" si="28"/>
        <v>1</v>
      </c>
      <c r="J243" s="66">
        <v>1</v>
      </c>
      <c r="K243" s="65">
        <f t="shared" si="26"/>
        <v>0</v>
      </c>
      <c r="L243" s="28">
        <f t="shared" si="29"/>
        <v>6.8432671081677388E-3</v>
      </c>
      <c r="M243" s="71">
        <f t="shared" si="32"/>
        <v>-9.4277570708177771E-3</v>
      </c>
      <c r="N243" s="51">
        <v>40354</v>
      </c>
      <c r="O243" s="77">
        <f t="shared" si="30"/>
        <v>0.13044431813863289</v>
      </c>
      <c r="P243" s="39">
        <f t="shared" si="31"/>
        <v>0.12712250935011782</v>
      </c>
    </row>
    <row r="244" spans="1:16" x14ac:dyDescent="0.3">
      <c r="A244" s="18">
        <v>40357</v>
      </c>
      <c r="B244" s="15">
        <v>22680</v>
      </c>
      <c r="C244" s="15">
        <v>51980</v>
      </c>
      <c r="D244" s="70">
        <v>1732.03</v>
      </c>
      <c r="E244" s="71">
        <f t="shared" si="25"/>
        <v>3.9840637450199168E-3</v>
      </c>
      <c r="F244" s="39">
        <f t="shared" si="25"/>
        <v>0</v>
      </c>
      <c r="H244" s="64">
        <f t="shared" si="27"/>
        <v>0.9</v>
      </c>
      <c r="I244" s="65">
        <f t="shared" si="28"/>
        <v>1</v>
      </c>
      <c r="J244" s="66">
        <v>0.9</v>
      </c>
      <c r="K244" s="65">
        <f t="shared" si="26"/>
        <v>9.9999999999999978E-2</v>
      </c>
      <c r="L244" s="28">
        <f t="shared" si="29"/>
        <v>-8.4945995228203463E-3</v>
      </c>
      <c r="M244" s="71">
        <f t="shared" si="32"/>
        <v>3.5856573705179253E-3</v>
      </c>
      <c r="N244" s="50">
        <v>40357</v>
      </c>
      <c r="O244" s="77">
        <f t="shared" si="30"/>
        <v>0.1340299755091508</v>
      </c>
      <c r="P244" s="39">
        <f t="shared" si="31"/>
        <v>0.12854946114651344</v>
      </c>
    </row>
    <row r="245" spans="1:16" x14ac:dyDescent="0.3">
      <c r="A245" s="17">
        <v>40358</v>
      </c>
      <c r="B245" s="13">
        <v>22405</v>
      </c>
      <c r="C245" s="13">
        <v>52040</v>
      </c>
      <c r="D245" s="14">
        <v>1707.76</v>
      </c>
      <c r="E245" s="28">
        <f t="shared" si="25"/>
        <v>-1.2125220458553798E-2</v>
      </c>
      <c r="F245" s="39">
        <f t="shared" si="25"/>
        <v>1.154290111581302E-3</v>
      </c>
      <c r="H245" s="64">
        <f t="shared" si="27"/>
        <v>0.9</v>
      </c>
      <c r="I245" s="65">
        <f t="shared" si="28"/>
        <v>1</v>
      </c>
      <c r="J245" s="66">
        <v>1</v>
      </c>
      <c r="K245" s="65">
        <f t="shared" si="26"/>
        <v>0</v>
      </c>
      <c r="L245" s="28">
        <f t="shared" si="29"/>
        <v>3.9840637450199168E-3</v>
      </c>
      <c r="M245" s="71">
        <f t="shared" si="32"/>
        <v>-1.2125220458553798E-2</v>
      </c>
      <c r="N245" s="51">
        <v>40358</v>
      </c>
      <c r="O245" s="77">
        <f t="shared" si="30"/>
        <v>0.121904755050597</v>
      </c>
      <c r="P245" s="39">
        <f t="shared" si="31"/>
        <v>0.11273570767687024</v>
      </c>
    </row>
    <row r="246" spans="1:16" x14ac:dyDescent="0.3">
      <c r="A246" s="18">
        <v>40359</v>
      </c>
      <c r="B246" s="15">
        <v>22205</v>
      </c>
      <c r="C246" s="15">
        <v>52100</v>
      </c>
      <c r="D246" s="16">
        <v>1698.29</v>
      </c>
      <c r="E246" s="28">
        <f t="shared" si="25"/>
        <v>-8.9265788886409014E-3</v>
      </c>
      <c r="F246" s="39">
        <f t="shared" si="25"/>
        <v>1.1529592621060125E-3</v>
      </c>
      <c r="H246" s="64">
        <f t="shared" si="27"/>
        <v>0.9</v>
      </c>
      <c r="I246" s="65">
        <f t="shared" si="28"/>
        <v>1</v>
      </c>
      <c r="J246" s="66">
        <v>0.9</v>
      </c>
      <c r="K246" s="65">
        <f t="shared" si="26"/>
        <v>9.9999999999999978E-2</v>
      </c>
      <c r="L246" s="28">
        <f t="shared" si="29"/>
        <v>-1.0797269401540289E-2</v>
      </c>
      <c r="M246" s="71">
        <f t="shared" si="32"/>
        <v>-7.9186250735662107E-3</v>
      </c>
      <c r="N246" s="50">
        <v>40359</v>
      </c>
      <c r="O246" s="77">
        <f t="shared" si="30"/>
        <v>0.1139861299770308</v>
      </c>
      <c r="P246" s="39">
        <f t="shared" si="31"/>
        <v>0.10656528141574473</v>
      </c>
    </row>
    <row r="247" spans="1:16" x14ac:dyDescent="0.3">
      <c r="A247" s="17">
        <v>40360</v>
      </c>
      <c r="B247" s="13">
        <v>21960</v>
      </c>
      <c r="C247" s="13">
        <v>52190</v>
      </c>
      <c r="D247" s="14">
        <v>1686.24</v>
      </c>
      <c r="E247" s="28">
        <f t="shared" si="25"/>
        <v>-1.103355100202652E-2</v>
      </c>
      <c r="F247" s="39">
        <f t="shared" si="25"/>
        <v>1.7274472168906652E-3</v>
      </c>
      <c r="H247" s="64">
        <f t="shared" si="27"/>
        <v>0.9</v>
      </c>
      <c r="I247" s="65">
        <f t="shared" si="28"/>
        <v>1</v>
      </c>
      <c r="J247" s="66">
        <v>0.9</v>
      </c>
      <c r="K247" s="65">
        <f t="shared" si="26"/>
        <v>9.9999999999999978E-2</v>
      </c>
      <c r="L247" s="28">
        <f t="shared" si="29"/>
        <v>-7.9186250735662107E-3</v>
      </c>
      <c r="M247" s="71">
        <f t="shared" si="32"/>
        <v>-9.7574511801348015E-3</v>
      </c>
      <c r="N247" s="51">
        <v>40360</v>
      </c>
      <c r="O247" s="77">
        <f t="shared" si="30"/>
        <v>0.104228678796896</v>
      </c>
      <c r="P247" s="39">
        <f t="shared" si="31"/>
        <v>9.8713788654755774E-2</v>
      </c>
    </row>
    <row r="248" spans="1:16" x14ac:dyDescent="0.3">
      <c r="A248" s="17">
        <v>40361</v>
      </c>
      <c r="B248" s="13">
        <v>21825</v>
      </c>
      <c r="C248" s="13">
        <v>52190</v>
      </c>
      <c r="D248" s="14">
        <v>1671.82</v>
      </c>
      <c r="E248" s="28">
        <f t="shared" si="25"/>
        <v>-6.147540983606592E-3</v>
      </c>
      <c r="F248" s="39">
        <f t="shared" si="25"/>
        <v>0</v>
      </c>
      <c r="H248" s="64">
        <f t="shared" si="27"/>
        <v>0.9</v>
      </c>
      <c r="I248" s="65">
        <f t="shared" si="28"/>
        <v>1</v>
      </c>
      <c r="J248" s="66">
        <v>0.9</v>
      </c>
      <c r="K248" s="65">
        <f t="shared" si="26"/>
        <v>9.9999999999999978E-2</v>
      </c>
      <c r="L248" s="28">
        <f t="shared" si="29"/>
        <v>-9.7574511801348015E-3</v>
      </c>
      <c r="M248" s="71">
        <f t="shared" si="32"/>
        <v>-5.5327868852459326E-3</v>
      </c>
      <c r="N248" s="51">
        <v>40361</v>
      </c>
      <c r="O248" s="77">
        <f t="shared" si="30"/>
        <v>9.8695891911650069E-2</v>
      </c>
      <c r="P248" s="39">
        <f t="shared" si="31"/>
        <v>8.9318060388078768E-2</v>
      </c>
    </row>
    <row r="249" spans="1:16" x14ac:dyDescent="0.3">
      <c r="A249" s="18">
        <v>40364</v>
      </c>
      <c r="B249" s="15">
        <v>21880</v>
      </c>
      <c r="C249" s="15">
        <v>52170</v>
      </c>
      <c r="D249" s="70">
        <v>1675.37</v>
      </c>
      <c r="E249" s="71">
        <f t="shared" si="25"/>
        <v>2.5200458190148822E-3</v>
      </c>
      <c r="F249" s="39">
        <f t="shared" si="25"/>
        <v>-3.8321517532091676E-4</v>
      </c>
      <c r="H249" s="64">
        <f t="shared" si="27"/>
        <v>0.9</v>
      </c>
      <c r="I249" s="65">
        <f t="shared" si="28"/>
        <v>1</v>
      </c>
      <c r="J249" s="66">
        <v>0.9</v>
      </c>
      <c r="K249" s="65">
        <f t="shared" si="26"/>
        <v>9.9999999999999978E-2</v>
      </c>
      <c r="L249" s="28">
        <f t="shared" si="29"/>
        <v>-5.5327868852459326E-3</v>
      </c>
      <c r="M249" s="71">
        <f t="shared" si="32"/>
        <v>2.2297197195813023E-3</v>
      </c>
      <c r="N249" s="50">
        <v>40364</v>
      </c>
      <c r="O249" s="77">
        <f t="shared" si="30"/>
        <v>0.10092561163123137</v>
      </c>
      <c r="P249" s="39">
        <f t="shared" si="31"/>
        <v>9.163115576579739E-2</v>
      </c>
    </row>
    <row r="250" spans="1:16" x14ac:dyDescent="0.3">
      <c r="A250" s="17">
        <v>40365</v>
      </c>
      <c r="B250" s="13">
        <v>22010</v>
      </c>
      <c r="C250" s="13">
        <v>52185</v>
      </c>
      <c r="D250" s="14">
        <v>1684.94</v>
      </c>
      <c r="E250" s="28">
        <f t="shared" si="25"/>
        <v>5.9414990859232297E-3</v>
      </c>
      <c r="F250" s="39">
        <f t="shared" si="25"/>
        <v>2.8752156411737673E-4</v>
      </c>
      <c r="H250" s="64">
        <f t="shared" si="27"/>
        <v>0.9</v>
      </c>
      <c r="I250" s="65">
        <f t="shared" si="28"/>
        <v>1</v>
      </c>
      <c r="J250" s="66">
        <v>1</v>
      </c>
      <c r="K250" s="65">
        <f t="shared" si="26"/>
        <v>0</v>
      </c>
      <c r="L250" s="28">
        <f t="shared" si="29"/>
        <v>2.5200458190148822E-3</v>
      </c>
      <c r="M250" s="71">
        <f t="shared" si="32"/>
        <v>5.9414990859232297E-3</v>
      </c>
      <c r="N250" s="51">
        <v>40365</v>
      </c>
      <c r="O250" s="77">
        <f t="shared" si="30"/>
        <v>0.1068671107171546</v>
      </c>
      <c r="P250" s="39">
        <f t="shared" si="31"/>
        <v>9.7866739643196921E-2</v>
      </c>
    </row>
    <row r="251" spans="1:16" x14ac:dyDescent="0.3">
      <c r="A251" s="18">
        <v>40366</v>
      </c>
      <c r="B251" s="15">
        <v>21865</v>
      </c>
      <c r="C251" s="15">
        <v>52115</v>
      </c>
      <c r="D251" s="16">
        <v>1675.65</v>
      </c>
      <c r="E251" s="28">
        <f t="shared" si="25"/>
        <v>-6.5879145842798748E-3</v>
      </c>
      <c r="F251" s="39">
        <f t="shared" si="25"/>
        <v>-1.3413816230717357E-3</v>
      </c>
      <c r="H251" s="64">
        <f t="shared" si="27"/>
        <v>0.9</v>
      </c>
      <c r="I251" s="65">
        <f t="shared" si="28"/>
        <v>1</v>
      </c>
      <c r="J251" s="66">
        <v>1</v>
      </c>
      <c r="K251" s="65">
        <f t="shared" si="26"/>
        <v>0</v>
      </c>
      <c r="L251" s="28">
        <f t="shared" si="29"/>
        <v>5.9414990859232297E-3</v>
      </c>
      <c r="M251" s="71">
        <f t="shared" si="32"/>
        <v>-6.5879145842798748E-3</v>
      </c>
      <c r="N251" s="50">
        <v>40366</v>
      </c>
      <c r="O251" s="77">
        <f t="shared" si="30"/>
        <v>0.10027919613287473</v>
      </c>
      <c r="P251" s="39">
        <f t="shared" si="31"/>
        <v>9.1813597091364052E-2</v>
      </c>
    </row>
    <row r="252" spans="1:16" x14ac:dyDescent="0.3">
      <c r="A252" s="17">
        <v>40367</v>
      </c>
      <c r="B252" s="13">
        <v>22235</v>
      </c>
      <c r="C252" s="13">
        <v>52060</v>
      </c>
      <c r="D252" s="14">
        <v>1698.64</v>
      </c>
      <c r="E252" s="28">
        <f t="shared" si="25"/>
        <v>1.6922021495540784E-2</v>
      </c>
      <c r="F252" s="39">
        <f t="shared" si="25"/>
        <v>-1.0553583421279988E-3</v>
      </c>
      <c r="H252" s="64">
        <f t="shared" si="27"/>
        <v>0.9</v>
      </c>
      <c r="I252" s="65">
        <f t="shared" si="28"/>
        <v>1</v>
      </c>
      <c r="J252" s="66">
        <v>0.9</v>
      </c>
      <c r="K252" s="65">
        <f t="shared" si="26"/>
        <v>9.9999999999999978E-2</v>
      </c>
      <c r="L252" s="28">
        <f t="shared" si="29"/>
        <v>-6.0632612881590612E-3</v>
      </c>
      <c r="M252" s="71">
        <f t="shared" si="32"/>
        <v>1.5124283511773907E-2</v>
      </c>
      <c r="N252" s="51">
        <v>40367</v>
      </c>
      <c r="O252" s="77">
        <f t="shared" si="30"/>
        <v>0.11540347964464863</v>
      </c>
      <c r="P252" s="39">
        <f t="shared" si="31"/>
        <v>0.10679333307270289</v>
      </c>
    </row>
    <row r="253" spans="1:16" x14ac:dyDescent="0.3">
      <c r="A253" s="17">
        <v>40368</v>
      </c>
      <c r="B253" s="13">
        <v>22575</v>
      </c>
      <c r="C253" s="13">
        <v>52045</v>
      </c>
      <c r="D253" s="14">
        <v>1723.01</v>
      </c>
      <c r="E253" s="28">
        <f t="shared" si="25"/>
        <v>1.5291207555655495E-2</v>
      </c>
      <c r="F253" s="39">
        <f t="shared" si="25"/>
        <v>-2.8812908182862529E-4</v>
      </c>
      <c r="H253" s="64">
        <f t="shared" si="27"/>
        <v>0.9</v>
      </c>
      <c r="I253" s="65">
        <f t="shared" si="28"/>
        <v>1</v>
      </c>
      <c r="J253" s="66">
        <v>1</v>
      </c>
      <c r="K253" s="65">
        <f t="shared" si="26"/>
        <v>0</v>
      </c>
      <c r="L253" s="28">
        <f t="shared" si="29"/>
        <v>1.6922021495540784E-2</v>
      </c>
      <c r="M253" s="71">
        <f t="shared" si="32"/>
        <v>1.5291207555655495E-2</v>
      </c>
      <c r="N253" s="51">
        <v>40368</v>
      </c>
      <c r="O253" s="77">
        <f t="shared" si="30"/>
        <v>0.13069468720030414</v>
      </c>
      <c r="P253" s="39">
        <f t="shared" si="31"/>
        <v>0.12267224415861966</v>
      </c>
    </row>
    <row r="254" spans="1:16" x14ac:dyDescent="0.3">
      <c r="A254" s="18">
        <v>40371</v>
      </c>
      <c r="B254" s="15">
        <v>22695</v>
      </c>
      <c r="C254" s="15">
        <v>52065</v>
      </c>
      <c r="D254" s="70">
        <v>1734.05</v>
      </c>
      <c r="E254" s="71">
        <f t="shared" si="25"/>
        <v>5.3156146179402786E-3</v>
      </c>
      <c r="F254" s="39">
        <f t="shared" si="25"/>
        <v>3.8428283216451753E-4</v>
      </c>
      <c r="H254" s="64">
        <f t="shared" si="27"/>
        <v>0.9</v>
      </c>
      <c r="I254" s="65">
        <f t="shared" si="28"/>
        <v>1</v>
      </c>
      <c r="J254" s="66">
        <v>1</v>
      </c>
      <c r="K254" s="65">
        <f t="shared" si="26"/>
        <v>0</v>
      </c>
      <c r="L254" s="28">
        <f t="shared" si="29"/>
        <v>1.5291207555655495E-2</v>
      </c>
      <c r="M254" s="71">
        <f t="shared" si="32"/>
        <v>5.3156146179402786E-3</v>
      </c>
      <c r="N254" s="50">
        <v>40371</v>
      </c>
      <c r="O254" s="77">
        <f t="shared" si="30"/>
        <v>0.13601030181824442</v>
      </c>
      <c r="P254" s="39">
        <f t="shared" si="31"/>
        <v>0.12986564499524356</v>
      </c>
    </row>
    <row r="255" spans="1:16" x14ac:dyDescent="0.3">
      <c r="A255" s="17">
        <v>40372</v>
      </c>
      <c r="B255" s="13">
        <v>22770</v>
      </c>
      <c r="C255" s="13">
        <v>52055</v>
      </c>
      <c r="D255" s="14">
        <v>1735.08</v>
      </c>
      <c r="E255" s="28">
        <f t="shared" si="25"/>
        <v>3.3046926635822427E-3</v>
      </c>
      <c r="F255" s="39">
        <f t="shared" si="25"/>
        <v>-1.9206760779799659E-4</v>
      </c>
      <c r="H255" s="64">
        <f t="shared" si="27"/>
        <v>0.9</v>
      </c>
      <c r="I255" s="65">
        <f t="shared" si="28"/>
        <v>1</v>
      </c>
      <c r="J255" s="66">
        <v>1</v>
      </c>
      <c r="K255" s="65">
        <f t="shared" si="26"/>
        <v>0</v>
      </c>
      <c r="L255" s="28">
        <f t="shared" si="29"/>
        <v>5.3156146179402786E-3</v>
      </c>
      <c r="M255" s="71">
        <f t="shared" si="32"/>
        <v>3.3046926635822427E-3</v>
      </c>
      <c r="N255" s="51">
        <v>40372</v>
      </c>
      <c r="O255" s="77">
        <f t="shared" si="30"/>
        <v>0.13931499448182666</v>
      </c>
      <c r="P255" s="39">
        <f t="shared" si="31"/>
        <v>0.13053676844286333</v>
      </c>
    </row>
    <row r="256" spans="1:16" x14ac:dyDescent="0.3">
      <c r="A256" s="18">
        <v>40373</v>
      </c>
      <c r="B256" s="15">
        <v>23090</v>
      </c>
      <c r="C256" s="15">
        <v>52030</v>
      </c>
      <c r="D256" s="16">
        <v>1758.01</v>
      </c>
      <c r="E256" s="28">
        <f t="shared" si="25"/>
        <v>1.4053579270970618E-2</v>
      </c>
      <c r="F256" s="39">
        <f t="shared" si="25"/>
        <v>-4.8026126212663556E-4</v>
      </c>
      <c r="H256" s="64">
        <f t="shared" si="27"/>
        <v>0.9</v>
      </c>
      <c r="I256" s="65">
        <f t="shared" si="28"/>
        <v>1</v>
      </c>
      <c r="J256" s="66">
        <v>1</v>
      </c>
      <c r="K256" s="65">
        <f t="shared" si="26"/>
        <v>0</v>
      </c>
      <c r="L256" s="28">
        <f t="shared" si="29"/>
        <v>3.3046926635822427E-3</v>
      </c>
      <c r="M256" s="71">
        <f t="shared" si="32"/>
        <v>1.4053579270970618E-2</v>
      </c>
      <c r="N256" s="50">
        <v>40373</v>
      </c>
      <c r="O256" s="77">
        <f t="shared" si="30"/>
        <v>0.15336857375279728</v>
      </c>
      <c r="P256" s="39">
        <f t="shared" si="31"/>
        <v>0.1454774098544378</v>
      </c>
    </row>
    <row r="257" spans="1:16" x14ac:dyDescent="0.3">
      <c r="A257" s="17">
        <v>40374</v>
      </c>
      <c r="B257" s="13">
        <v>23015</v>
      </c>
      <c r="C257" s="13">
        <v>52105</v>
      </c>
      <c r="D257" s="14">
        <v>1751.29</v>
      </c>
      <c r="E257" s="28">
        <f t="shared" si="25"/>
        <v>-3.2481593763533656E-3</v>
      </c>
      <c r="F257" s="39">
        <f t="shared" si="25"/>
        <v>1.4414760714971386E-3</v>
      </c>
      <c r="H257" s="64">
        <f t="shared" si="27"/>
        <v>0.9</v>
      </c>
      <c r="I257" s="65">
        <f t="shared" si="28"/>
        <v>1</v>
      </c>
      <c r="J257" s="66">
        <v>1</v>
      </c>
      <c r="K257" s="65">
        <f t="shared" si="26"/>
        <v>0</v>
      </c>
      <c r="L257" s="28">
        <f t="shared" si="29"/>
        <v>1.4053579270970618E-2</v>
      </c>
      <c r="M257" s="71">
        <f t="shared" si="32"/>
        <v>-3.2481593763533656E-3</v>
      </c>
      <c r="N257" s="51">
        <v>40374</v>
      </c>
      <c r="O257" s="77">
        <f t="shared" si="30"/>
        <v>0.15012041437644391</v>
      </c>
      <c r="P257" s="39">
        <f t="shared" si="31"/>
        <v>0.14109881804084079</v>
      </c>
    </row>
    <row r="258" spans="1:16" x14ac:dyDescent="0.3">
      <c r="A258" s="17">
        <v>40375</v>
      </c>
      <c r="B258" s="13">
        <v>22790</v>
      </c>
      <c r="C258" s="13">
        <v>52125</v>
      </c>
      <c r="D258" s="14">
        <v>1738.45</v>
      </c>
      <c r="E258" s="28">
        <f t="shared" si="25"/>
        <v>-9.7762328915924623E-3</v>
      </c>
      <c r="F258" s="39">
        <f t="shared" si="25"/>
        <v>3.8384032242588795E-4</v>
      </c>
      <c r="H258" s="64">
        <f t="shared" si="27"/>
        <v>0.9</v>
      </c>
      <c r="I258" s="65">
        <f t="shared" si="28"/>
        <v>1</v>
      </c>
      <c r="J258" s="66">
        <v>0.9</v>
      </c>
      <c r="K258" s="65">
        <f t="shared" si="26"/>
        <v>9.9999999999999978E-2</v>
      </c>
      <c r="L258" s="28">
        <f t="shared" si="29"/>
        <v>-2.779195831568315E-3</v>
      </c>
      <c r="M258" s="71">
        <f t="shared" si="32"/>
        <v>-8.7602255701906273E-3</v>
      </c>
      <c r="N258" s="51">
        <v>40375</v>
      </c>
      <c r="O258" s="77">
        <f t="shared" si="30"/>
        <v>0.14136018880625328</v>
      </c>
      <c r="P258" s="39">
        <f t="shared" si="31"/>
        <v>0.1327325801112893</v>
      </c>
    </row>
    <row r="259" spans="1:16" x14ac:dyDescent="0.3">
      <c r="A259" s="18">
        <v>40378</v>
      </c>
      <c r="B259" s="15">
        <v>22635</v>
      </c>
      <c r="C259" s="15">
        <v>52160</v>
      </c>
      <c r="D259" s="70">
        <v>1731.95</v>
      </c>
      <c r="E259" s="71">
        <f t="shared" si="25"/>
        <v>-6.8012286090390894E-3</v>
      </c>
      <c r="F259" s="39">
        <f t="shared" si="25"/>
        <v>6.7146282973618021E-4</v>
      </c>
      <c r="H259" s="64">
        <f t="shared" si="27"/>
        <v>0.9</v>
      </c>
      <c r="I259" s="65">
        <f t="shared" si="28"/>
        <v>1</v>
      </c>
      <c r="J259" s="66">
        <v>0.9</v>
      </c>
      <c r="K259" s="65">
        <f t="shared" si="26"/>
        <v>9.9999999999999978E-2</v>
      </c>
      <c r="L259" s="28">
        <f t="shared" si="29"/>
        <v>-8.7602255701906273E-3</v>
      </c>
      <c r="M259" s="71">
        <f t="shared" si="32"/>
        <v>-6.0539594651615623E-3</v>
      </c>
      <c r="N259" s="50">
        <v>40378</v>
      </c>
      <c r="O259" s="77">
        <f t="shared" si="30"/>
        <v>0.13530622934109171</v>
      </c>
      <c r="P259" s="39">
        <f t="shared" si="31"/>
        <v>0.12849733505349437</v>
      </c>
    </row>
    <row r="260" spans="1:16" x14ac:dyDescent="0.3">
      <c r="A260" s="17">
        <v>40379</v>
      </c>
      <c r="B260" s="13">
        <v>22675</v>
      </c>
      <c r="C260" s="13">
        <v>52160</v>
      </c>
      <c r="D260" s="14">
        <v>1736.77</v>
      </c>
      <c r="E260" s="28">
        <f t="shared" si="25"/>
        <v>1.7671747294014661E-3</v>
      </c>
      <c r="F260" s="39">
        <f t="shared" si="25"/>
        <v>0</v>
      </c>
      <c r="H260" s="64">
        <f t="shared" si="27"/>
        <v>0.9</v>
      </c>
      <c r="I260" s="65">
        <f t="shared" si="28"/>
        <v>1</v>
      </c>
      <c r="J260" s="66">
        <v>0.9</v>
      </c>
      <c r="K260" s="65">
        <f t="shared" si="26"/>
        <v>9.9999999999999978E-2</v>
      </c>
      <c r="L260" s="28">
        <f t="shared" si="29"/>
        <v>-6.0539594651615623E-3</v>
      </c>
      <c r="M260" s="71">
        <f t="shared" si="32"/>
        <v>1.5904572564613196E-3</v>
      </c>
      <c r="N260" s="51">
        <v>40379</v>
      </c>
      <c r="O260" s="77">
        <f t="shared" si="30"/>
        <v>0.13689668659755302</v>
      </c>
      <c r="P260" s="39">
        <f t="shared" si="31"/>
        <v>0.13163793215788999</v>
      </c>
    </row>
    <row r="261" spans="1:16" x14ac:dyDescent="0.3">
      <c r="A261" s="18">
        <v>40380</v>
      </c>
      <c r="B261" s="15">
        <v>22900</v>
      </c>
      <c r="C261" s="15">
        <v>52200</v>
      </c>
      <c r="D261" s="16">
        <v>1748.78</v>
      </c>
      <c r="E261" s="28">
        <f t="shared" si="25"/>
        <v>9.9228224917309316E-3</v>
      </c>
      <c r="F261" s="39">
        <f t="shared" si="25"/>
        <v>7.6687116564411184E-4</v>
      </c>
      <c r="H261" s="64">
        <f t="shared" si="27"/>
        <v>0.9</v>
      </c>
      <c r="I261" s="65">
        <f t="shared" si="28"/>
        <v>1</v>
      </c>
      <c r="J261" s="66">
        <v>1</v>
      </c>
      <c r="K261" s="65">
        <f t="shared" si="26"/>
        <v>0</v>
      </c>
      <c r="L261" s="28">
        <f t="shared" si="29"/>
        <v>1.7671747294014661E-3</v>
      </c>
      <c r="M261" s="71">
        <f t="shared" si="32"/>
        <v>9.9228224917309316E-3</v>
      </c>
      <c r="N261" s="50">
        <v>40380</v>
      </c>
      <c r="O261" s="77">
        <f t="shared" si="30"/>
        <v>0.14681950908928396</v>
      </c>
      <c r="P261" s="39">
        <f t="shared" si="31"/>
        <v>0.1394633618723693</v>
      </c>
    </row>
    <row r="262" spans="1:16" x14ac:dyDescent="0.3">
      <c r="A262" s="17">
        <v>40381</v>
      </c>
      <c r="B262" s="13">
        <v>22730</v>
      </c>
      <c r="C262" s="13">
        <v>52310</v>
      </c>
      <c r="D262" s="14">
        <v>1735.53</v>
      </c>
      <c r="E262" s="28">
        <f t="shared" si="25"/>
        <v>-7.4235807860262293E-3</v>
      </c>
      <c r="F262" s="39">
        <f t="shared" si="25"/>
        <v>2.1072796934866744E-3</v>
      </c>
      <c r="H262" s="64">
        <f t="shared" si="27"/>
        <v>0.9</v>
      </c>
      <c r="I262" s="65">
        <f t="shared" si="28"/>
        <v>1</v>
      </c>
      <c r="J262" s="66">
        <v>1</v>
      </c>
      <c r="K262" s="65">
        <f t="shared" si="26"/>
        <v>0</v>
      </c>
      <c r="L262" s="28">
        <f t="shared" si="29"/>
        <v>9.9228224917309316E-3</v>
      </c>
      <c r="M262" s="71">
        <f t="shared" si="32"/>
        <v>-7.4235807860262293E-3</v>
      </c>
      <c r="N262" s="51">
        <v>40381</v>
      </c>
      <c r="O262" s="77">
        <f t="shared" si="30"/>
        <v>0.13939592830325773</v>
      </c>
      <c r="P262" s="39">
        <f t="shared" si="31"/>
        <v>0.13082997771609528</v>
      </c>
    </row>
    <row r="263" spans="1:16" x14ac:dyDescent="0.3">
      <c r="A263" s="17">
        <v>40382</v>
      </c>
      <c r="B263" s="13">
        <v>23025</v>
      </c>
      <c r="C263" s="13">
        <v>52345</v>
      </c>
      <c r="D263" s="14">
        <v>1758.06</v>
      </c>
      <c r="E263" s="28">
        <f t="shared" si="25"/>
        <v>1.2978442586889516E-2</v>
      </c>
      <c r="F263" s="39">
        <f t="shared" si="25"/>
        <v>6.6908812846500076E-4</v>
      </c>
      <c r="H263" s="64">
        <f t="shared" si="27"/>
        <v>0.9</v>
      </c>
      <c r="I263" s="65">
        <f t="shared" si="28"/>
        <v>1</v>
      </c>
      <c r="J263" s="66">
        <v>0.9</v>
      </c>
      <c r="K263" s="65">
        <f t="shared" si="26"/>
        <v>9.9999999999999978E-2</v>
      </c>
      <c r="L263" s="28">
        <f t="shared" si="29"/>
        <v>-6.4704947380749391E-3</v>
      </c>
      <c r="M263" s="71">
        <f t="shared" si="32"/>
        <v>1.1747507141047064E-2</v>
      </c>
      <c r="N263" s="51">
        <v>40382</v>
      </c>
      <c r="O263" s="77">
        <f t="shared" si="30"/>
        <v>0.15114343544430478</v>
      </c>
      <c r="P263" s="39">
        <f t="shared" si="31"/>
        <v>0.14550998866257481</v>
      </c>
    </row>
    <row r="264" spans="1:16" x14ac:dyDescent="0.3">
      <c r="A264" s="18">
        <v>40385</v>
      </c>
      <c r="B264" s="15">
        <v>23200</v>
      </c>
      <c r="C264" s="15">
        <v>52295</v>
      </c>
      <c r="D264" s="70">
        <v>1769.07</v>
      </c>
      <c r="E264" s="71">
        <f t="shared" si="25"/>
        <v>7.6004343105320338E-3</v>
      </c>
      <c r="F264" s="39">
        <f t="shared" si="25"/>
        <v>-9.5520106982516229E-4</v>
      </c>
      <c r="H264" s="64">
        <f t="shared" si="27"/>
        <v>0.9</v>
      </c>
      <c r="I264" s="65">
        <f t="shared" si="28"/>
        <v>1</v>
      </c>
      <c r="J264" s="66">
        <v>1</v>
      </c>
      <c r="K264" s="65">
        <f t="shared" si="26"/>
        <v>0</v>
      </c>
      <c r="L264" s="28">
        <f t="shared" si="29"/>
        <v>1.2978442586889516E-2</v>
      </c>
      <c r="M264" s="71">
        <f t="shared" si="32"/>
        <v>7.6004343105320338E-3</v>
      </c>
      <c r="N264" s="50">
        <v>40385</v>
      </c>
      <c r="O264" s="77">
        <f t="shared" si="30"/>
        <v>0.15874386975483681</v>
      </c>
      <c r="P264" s="39">
        <f t="shared" si="31"/>
        <v>0.15268384221431641</v>
      </c>
    </row>
    <row r="265" spans="1:16" x14ac:dyDescent="0.3">
      <c r="A265" s="17">
        <v>40386</v>
      </c>
      <c r="B265" s="13">
        <v>23190</v>
      </c>
      <c r="C265" s="13">
        <v>52320</v>
      </c>
      <c r="D265" s="14">
        <v>1768.31</v>
      </c>
      <c r="E265" s="28">
        <f t="shared" si="25"/>
        <v>-4.3103448275860767E-4</v>
      </c>
      <c r="F265" s="39">
        <f t="shared" si="25"/>
        <v>4.7805717563820238E-4</v>
      </c>
      <c r="H265" s="64">
        <f t="shared" si="27"/>
        <v>0.9</v>
      </c>
      <c r="I265" s="65">
        <f t="shared" si="28"/>
        <v>1</v>
      </c>
      <c r="J265" s="66">
        <v>1</v>
      </c>
      <c r="K265" s="65">
        <f t="shared" si="26"/>
        <v>0</v>
      </c>
      <c r="L265" s="28">
        <f t="shared" si="29"/>
        <v>7.6004343105320338E-3</v>
      </c>
      <c r="M265" s="71">
        <f t="shared" si="32"/>
        <v>-4.3103448275860767E-4</v>
      </c>
      <c r="N265" s="51">
        <v>40386</v>
      </c>
      <c r="O265" s="77">
        <f t="shared" si="30"/>
        <v>0.15831283527207821</v>
      </c>
      <c r="P265" s="39">
        <f t="shared" si="31"/>
        <v>0.15218864433063573</v>
      </c>
    </row>
    <row r="266" spans="1:16" x14ac:dyDescent="0.3">
      <c r="A266" s="18">
        <v>40387</v>
      </c>
      <c r="B266" s="15">
        <v>23280</v>
      </c>
      <c r="C266" s="15">
        <v>52365</v>
      </c>
      <c r="D266" s="16">
        <v>1773.47</v>
      </c>
      <c r="E266" s="28">
        <f t="shared" si="25"/>
        <v>3.8809831824062613E-3</v>
      </c>
      <c r="F266" s="39">
        <f t="shared" si="25"/>
        <v>8.6009174311918457E-4</v>
      </c>
      <c r="H266" s="64">
        <f t="shared" si="27"/>
        <v>0.9</v>
      </c>
      <c r="I266" s="65">
        <f t="shared" si="28"/>
        <v>1</v>
      </c>
      <c r="J266" s="66">
        <v>0.9</v>
      </c>
      <c r="K266" s="65">
        <f t="shared" si="26"/>
        <v>9.9999999999999978E-2</v>
      </c>
      <c r="L266" s="28">
        <f t="shared" si="29"/>
        <v>-3.4012531691892669E-4</v>
      </c>
      <c r="M266" s="71">
        <f t="shared" si="32"/>
        <v>3.5788940384775536E-3</v>
      </c>
      <c r="N266" s="50">
        <v>40387</v>
      </c>
      <c r="O266" s="77">
        <f t="shared" si="30"/>
        <v>0.16189172931055576</v>
      </c>
      <c r="P266" s="39">
        <f t="shared" si="31"/>
        <v>0.15555077733036216</v>
      </c>
    </row>
    <row r="267" spans="1:16" x14ac:dyDescent="0.3">
      <c r="A267" s="17">
        <v>40388</v>
      </c>
      <c r="B267" s="13">
        <v>23215</v>
      </c>
      <c r="C267" s="13">
        <v>52400</v>
      </c>
      <c r="D267" s="14">
        <v>1770.88</v>
      </c>
      <c r="E267" s="28">
        <f t="shared" si="25"/>
        <v>-2.7920962199312616E-3</v>
      </c>
      <c r="F267" s="39">
        <f t="shared" si="25"/>
        <v>6.6838537190871961E-4</v>
      </c>
      <c r="H267" s="64">
        <f t="shared" si="27"/>
        <v>0.9</v>
      </c>
      <c r="I267" s="65">
        <f t="shared" si="28"/>
        <v>1</v>
      </c>
      <c r="J267" s="66">
        <v>1</v>
      </c>
      <c r="K267" s="65">
        <f t="shared" si="26"/>
        <v>0</v>
      </c>
      <c r="L267" s="28">
        <f t="shared" si="29"/>
        <v>3.8809831824062613E-3</v>
      </c>
      <c r="M267" s="71">
        <f t="shared" si="32"/>
        <v>-2.7920962199312616E-3</v>
      </c>
      <c r="N267" s="51">
        <v>40388</v>
      </c>
      <c r="O267" s="77">
        <f t="shared" si="30"/>
        <v>0.1590996330906245</v>
      </c>
      <c r="P267" s="39">
        <f t="shared" si="31"/>
        <v>0.15386319506887158</v>
      </c>
    </row>
    <row r="268" spans="1:16" x14ac:dyDescent="0.3">
      <c r="A268" s="17">
        <v>40389</v>
      </c>
      <c r="B268" s="13">
        <v>23025</v>
      </c>
      <c r="C268" s="13">
        <v>52405</v>
      </c>
      <c r="D268" s="14">
        <v>1759.33</v>
      </c>
      <c r="E268" s="28">
        <f t="shared" si="25"/>
        <v>-8.1843635580444163E-3</v>
      </c>
      <c r="F268" s="39">
        <f t="shared" si="25"/>
        <v>9.5419847328193086E-5</v>
      </c>
      <c r="H268" s="64">
        <f t="shared" si="27"/>
        <v>0.9</v>
      </c>
      <c r="I268" s="65">
        <f t="shared" si="28"/>
        <v>1</v>
      </c>
      <c r="J268" s="66">
        <v>0.9</v>
      </c>
      <c r="K268" s="65">
        <f t="shared" si="26"/>
        <v>9.9999999999999978E-2</v>
      </c>
      <c r="L268" s="28">
        <f t="shared" si="29"/>
        <v>-2.4460480607472633E-3</v>
      </c>
      <c r="M268" s="71">
        <f t="shared" si="32"/>
        <v>-7.3563852175071555E-3</v>
      </c>
      <c r="N268" s="51">
        <v>40389</v>
      </c>
      <c r="O268" s="77">
        <f t="shared" si="30"/>
        <v>0.15174324787311735</v>
      </c>
      <c r="P268" s="39">
        <f t="shared" si="31"/>
        <v>0.14633749038925159</v>
      </c>
    </row>
    <row r="269" spans="1:16" x14ac:dyDescent="0.3">
      <c r="A269" s="18">
        <v>40392</v>
      </c>
      <c r="B269" s="15">
        <v>23360</v>
      </c>
      <c r="C269" s="15">
        <v>52460</v>
      </c>
      <c r="D269" s="70">
        <v>1782.27</v>
      </c>
      <c r="E269" s="71">
        <f t="shared" si="25"/>
        <v>1.454940282301842E-2</v>
      </c>
      <c r="F269" s="39">
        <f t="shared" si="25"/>
        <v>1.049518175746611E-3</v>
      </c>
      <c r="H269" s="64">
        <f t="shared" si="27"/>
        <v>0.9</v>
      </c>
      <c r="I269" s="65">
        <f t="shared" si="28"/>
        <v>1</v>
      </c>
      <c r="J269" s="66">
        <v>0.9</v>
      </c>
      <c r="K269" s="65">
        <f t="shared" si="26"/>
        <v>9.9999999999999978E-2</v>
      </c>
      <c r="L269" s="28">
        <f t="shared" si="29"/>
        <v>-7.3563852175071555E-3</v>
      </c>
      <c r="M269" s="71">
        <f t="shared" si="32"/>
        <v>1.319941435829124E-2</v>
      </c>
      <c r="N269" s="50">
        <v>40392</v>
      </c>
      <c r="O269" s="77">
        <f t="shared" si="30"/>
        <v>0.1649426622314086</v>
      </c>
      <c r="P269" s="39">
        <f t="shared" si="31"/>
        <v>0.16128464756245364</v>
      </c>
    </row>
    <row r="270" spans="1:16" x14ac:dyDescent="0.3">
      <c r="A270" s="17">
        <v>40393</v>
      </c>
      <c r="B270" s="13">
        <v>23440</v>
      </c>
      <c r="C270" s="13">
        <v>52360</v>
      </c>
      <c r="D270" s="14">
        <v>1790.6</v>
      </c>
      <c r="E270" s="28">
        <f t="shared" si="25"/>
        <v>3.424657534246478E-3</v>
      </c>
      <c r="F270" s="39">
        <f t="shared" si="25"/>
        <v>-1.9062142584826969E-3</v>
      </c>
      <c r="H270" s="64">
        <f t="shared" si="27"/>
        <v>0.9</v>
      </c>
      <c r="I270" s="65">
        <f t="shared" si="28"/>
        <v>1</v>
      </c>
      <c r="J270" s="66">
        <v>1</v>
      </c>
      <c r="K270" s="65">
        <f t="shared" si="26"/>
        <v>0</v>
      </c>
      <c r="L270" s="28">
        <f t="shared" si="29"/>
        <v>1.454940282301842E-2</v>
      </c>
      <c r="M270" s="71">
        <f t="shared" si="32"/>
        <v>3.424657534246478E-3</v>
      </c>
      <c r="N270" s="51">
        <v>40393</v>
      </c>
      <c r="O270" s="77">
        <f t="shared" si="30"/>
        <v>0.16836731976565508</v>
      </c>
      <c r="P270" s="39">
        <f t="shared" si="31"/>
        <v>0.16671227699805824</v>
      </c>
    </row>
    <row r="271" spans="1:16" x14ac:dyDescent="0.3">
      <c r="A271" s="18">
        <v>40394</v>
      </c>
      <c r="B271" s="15">
        <v>23420</v>
      </c>
      <c r="C271" s="15">
        <v>52410</v>
      </c>
      <c r="D271" s="16">
        <v>1789.26</v>
      </c>
      <c r="E271" s="28">
        <f t="shared" si="25"/>
        <v>-8.5324232081906981E-4</v>
      </c>
      <c r="F271" s="39">
        <f t="shared" si="25"/>
        <v>9.5492742551561705E-4</v>
      </c>
      <c r="H271" s="64">
        <f t="shared" si="27"/>
        <v>0.9</v>
      </c>
      <c r="I271" s="65">
        <f t="shared" si="28"/>
        <v>1</v>
      </c>
      <c r="J271" s="66">
        <v>1</v>
      </c>
      <c r="K271" s="65">
        <f t="shared" si="26"/>
        <v>0</v>
      </c>
      <c r="L271" s="28">
        <f t="shared" si="29"/>
        <v>3.424657534246478E-3</v>
      </c>
      <c r="M271" s="71">
        <f t="shared" si="32"/>
        <v>-8.5324232081906981E-4</v>
      </c>
      <c r="N271" s="50">
        <v>40394</v>
      </c>
      <c r="O271" s="77">
        <f t="shared" si="30"/>
        <v>0.16751407744483601</v>
      </c>
      <c r="P271" s="39">
        <f t="shared" si="31"/>
        <v>0.16583916493998974</v>
      </c>
    </row>
    <row r="272" spans="1:16" x14ac:dyDescent="0.3">
      <c r="A272" s="17">
        <v>40395</v>
      </c>
      <c r="B272" s="13">
        <v>23350</v>
      </c>
      <c r="C272" s="13">
        <v>52360</v>
      </c>
      <c r="D272" s="14">
        <v>1783.86</v>
      </c>
      <c r="E272" s="28">
        <f t="shared" si="25"/>
        <v>-2.9888983774551958E-3</v>
      </c>
      <c r="F272" s="39">
        <f t="shared" si="25"/>
        <v>-9.5401640908221452E-4</v>
      </c>
      <c r="H272" s="64">
        <f t="shared" si="27"/>
        <v>0.9</v>
      </c>
      <c r="I272" s="65">
        <f t="shared" si="28"/>
        <v>1</v>
      </c>
      <c r="J272" s="66">
        <v>0.9</v>
      </c>
      <c r="K272" s="65">
        <f t="shared" si="26"/>
        <v>9.9999999999999978E-2</v>
      </c>
      <c r="L272" s="28">
        <f t="shared" si="29"/>
        <v>-6.7242534618560117E-4</v>
      </c>
      <c r="M272" s="71">
        <f t="shared" si="32"/>
        <v>-2.7854101806178981E-3</v>
      </c>
      <c r="N272" s="51">
        <v>40395</v>
      </c>
      <c r="O272" s="77">
        <f t="shared" si="30"/>
        <v>0.16472866726421811</v>
      </c>
      <c r="P272" s="39">
        <f t="shared" si="31"/>
        <v>0.16232065366120629</v>
      </c>
    </row>
    <row r="273" spans="1:16" x14ac:dyDescent="0.3">
      <c r="A273" s="17">
        <v>40396</v>
      </c>
      <c r="B273" s="13">
        <v>23350</v>
      </c>
      <c r="C273" s="13">
        <v>52330</v>
      </c>
      <c r="D273" s="14">
        <v>1783.83</v>
      </c>
      <c r="E273" s="28">
        <f t="shared" ref="E273:F336" si="33">B273/B272-1</f>
        <v>0</v>
      </c>
      <c r="F273" s="39">
        <f t="shared" si="33"/>
        <v>-5.7295645530941464E-4</v>
      </c>
      <c r="H273" s="64">
        <f t="shared" si="27"/>
        <v>0.9</v>
      </c>
      <c r="I273" s="65">
        <f t="shared" si="28"/>
        <v>1</v>
      </c>
      <c r="J273" s="66">
        <v>0.9</v>
      </c>
      <c r="K273" s="65">
        <f t="shared" ref="K273:K336" si="34">1-J273</f>
        <v>9.9999999999999978E-2</v>
      </c>
      <c r="L273" s="28">
        <f t="shared" si="29"/>
        <v>-2.7854101806178981E-3</v>
      </c>
      <c r="M273" s="71">
        <f t="shared" si="32"/>
        <v>-5.7295645530941451E-5</v>
      </c>
      <c r="N273" s="51">
        <v>40396</v>
      </c>
      <c r="O273" s="77">
        <f t="shared" si="30"/>
        <v>0.16467137161868717</v>
      </c>
      <c r="P273" s="39">
        <f t="shared" si="31"/>
        <v>0.16230110637632422</v>
      </c>
    </row>
    <row r="274" spans="1:16" x14ac:dyDescent="0.3">
      <c r="A274" s="18">
        <v>40399</v>
      </c>
      <c r="B274" s="15">
        <v>23410</v>
      </c>
      <c r="C274" s="15">
        <v>52315</v>
      </c>
      <c r="D274" s="70">
        <v>1790.17</v>
      </c>
      <c r="E274" s="71">
        <f t="shared" si="33"/>
        <v>2.5695931477516254E-3</v>
      </c>
      <c r="F274" s="39">
        <f t="shared" si="33"/>
        <v>-2.8664246130327697E-4</v>
      </c>
      <c r="H274" s="64">
        <f t="shared" ref="H274:H337" si="35">IF($D273&lt;=1850,0.9,IF(AND($D273&lt;=1900,$D273&gt;1850),0.7,IF(AND($D273&lt;=1950,$D273&gt;1900),0.5,IF(AND($D273&lt;=2000,$D273&gt;1950),0.3,IF($D273&gt;2000,0.2,0)))))</f>
        <v>0.9</v>
      </c>
      <c r="I274" s="65">
        <f t="shared" ref="I274:I337" si="36">IF($D273&lt;=1850,1,IF(AND($D273&lt;=1900,$D273&gt;1850),0.9,IF(AND($D273&lt;=1950,$D273&gt;1900),0.7,IF(AND($D273&lt;=2000,$D273&gt;1950),0.5,IF($D273&gt;2000,0.3,0)))))</f>
        <v>1</v>
      </c>
      <c r="J274" s="66">
        <v>1</v>
      </c>
      <c r="K274" s="65">
        <f t="shared" si="34"/>
        <v>0</v>
      </c>
      <c r="L274" s="28">
        <f t="shared" ref="L274:L337" si="37">E273*J274+F273*K274</f>
        <v>0</v>
      </c>
      <c r="M274" s="71">
        <f t="shared" si="32"/>
        <v>2.5695931477516254E-3</v>
      </c>
      <c r="N274" s="50">
        <v>40399</v>
      </c>
      <c r="O274" s="77">
        <f t="shared" ref="O274:O337" si="38">O273+M274</f>
        <v>0.16724096476643879</v>
      </c>
      <c r="P274" s="39">
        <f t="shared" ref="P274:P337" si="39">D274/$D$16-1</f>
        <v>0.16643209924808122</v>
      </c>
    </row>
    <row r="275" spans="1:16" x14ac:dyDescent="0.3">
      <c r="A275" s="17">
        <v>40400</v>
      </c>
      <c r="B275" s="13">
        <v>23260</v>
      </c>
      <c r="C275" s="13">
        <v>52305</v>
      </c>
      <c r="D275" s="14">
        <v>1781.13</v>
      </c>
      <c r="E275" s="28">
        <f t="shared" si="33"/>
        <v>-6.4075181546348059E-3</v>
      </c>
      <c r="F275" s="39">
        <f t="shared" si="33"/>
        <v>-1.9114976584155841E-4</v>
      </c>
      <c r="H275" s="64">
        <f t="shared" si="35"/>
        <v>0.9</v>
      </c>
      <c r="I275" s="65">
        <f t="shared" si="36"/>
        <v>1</v>
      </c>
      <c r="J275" s="66">
        <v>1</v>
      </c>
      <c r="K275" s="65">
        <f t="shared" si="34"/>
        <v>0</v>
      </c>
      <c r="L275" s="28">
        <f t="shared" si="37"/>
        <v>2.5695931477516254E-3</v>
      </c>
      <c r="M275" s="71">
        <f t="shared" si="32"/>
        <v>-6.4075181546348059E-3</v>
      </c>
      <c r="N275" s="51">
        <v>40400</v>
      </c>
      <c r="O275" s="77">
        <f t="shared" si="38"/>
        <v>0.16083344661180399</v>
      </c>
      <c r="P275" s="39">
        <f t="shared" si="39"/>
        <v>0.16054185073693272</v>
      </c>
    </row>
    <row r="276" spans="1:16" x14ac:dyDescent="0.3">
      <c r="A276" s="18">
        <v>40401</v>
      </c>
      <c r="B276" s="15">
        <v>22940</v>
      </c>
      <c r="C276" s="15">
        <v>52435</v>
      </c>
      <c r="D276" s="16">
        <v>1758.19</v>
      </c>
      <c r="E276" s="28">
        <f t="shared" si="33"/>
        <v>-1.3757523645743786E-2</v>
      </c>
      <c r="F276" s="39">
        <f t="shared" si="33"/>
        <v>2.4854220437817709E-3</v>
      </c>
      <c r="H276" s="64">
        <f t="shared" si="35"/>
        <v>0.9</v>
      </c>
      <c r="I276" s="65">
        <f t="shared" si="36"/>
        <v>1</v>
      </c>
      <c r="J276" s="66">
        <v>0.9</v>
      </c>
      <c r="K276" s="65">
        <f t="shared" si="34"/>
        <v>9.9999999999999978E-2</v>
      </c>
      <c r="L276" s="28">
        <f t="shared" si="37"/>
        <v>-5.7858813157554813E-3</v>
      </c>
      <c r="M276" s="71">
        <f t="shared" ref="M276:M339" si="40">E276*J276+F276*K276</f>
        <v>-1.213322907679123E-2</v>
      </c>
      <c r="N276" s="50">
        <v>40401</v>
      </c>
      <c r="O276" s="77">
        <f t="shared" si="38"/>
        <v>0.14870021753501275</v>
      </c>
      <c r="P276" s="39">
        <f t="shared" si="39"/>
        <v>0.14559469356373067</v>
      </c>
    </row>
    <row r="277" spans="1:16" x14ac:dyDescent="0.3">
      <c r="A277" s="17">
        <v>40402</v>
      </c>
      <c r="B277" s="13">
        <v>22525</v>
      </c>
      <c r="C277" s="13">
        <v>52515</v>
      </c>
      <c r="D277" s="14">
        <v>1721.75</v>
      </c>
      <c r="E277" s="28">
        <f t="shared" si="33"/>
        <v>-1.8090671316477791E-2</v>
      </c>
      <c r="F277" s="39">
        <f t="shared" si="33"/>
        <v>1.5256984838372123E-3</v>
      </c>
      <c r="H277" s="64">
        <f t="shared" si="35"/>
        <v>0.9</v>
      </c>
      <c r="I277" s="65">
        <f t="shared" si="36"/>
        <v>1</v>
      </c>
      <c r="J277" s="66">
        <v>0.9</v>
      </c>
      <c r="K277" s="65">
        <f t="shared" si="34"/>
        <v>9.9999999999999978E-2</v>
      </c>
      <c r="L277" s="28">
        <f t="shared" si="37"/>
        <v>-1.213322907679123E-2</v>
      </c>
      <c r="M277" s="71">
        <f t="shared" si="40"/>
        <v>-1.6129034336446291E-2</v>
      </c>
      <c r="N277" s="51">
        <v>40402</v>
      </c>
      <c r="O277" s="77">
        <f t="shared" si="38"/>
        <v>0.13257118319856645</v>
      </c>
      <c r="P277" s="39">
        <f t="shared" si="39"/>
        <v>0.12185125819357023</v>
      </c>
    </row>
    <row r="278" spans="1:16" x14ac:dyDescent="0.3">
      <c r="A278" s="17">
        <v>40403</v>
      </c>
      <c r="B278" s="13">
        <v>22780</v>
      </c>
      <c r="C278" s="13">
        <v>52540</v>
      </c>
      <c r="D278" s="14">
        <v>1746.24</v>
      </c>
      <c r="E278" s="28">
        <f t="shared" si="33"/>
        <v>1.132075471698113E-2</v>
      </c>
      <c r="F278" s="39">
        <f t="shared" si="33"/>
        <v>4.7605446063037071E-4</v>
      </c>
      <c r="H278" s="64">
        <f t="shared" si="35"/>
        <v>0.9</v>
      </c>
      <c r="I278" s="65">
        <f t="shared" si="36"/>
        <v>1</v>
      </c>
      <c r="J278" s="66">
        <v>0.9</v>
      </c>
      <c r="K278" s="65">
        <f t="shared" si="34"/>
        <v>9.9999999999999978E-2</v>
      </c>
      <c r="L278" s="28">
        <f t="shared" si="37"/>
        <v>-1.6129034336446291E-2</v>
      </c>
      <c r="M278" s="71">
        <f t="shared" si="40"/>
        <v>1.0236284691346053E-2</v>
      </c>
      <c r="N278" s="51">
        <v>40403</v>
      </c>
      <c r="O278" s="77">
        <f t="shared" si="38"/>
        <v>0.1428074678899125</v>
      </c>
      <c r="P278" s="39">
        <f t="shared" si="39"/>
        <v>0.13780835841901551</v>
      </c>
    </row>
    <row r="279" spans="1:16" x14ac:dyDescent="0.3">
      <c r="A279" s="18">
        <v>40406</v>
      </c>
      <c r="B279" s="15">
        <v>22730</v>
      </c>
      <c r="C279" s="15">
        <v>52580</v>
      </c>
      <c r="D279" s="70">
        <v>1743.31</v>
      </c>
      <c r="E279" s="71">
        <f t="shared" si="33"/>
        <v>-2.1949078138717715E-3</v>
      </c>
      <c r="F279" s="39">
        <f t="shared" si="33"/>
        <v>7.6132470498668781E-4</v>
      </c>
      <c r="H279" s="64">
        <f t="shared" si="35"/>
        <v>0.9</v>
      </c>
      <c r="I279" s="65">
        <f t="shared" si="36"/>
        <v>1</v>
      </c>
      <c r="J279" s="66">
        <v>1</v>
      </c>
      <c r="K279" s="65">
        <f t="shared" si="34"/>
        <v>0</v>
      </c>
      <c r="L279" s="28">
        <f t="shared" si="37"/>
        <v>1.132075471698113E-2</v>
      </c>
      <c r="M279" s="71">
        <f t="shared" si="40"/>
        <v>-2.1949078138717715E-3</v>
      </c>
      <c r="N279" s="50">
        <v>40406</v>
      </c>
      <c r="O279" s="77">
        <f t="shared" si="38"/>
        <v>0.14061256007604073</v>
      </c>
      <c r="P279" s="39">
        <f t="shared" si="39"/>
        <v>0.13589924026219413</v>
      </c>
    </row>
    <row r="280" spans="1:16" x14ac:dyDescent="0.3">
      <c r="A280" s="17">
        <v>40407</v>
      </c>
      <c r="B280" s="13">
        <v>22920</v>
      </c>
      <c r="C280" s="13">
        <v>52585</v>
      </c>
      <c r="D280" s="14">
        <v>1755.03</v>
      </c>
      <c r="E280" s="28">
        <f t="shared" si="33"/>
        <v>8.3589969203694547E-3</v>
      </c>
      <c r="F280" s="39">
        <f t="shared" si="33"/>
        <v>9.5093191327499937E-5</v>
      </c>
      <c r="H280" s="64">
        <f t="shared" si="35"/>
        <v>0.9</v>
      </c>
      <c r="I280" s="65">
        <f t="shared" si="36"/>
        <v>1</v>
      </c>
      <c r="J280" s="66">
        <v>0.9</v>
      </c>
      <c r="K280" s="65">
        <f t="shared" si="34"/>
        <v>9.9999999999999978E-2</v>
      </c>
      <c r="L280" s="28">
        <f t="shared" si="37"/>
        <v>-1.8992845619859259E-3</v>
      </c>
      <c r="M280" s="71">
        <f t="shared" si="40"/>
        <v>7.5326065474652596E-3</v>
      </c>
      <c r="N280" s="51">
        <v>40407</v>
      </c>
      <c r="O280" s="77">
        <f t="shared" si="38"/>
        <v>0.14814516662350599</v>
      </c>
      <c r="P280" s="39">
        <f t="shared" si="39"/>
        <v>0.14353571288947964</v>
      </c>
    </row>
    <row r="281" spans="1:16" x14ac:dyDescent="0.3">
      <c r="A281" s="18">
        <v>40408</v>
      </c>
      <c r="B281" s="15">
        <v>22985</v>
      </c>
      <c r="C281" s="15">
        <v>52610</v>
      </c>
      <c r="D281" s="16">
        <v>1761.99</v>
      </c>
      <c r="E281" s="28">
        <f t="shared" si="33"/>
        <v>2.8359511343805099E-3</v>
      </c>
      <c r="F281" s="39">
        <f t="shared" si="33"/>
        <v>4.7542074736139917E-4</v>
      </c>
      <c r="H281" s="64">
        <f t="shared" si="35"/>
        <v>0.9</v>
      </c>
      <c r="I281" s="65">
        <f t="shared" si="36"/>
        <v>1</v>
      </c>
      <c r="J281" s="66">
        <v>1</v>
      </c>
      <c r="K281" s="65">
        <f t="shared" si="34"/>
        <v>0</v>
      </c>
      <c r="L281" s="28">
        <f t="shared" si="37"/>
        <v>8.3589969203694547E-3</v>
      </c>
      <c r="M281" s="71">
        <f t="shared" si="40"/>
        <v>2.8359511343805099E-3</v>
      </c>
      <c r="N281" s="50">
        <v>40408</v>
      </c>
      <c r="O281" s="77">
        <f t="shared" si="38"/>
        <v>0.1509811177578865</v>
      </c>
      <c r="P281" s="39">
        <f t="shared" si="39"/>
        <v>0.14807068298213388</v>
      </c>
    </row>
    <row r="282" spans="1:16" x14ac:dyDescent="0.3">
      <c r="A282" s="17">
        <v>40409</v>
      </c>
      <c r="B282" s="13">
        <v>23290</v>
      </c>
      <c r="C282" s="13">
        <v>52705</v>
      </c>
      <c r="D282" s="14">
        <v>1779.64</v>
      </c>
      <c r="E282" s="28">
        <f t="shared" si="33"/>
        <v>1.3269523602349453E-2</v>
      </c>
      <c r="F282" s="39">
        <f t="shared" si="33"/>
        <v>1.8057403535449712E-3</v>
      </c>
      <c r="H282" s="64">
        <f t="shared" si="35"/>
        <v>0.9</v>
      </c>
      <c r="I282" s="65">
        <f t="shared" si="36"/>
        <v>1</v>
      </c>
      <c r="J282" s="66">
        <v>1</v>
      </c>
      <c r="K282" s="65">
        <f t="shared" si="34"/>
        <v>0</v>
      </c>
      <c r="L282" s="28">
        <f t="shared" si="37"/>
        <v>2.8359511343805099E-3</v>
      </c>
      <c r="M282" s="71">
        <f t="shared" si="40"/>
        <v>1.3269523602349453E-2</v>
      </c>
      <c r="N282" s="51">
        <v>40409</v>
      </c>
      <c r="O282" s="77">
        <f t="shared" si="38"/>
        <v>0.16425064136023595</v>
      </c>
      <c r="P282" s="39">
        <f t="shared" si="39"/>
        <v>0.15957100225445364</v>
      </c>
    </row>
    <row r="283" spans="1:16" x14ac:dyDescent="0.3">
      <c r="A283" s="17">
        <v>40410</v>
      </c>
      <c r="B283" s="13">
        <v>23190</v>
      </c>
      <c r="C283" s="13">
        <v>52775</v>
      </c>
      <c r="D283" s="14">
        <v>1775.54</v>
      </c>
      <c r="E283" s="28">
        <f t="shared" si="33"/>
        <v>-4.293688278230956E-3</v>
      </c>
      <c r="F283" s="39">
        <f t="shared" si="33"/>
        <v>1.3281472346076129E-3</v>
      </c>
      <c r="H283" s="64">
        <f t="shared" si="35"/>
        <v>0.9</v>
      </c>
      <c r="I283" s="65">
        <f t="shared" si="36"/>
        <v>1</v>
      </c>
      <c r="J283" s="66">
        <v>1</v>
      </c>
      <c r="K283" s="65">
        <f t="shared" si="34"/>
        <v>0</v>
      </c>
      <c r="L283" s="28">
        <f t="shared" si="37"/>
        <v>1.3269523602349453E-2</v>
      </c>
      <c r="M283" s="71">
        <f t="shared" si="40"/>
        <v>-4.293688278230956E-3</v>
      </c>
      <c r="N283" s="51">
        <v>40410</v>
      </c>
      <c r="O283" s="77">
        <f t="shared" si="38"/>
        <v>0.159956953082005</v>
      </c>
      <c r="P283" s="39">
        <f t="shared" si="39"/>
        <v>0.15689953998722905</v>
      </c>
    </row>
    <row r="284" spans="1:16" x14ac:dyDescent="0.3">
      <c r="A284" s="18">
        <v>40413</v>
      </c>
      <c r="B284" s="15">
        <v>23160</v>
      </c>
      <c r="C284" s="15">
        <v>52815</v>
      </c>
      <c r="D284" s="70">
        <v>1767.71</v>
      </c>
      <c r="E284" s="71">
        <f t="shared" si="33"/>
        <v>-1.2936610608020871E-3</v>
      </c>
      <c r="F284" s="39">
        <f t="shared" si="33"/>
        <v>7.5793462813833479E-4</v>
      </c>
      <c r="H284" s="64">
        <f t="shared" si="35"/>
        <v>0.9</v>
      </c>
      <c r="I284" s="65">
        <f t="shared" si="36"/>
        <v>1</v>
      </c>
      <c r="J284" s="66">
        <v>0.9</v>
      </c>
      <c r="K284" s="65">
        <f t="shared" si="34"/>
        <v>9.9999999999999978E-2</v>
      </c>
      <c r="L284" s="28">
        <f t="shared" si="37"/>
        <v>-3.7315047269470994E-3</v>
      </c>
      <c r="M284" s="71">
        <f t="shared" si="40"/>
        <v>-1.0885014919080449E-3</v>
      </c>
      <c r="N284" s="50">
        <v>40413</v>
      </c>
      <c r="O284" s="77">
        <f t="shared" si="38"/>
        <v>0.15886845159009697</v>
      </c>
      <c r="P284" s="39">
        <f t="shared" si="39"/>
        <v>0.15179769863299319</v>
      </c>
    </row>
    <row r="285" spans="1:16" x14ac:dyDescent="0.3">
      <c r="A285" s="17">
        <v>40414</v>
      </c>
      <c r="B285" s="13">
        <v>23025</v>
      </c>
      <c r="C285" s="13">
        <v>52905</v>
      </c>
      <c r="D285" s="14">
        <v>1760.53</v>
      </c>
      <c r="E285" s="28">
        <f t="shared" si="33"/>
        <v>-5.8290155440414715E-3</v>
      </c>
      <c r="F285" s="39">
        <f t="shared" si="33"/>
        <v>1.7040613462084853E-3</v>
      </c>
      <c r="H285" s="64">
        <f t="shared" si="35"/>
        <v>0.9</v>
      </c>
      <c r="I285" s="65">
        <f t="shared" si="36"/>
        <v>1</v>
      </c>
      <c r="J285" s="66">
        <v>0.9</v>
      </c>
      <c r="K285" s="65">
        <f t="shared" si="34"/>
        <v>9.9999999999999978E-2</v>
      </c>
      <c r="L285" s="28">
        <f t="shared" si="37"/>
        <v>-1.0885014919080449E-3</v>
      </c>
      <c r="M285" s="71">
        <f t="shared" si="40"/>
        <v>-5.0757078550164756E-3</v>
      </c>
      <c r="N285" s="51">
        <v>40414</v>
      </c>
      <c r="O285" s="77">
        <f t="shared" si="38"/>
        <v>0.15379274373508048</v>
      </c>
      <c r="P285" s="39">
        <f t="shared" si="39"/>
        <v>0.14711938178453687</v>
      </c>
    </row>
    <row r="286" spans="1:16" x14ac:dyDescent="0.3">
      <c r="A286" s="18">
        <v>40415</v>
      </c>
      <c r="B286" s="15">
        <v>22680</v>
      </c>
      <c r="C286" s="15">
        <v>52880</v>
      </c>
      <c r="D286" s="16">
        <v>1734.79</v>
      </c>
      <c r="E286" s="28">
        <f t="shared" si="33"/>
        <v>-1.4983713355048889E-2</v>
      </c>
      <c r="F286" s="39">
        <f t="shared" si="33"/>
        <v>-4.7254512805972038E-4</v>
      </c>
      <c r="H286" s="64">
        <f t="shared" si="35"/>
        <v>0.9</v>
      </c>
      <c r="I286" s="65">
        <f t="shared" si="36"/>
        <v>1</v>
      </c>
      <c r="J286" s="66">
        <v>0.9</v>
      </c>
      <c r="K286" s="65">
        <f t="shared" si="34"/>
        <v>9.9999999999999978E-2</v>
      </c>
      <c r="L286" s="28">
        <f t="shared" si="37"/>
        <v>-5.0757078550164756E-3</v>
      </c>
      <c r="M286" s="71">
        <f t="shared" si="40"/>
        <v>-1.3532596532349972E-2</v>
      </c>
      <c r="N286" s="50">
        <v>40415</v>
      </c>
      <c r="O286" s="77">
        <f t="shared" si="38"/>
        <v>0.1402601472027305</v>
      </c>
      <c r="P286" s="39">
        <f t="shared" si="39"/>
        <v>0.13034781135566931</v>
      </c>
    </row>
    <row r="287" spans="1:16" x14ac:dyDescent="0.3">
      <c r="A287" s="17">
        <v>40416</v>
      </c>
      <c r="B287" s="13">
        <v>22625</v>
      </c>
      <c r="C287" s="13">
        <v>52995</v>
      </c>
      <c r="D287" s="14">
        <v>1729.76</v>
      </c>
      <c r="E287" s="28">
        <f t="shared" si="33"/>
        <v>-2.4250440917107374E-3</v>
      </c>
      <c r="F287" s="39">
        <f t="shared" si="33"/>
        <v>2.1747352496217509E-3</v>
      </c>
      <c r="H287" s="64">
        <f t="shared" si="35"/>
        <v>0.9</v>
      </c>
      <c r="I287" s="65">
        <f t="shared" si="36"/>
        <v>1</v>
      </c>
      <c r="J287" s="66">
        <v>0.9</v>
      </c>
      <c r="K287" s="65">
        <f t="shared" si="34"/>
        <v>9.9999999999999978E-2</v>
      </c>
      <c r="L287" s="28">
        <f t="shared" si="37"/>
        <v>-1.3532596532349972E-2</v>
      </c>
      <c r="M287" s="71">
        <f t="shared" si="40"/>
        <v>-1.9650661575774889E-3</v>
      </c>
      <c r="N287" s="51">
        <v>40416</v>
      </c>
      <c r="O287" s="77">
        <f t="shared" si="38"/>
        <v>0.13829508104515301</v>
      </c>
      <c r="P287" s="39">
        <f t="shared" si="39"/>
        <v>0.12707038325709896</v>
      </c>
    </row>
    <row r="288" spans="1:16" x14ac:dyDescent="0.3">
      <c r="A288" s="17">
        <v>40417</v>
      </c>
      <c r="B288" s="13">
        <v>22640</v>
      </c>
      <c r="C288" s="13">
        <v>52995</v>
      </c>
      <c r="D288" s="14">
        <v>1729.56</v>
      </c>
      <c r="E288" s="28">
        <f t="shared" si="33"/>
        <v>6.6298342541437627E-4</v>
      </c>
      <c r="F288" s="39">
        <f t="shared" si="33"/>
        <v>0</v>
      </c>
      <c r="H288" s="64">
        <f t="shared" si="35"/>
        <v>0.9</v>
      </c>
      <c r="I288" s="65">
        <f t="shared" si="36"/>
        <v>1</v>
      </c>
      <c r="J288" s="66">
        <v>0.9</v>
      </c>
      <c r="K288" s="65">
        <f t="shared" si="34"/>
        <v>9.9999999999999978E-2</v>
      </c>
      <c r="L288" s="28">
        <f t="shared" si="37"/>
        <v>-1.9650661575774889E-3</v>
      </c>
      <c r="M288" s="71">
        <f t="shared" si="40"/>
        <v>5.9668508287293867E-4</v>
      </c>
      <c r="N288" s="51">
        <v>40417</v>
      </c>
      <c r="O288" s="77">
        <f t="shared" si="38"/>
        <v>0.13889176612802595</v>
      </c>
      <c r="P288" s="39">
        <f t="shared" si="39"/>
        <v>0.12694006802455138</v>
      </c>
    </row>
    <row r="289" spans="1:16" x14ac:dyDescent="0.3">
      <c r="A289" s="18">
        <v>40420</v>
      </c>
      <c r="B289" s="15">
        <v>23035</v>
      </c>
      <c r="C289" s="15">
        <v>52965</v>
      </c>
      <c r="D289" s="70">
        <v>1760.13</v>
      </c>
      <c r="E289" s="71">
        <f t="shared" si="33"/>
        <v>1.7446996466430997E-2</v>
      </c>
      <c r="F289" s="39">
        <f t="shared" si="33"/>
        <v>-5.660911406736302E-4</v>
      </c>
      <c r="H289" s="64">
        <f t="shared" si="35"/>
        <v>0.9</v>
      </c>
      <c r="I289" s="65">
        <f t="shared" si="36"/>
        <v>1</v>
      </c>
      <c r="J289" s="66">
        <v>1</v>
      </c>
      <c r="K289" s="65">
        <f t="shared" si="34"/>
        <v>0</v>
      </c>
      <c r="L289" s="28">
        <f t="shared" si="37"/>
        <v>6.6298342541437627E-4</v>
      </c>
      <c r="M289" s="71">
        <f t="shared" si="40"/>
        <v>1.7446996466430997E-2</v>
      </c>
      <c r="N289" s="50">
        <v>40420</v>
      </c>
      <c r="O289" s="77">
        <f t="shared" si="38"/>
        <v>0.15633876259445695</v>
      </c>
      <c r="P289" s="39">
        <f t="shared" si="39"/>
        <v>0.1468587513194417</v>
      </c>
    </row>
    <row r="290" spans="1:16" x14ac:dyDescent="0.3">
      <c r="A290" s="17">
        <v>40421</v>
      </c>
      <c r="B290" s="13">
        <v>22815</v>
      </c>
      <c r="C290" s="13">
        <v>53020</v>
      </c>
      <c r="D290" s="14">
        <v>1742.75</v>
      </c>
      <c r="E290" s="28">
        <f t="shared" si="33"/>
        <v>-9.5506837421315272E-3</v>
      </c>
      <c r="F290" s="39">
        <f t="shared" si="33"/>
        <v>1.0384215991692258E-3</v>
      </c>
      <c r="H290" s="64">
        <f t="shared" si="35"/>
        <v>0.9</v>
      </c>
      <c r="I290" s="65">
        <f t="shared" si="36"/>
        <v>1</v>
      </c>
      <c r="J290" s="66">
        <v>1</v>
      </c>
      <c r="K290" s="65">
        <f t="shared" si="34"/>
        <v>0</v>
      </c>
      <c r="L290" s="28">
        <f t="shared" si="37"/>
        <v>1.7446996466430997E-2</v>
      </c>
      <c r="M290" s="71">
        <f t="shared" si="40"/>
        <v>-9.5506837421315272E-3</v>
      </c>
      <c r="N290" s="51">
        <v>40421</v>
      </c>
      <c r="O290" s="77">
        <f t="shared" si="38"/>
        <v>0.14678807885232542</v>
      </c>
      <c r="P290" s="39">
        <f t="shared" si="39"/>
        <v>0.13553435761106125</v>
      </c>
    </row>
    <row r="291" spans="1:16" x14ac:dyDescent="0.3">
      <c r="A291" s="18">
        <v>40422</v>
      </c>
      <c r="B291" s="15">
        <v>23080</v>
      </c>
      <c r="C291" s="15">
        <v>52930</v>
      </c>
      <c r="D291" s="16">
        <v>1764.69</v>
      </c>
      <c r="E291" s="28">
        <f t="shared" si="33"/>
        <v>1.1615165461319243E-2</v>
      </c>
      <c r="F291" s="39">
        <f t="shared" si="33"/>
        <v>-1.6974726518295125E-3</v>
      </c>
      <c r="H291" s="64">
        <f t="shared" si="35"/>
        <v>0.9</v>
      </c>
      <c r="I291" s="65">
        <f t="shared" si="36"/>
        <v>1</v>
      </c>
      <c r="J291" s="66">
        <v>0.9</v>
      </c>
      <c r="K291" s="65">
        <f t="shared" si="34"/>
        <v>9.9999999999999978E-2</v>
      </c>
      <c r="L291" s="28">
        <f t="shared" si="37"/>
        <v>-8.4917732080014522E-3</v>
      </c>
      <c r="M291" s="71">
        <f t="shared" si="40"/>
        <v>1.0283901650004368E-2</v>
      </c>
      <c r="N291" s="50">
        <v>40422</v>
      </c>
      <c r="O291" s="77">
        <f t="shared" si="38"/>
        <v>0.15707198050232979</v>
      </c>
      <c r="P291" s="39">
        <f t="shared" si="39"/>
        <v>0.1498299386215256</v>
      </c>
    </row>
    <row r="292" spans="1:16" x14ac:dyDescent="0.3">
      <c r="A292" s="17">
        <v>40423</v>
      </c>
      <c r="B292" s="13">
        <v>23200</v>
      </c>
      <c r="C292" s="13">
        <v>52960</v>
      </c>
      <c r="D292" s="14">
        <v>1775.73</v>
      </c>
      <c r="E292" s="28">
        <f t="shared" si="33"/>
        <v>5.199306759098743E-3</v>
      </c>
      <c r="F292" s="39">
        <f t="shared" si="33"/>
        <v>5.6678632155682251E-4</v>
      </c>
      <c r="H292" s="64">
        <f t="shared" si="35"/>
        <v>0.9</v>
      </c>
      <c r="I292" s="65">
        <f t="shared" si="36"/>
        <v>1</v>
      </c>
      <c r="J292" s="66">
        <v>1</v>
      </c>
      <c r="K292" s="65">
        <f t="shared" si="34"/>
        <v>0</v>
      </c>
      <c r="L292" s="28">
        <f t="shared" si="37"/>
        <v>1.1615165461319243E-2</v>
      </c>
      <c r="M292" s="71">
        <f t="shared" si="40"/>
        <v>5.199306759098743E-3</v>
      </c>
      <c r="N292" s="51">
        <v>40423</v>
      </c>
      <c r="O292" s="77">
        <f t="shared" si="38"/>
        <v>0.16227128726142853</v>
      </c>
      <c r="P292" s="39">
        <f t="shared" si="39"/>
        <v>0.15702333945814928</v>
      </c>
    </row>
    <row r="293" spans="1:16" x14ac:dyDescent="0.3">
      <c r="A293" s="17">
        <v>40424</v>
      </c>
      <c r="B293" s="13">
        <v>23225</v>
      </c>
      <c r="C293" s="13">
        <v>52900</v>
      </c>
      <c r="D293" s="14">
        <v>1780.02</v>
      </c>
      <c r="E293" s="28">
        <f t="shared" si="33"/>
        <v>1.0775862068965747E-3</v>
      </c>
      <c r="F293" s="39">
        <f t="shared" si="33"/>
        <v>-1.1329305135951984E-3</v>
      </c>
      <c r="H293" s="64">
        <f t="shared" si="35"/>
        <v>0.9</v>
      </c>
      <c r="I293" s="65">
        <f t="shared" si="36"/>
        <v>1</v>
      </c>
      <c r="J293" s="66">
        <v>1</v>
      </c>
      <c r="K293" s="65">
        <f t="shared" si="34"/>
        <v>0</v>
      </c>
      <c r="L293" s="28">
        <f t="shared" si="37"/>
        <v>5.199306759098743E-3</v>
      </c>
      <c r="M293" s="71">
        <f t="shared" si="40"/>
        <v>1.0775862068965747E-3</v>
      </c>
      <c r="N293" s="51">
        <v>40424</v>
      </c>
      <c r="O293" s="77">
        <f t="shared" si="38"/>
        <v>0.16334887346832511</v>
      </c>
      <c r="P293" s="39">
        <f t="shared" si="39"/>
        <v>0.15981860119629387</v>
      </c>
    </row>
    <row r="294" spans="1:16" x14ac:dyDescent="0.3">
      <c r="A294" s="18">
        <v>40427</v>
      </c>
      <c r="B294" s="15">
        <v>23410</v>
      </c>
      <c r="C294" s="15">
        <v>52850</v>
      </c>
      <c r="D294" s="70">
        <v>1792.42</v>
      </c>
      <c r="E294" s="71">
        <f t="shared" si="33"/>
        <v>7.9655543595262834E-3</v>
      </c>
      <c r="F294" s="39">
        <f t="shared" si="33"/>
        <v>-9.4517958412099201E-4</v>
      </c>
      <c r="H294" s="64">
        <f t="shared" si="35"/>
        <v>0.9</v>
      </c>
      <c r="I294" s="65">
        <f t="shared" si="36"/>
        <v>1</v>
      </c>
      <c r="J294" s="66">
        <v>1</v>
      </c>
      <c r="K294" s="65">
        <f t="shared" si="34"/>
        <v>0</v>
      </c>
      <c r="L294" s="28">
        <f t="shared" si="37"/>
        <v>1.0775862068965747E-3</v>
      </c>
      <c r="M294" s="71">
        <f t="shared" si="40"/>
        <v>7.9655543595262834E-3</v>
      </c>
      <c r="N294" s="50">
        <v>40427</v>
      </c>
      <c r="O294" s="77">
        <f t="shared" si="38"/>
        <v>0.17131442782785139</v>
      </c>
      <c r="P294" s="39">
        <f t="shared" si="39"/>
        <v>0.16789814561424099</v>
      </c>
    </row>
    <row r="295" spans="1:16" x14ac:dyDescent="0.3">
      <c r="A295" s="17">
        <v>40428</v>
      </c>
      <c r="B295" s="13">
        <v>23325</v>
      </c>
      <c r="C295" s="13">
        <v>52910</v>
      </c>
      <c r="D295" s="14">
        <v>1787.74</v>
      </c>
      <c r="E295" s="28">
        <f t="shared" si="33"/>
        <v>-3.6309269542930123E-3</v>
      </c>
      <c r="F295" s="39">
        <f t="shared" si="33"/>
        <v>1.1352885525071077E-3</v>
      </c>
      <c r="H295" s="64">
        <f t="shared" si="35"/>
        <v>0.9</v>
      </c>
      <c r="I295" s="65">
        <f t="shared" si="36"/>
        <v>1</v>
      </c>
      <c r="J295" s="66">
        <v>1</v>
      </c>
      <c r="K295" s="65">
        <f t="shared" si="34"/>
        <v>0</v>
      </c>
      <c r="L295" s="28">
        <f t="shared" si="37"/>
        <v>7.9655543595262834E-3</v>
      </c>
      <c r="M295" s="71">
        <f t="shared" si="40"/>
        <v>-3.6309269542930123E-3</v>
      </c>
      <c r="N295" s="51">
        <v>40428</v>
      </c>
      <c r="O295" s="77">
        <f t="shared" si="38"/>
        <v>0.16768350087355838</v>
      </c>
      <c r="P295" s="39">
        <f t="shared" si="39"/>
        <v>0.16484876917262858</v>
      </c>
    </row>
    <row r="296" spans="1:16" x14ac:dyDescent="0.3">
      <c r="A296" s="18">
        <v>40429</v>
      </c>
      <c r="B296" s="15">
        <v>23185</v>
      </c>
      <c r="C296" s="15">
        <v>52975</v>
      </c>
      <c r="D296" s="16">
        <v>1779.22</v>
      </c>
      <c r="E296" s="28">
        <f t="shared" si="33"/>
        <v>-6.0021436227224445E-3</v>
      </c>
      <c r="F296" s="39">
        <f t="shared" si="33"/>
        <v>1.2285012285011554E-3</v>
      </c>
      <c r="H296" s="64">
        <f t="shared" si="35"/>
        <v>0.9</v>
      </c>
      <c r="I296" s="65">
        <f t="shared" si="36"/>
        <v>1</v>
      </c>
      <c r="J296" s="66">
        <v>0.9</v>
      </c>
      <c r="K296" s="65">
        <f t="shared" si="34"/>
        <v>9.9999999999999978E-2</v>
      </c>
      <c r="L296" s="28">
        <f t="shared" si="37"/>
        <v>-3.1543054036130003E-3</v>
      </c>
      <c r="M296" s="71">
        <f t="shared" si="40"/>
        <v>-5.2790791376000849E-3</v>
      </c>
      <c r="N296" s="50">
        <v>40429</v>
      </c>
      <c r="O296" s="77">
        <f t="shared" si="38"/>
        <v>0.16240442173595829</v>
      </c>
      <c r="P296" s="39">
        <f t="shared" si="39"/>
        <v>0.15929734026610376</v>
      </c>
    </row>
    <row r="297" spans="1:16" x14ac:dyDescent="0.3">
      <c r="A297" s="17">
        <v>40430</v>
      </c>
      <c r="B297" s="13">
        <v>23305</v>
      </c>
      <c r="C297" s="13">
        <v>53245</v>
      </c>
      <c r="D297" s="14">
        <v>1784.36</v>
      </c>
      <c r="E297" s="28">
        <f t="shared" si="33"/>
        <v>5.1757601897779448E-3</v>
      </c>
      <c r="F297" s="39">
        <f t="shared" si="33"/>
        <v>5.0967437470506027E-3</v>
      </c>
      <c r="H297" s="64">
        <f t="shared" si="35"/>
        <v>0.9</v>
      </c>
      <c r="I297" s="65">
        <f t="shared" si="36"/>
        <v>1</v>
      </c>
      <c r="J297" s="66">
        <v>0.9</v>
      </c>
      <c r="K297" s="65">
        <f t="shared" si="34"/>
        <v>9.9999999999999978E-2</v>
      </c>
      <c r="L297" s="28">
        <f t="shared" si="37"/>
        <v>-5.2790791376000849E-3</v>
      </c>
      <c r="M297" s="71">
        <f t="shared" si="40"/>
        <v>5.1678585455052104E-3</v>
      </c>
      <c r="N297" s="51">
        <v>40430</v>
      </c>
      <c r="O297" s="77">
        <f t="shared" si="38"/>
        <v>0.16757228028146351</v>
      </c>
      <c r="P297" s="39">
        <f t="shared" si="39"/>
        <v>0.16264644174257525</v>
      </c>
    </row>
    <row r="298" spans="1:16" x14ac:dyDescent="0.3">
      <c r="A298" s="17">
        <v>40431</v>
      </c>
      <c r="B298" s="13">
        <v>23510</v>
      </c>
      <c r="C298" s="13">
        <v>53240</v>
      </c>
      <c r="D298" s="14">
        <v>1802.58</v>
      </c>
      <c r="E298" s="28">
        <f t="shared" si="33"/>
        <v>8.7963956232568474E-3</v>
      </c>
      <c r="F298" s="39">
        <f t="shared" si="33"/>
        <v>-9.3905531035831658E-5</v>
      </c>
      <c r="H298" s="64">
        <f t="shared" si="35"/>
        <v>0.9</v>
      </c>
      <c r="I298" s="65">
        <f t="shared" si="36"/>
        <v>1</v>
      </c>
      <c r="J298" s="66">
        <v>1</v>
      </c>
      <c r="K298" s="65">
        <f t="shared" si="34"/>
        <v>0</v>
      </c>
      <c r="L298" s="28">
        <f t="shared" si="37"/>
        <v>5.1757601897779448E-3</v>
      </c>
      <c r="M298" s="71">
        <f t="shared" si="40"/>
        <v>8.7963956232568474E-3</v>
      </c>
      <c r="N298" s="51">
        <v>40431</v>
      </c>
      <c r="O298" s="77">
        <f t="shared" si="38"/>
        <v>0.17636867590472036</v>
      </c>
      <c r="P298" s="39">
        <f t="shared" si="39"/>
        <v>0.17451815942765547</v>
      </c>
    </row>
    <row r="299" spans="1:16" x14ac:dyDescent="0.3">
      <c r="A299" s="18">
        <v>40434</v>
      </c>
      <c r="B299" s="15">
        <v>23745</v>
      </c>
      <c r="C299" s="15">
        <v>52870</v>
      </c>
      <c r="D299" s="70">
        <v>1818.86</v>
      </c>
      <c r="E299" s="71">
        <f t="shared" si="33"/>
        <v>9.9957464908548843E-3</v>
      </c>
      <c r="F299" s="39">
        <f t="shared" si="33"/>
        <v>-6.9496619083395661E-3</v>
      </c>
      <c r="H299" s="64">
        <f t="shared" si="35"/>
        <v>0.9</v>
      </c>
      <c r="I299" s="65">
        <f t="shared" si="36"/>
        <v>1</v>
      </c>
      <c r="J299" s="66">
        <v>1</v>
      </c>
      <c r="K299" s="65">
        <f t="shared" si="34"/>
        <v>0</v>
      </c>
      <c r="L299" s="28">
        <f t="shared" si="37"/>
        <v>8.7963956232568474E-3</v>
      </c>
      <c r="M299" s="71">
        <f t="shared" si="40"/>
        <v>9.9957464908548843E-3</v>
      </c>
      <c r="N299" s="50">
        <v>40434</v>
      </c>
      <c r="O299" s="77">
        <f t="shared" si="38"/>
        <v>0.18636442239557524</v>
      </c>
      <c r="P299" s="39">
        <f t="shared" si="39"/>
        <v>0.18512581935702466</v>
      </c>
    </row>
    <row r="300" spans="1:16" x14ac:dyDescent="0.3">
      <c r="A300" s="17">
        <v>40435</v>
      </c>
      <c r="B300" s="13">
        <v>23715</v>
      </c>
      <c r="C300" s="13">
        <v>52885</v>
      </c>
      <c r="D300" s="14">
        <v>1815.25</v>
      </c>
      <c r="E300" s="28">
        <f t="shared" si="33"/>
        <v>-1.2634238787112562E-3</v>
      </c>
      <c r="F300" s="39">
        <f t="shared" si="33"/>
        <v>2.83714772082444E-4</v>
      </c>
      <c r="H300" s="64">
        <f t="shared" si="35"/>
        <v>0.9</v>
      </c>
      <c r="I300" s="65">
        <f t="shared" si="36"/>
        <v>1</v>
      </c>
      <c r="J300" s="66">
        <v>1</v>
      </c>
      <c r="K300" s="65">
        <f t="shared" si="34"/>
        <v>0</v>
      </c>
      <c r="L300" s="28">
        <f t="shared" si="37"/>
        <v>9.9957464908548843E-3</v>
      </c>
      <c r="M300" s="71">
        <f t="shared" si="40"/>
        <v>-1.2634238787112562E-3</v>
      </c>
      <c r="N300" s="51">
        <v>40435</v>
      </c>
      <c r="O300" s="77">
        <f t="shared" si="38"/>
        <v>0.18510099851686398</v>
      </c>
      <c r="P300" s="39">
        <f t="shared" si="39"/>
        <v>0.18277362940954167</v>
      </c>
    </row>
    <row r="301" spans="1:16" x14ac:dyDescent="0.3">
      <c r="A301" s="18">
        <v>40436</v>
      </c>
      <c r="B301" s="15">
        <v>23780</v>
      </c>
      <c r="C301" s="15">
        <v>52885</v>
      </c>
      <c r="D301" s="16">
        <v>1823.88</v>
      </c>
      <c r="E301" s="28">
        <f t="shared" si="33"/>
        <v>2.7408812987561593E-3</v>
      </c>
      <c r="F301" s="39">
        <f t="shared" si="33"/>
        <v>0</v>
      </c>
      <c r="H301" s="64">
        <f t="shared" si="35"/>
        <v>0.9</v>
      </c>
      <c r="I301" s="65">
        <f t="shared" si="36"/>
        <v>1</v>
      </c>
      <c r="J301" s="66">
        <v>0.9</v>
      </c>
      <c r="K301" s="65">
        <f t="shared" si="34"/>
        <v>9.9999999999999978E-2</v>
      </c>
      <c r="L301" s="28">
        <f t="shared" si="37"/>
        <v>-1.1087100136318861E-3</v>
      </c>
      <c r="M301" s="71">
        <f t="shared" si="40"/>
        <v>2.4667931688805433E-3</v>
      </c>
      <c r="N301" s="50">
        <v>40436</v>
      </c>
      <c r="O301" s="77">
        <f t="shared" si="38"/>
        <v>0.18756779168574453</v>
      </c>
      <c r="P301" s="39">
        <f t="shared" si="39"/>
        <v>0.18839673169396787</v>
      </c>
    </row>
    <row r="302" spans="1:16" x14ac:dyDescent="0.3">
      <c r="A302" s="17">
        <v>40437</v>
      </c>
      <c r="B302" s="13">
        <v>23650</v>
      </c>
      <c r="C302" s="13">
        <v>52910</v>
      </c>
      <c r="D302" s="14">
        <v>1811.85</v>
      </c>
      <c r="E302" s="28">
        <f t="shared" si="33"/>
        <v>-5.466778805719108E-3</v>
      </c>
      <c r="F302" s="39">
        <f t="shared" si="33"/>
        <v>4.7272383473573321E-4</v>
      </c>
      <c r="H302" s="64">
        <f t="shared" si="35"/>
        <v>0.9</v>
      </c>
      <c r="I302" s="65">
        <f t="shared" si="36"/>
        <v>1</v>
      </c>
      <c r="J302" s="66">
        <v>1</v>
      </c>
      <c r="K302" s="65">
        <f t="shared" si="34"/>
        <v>0</v>
      </c>
      <c r="L302" s="28">
        <f t="shared" si="37"/>
        <v>2.7408812987561593E-3</v>
      </c>
      <c r="M302" s="71">
        <f t="shared" si="40"/>
        <v>-5.466778805719108E-3</v>
      </c>
      <c r="N302" s="51">
        <v>40437</v>
      </c>
      <c r="O302" s="77">
        <f t="shared" si="38"/>
        <v>0.18210101288002542</v>
      </c>
      <c r="P302" s="39">
        <f t="shared" si="39"/>
        <v>0.18055827045623363</v>
      </c>
    </row>
    <row r="303" spans="1:16" x14ac:dyDescent="0.3">
      <c r="A303" s="17">
        <v>40438</v>
      </c>
      <c r="B303" s="13">
        <v>23830</v>
      </c>
      <c r="C303" s="13">
        <v>52860</v>
      </c>
      <c r="D303" s="14">
        <v>1827.35</v>
      </c>
      <c r="E303" s="28">
        <f t="shared" si="33"/>
        <v>7.6109936575052828E-3</v>
      </c>
      <c r="F303" s="39">
        <f t="shared" si="33"/>
        <v>-9.4500094500094001E-4</v>
      </c>
      <c r="H303" s="64">
        <f t="shared" si="35"/>
        <v>0.9</v>
      </c>
      <c r="I303" s="65">
        <f t="shared" si="36"/>
        <v>1</v>
      </c>
      <c r="J303" s="66">
        <v>0.9</v>
      </c>
      <c r="K303" s="65">
        <f t="shared" si="34"/>
        <v>9.9999999999999978E-2</v>
      </c>
      <c r="L303" s="28">
        <f t="shared" si="37"/>
        <v>-4.8728285416736244E-3</v>
      </c>
      <c r="M303" s="71">
        <f t="shared" si="40"/>
        <v>6.7553941972546602E-3</v>
      </c>
      <c r="N303" s="51">
        <v>40438</v>
      </c>
      <c r="O303" s="77">
        <f t="shared" si="38"/>
        <v>0.18885640707728008</v>
      </c>
      <c r="P303" s="39">
        <f t="shared" si="39"/>
        <v>0.19065770097866741</v>
      </c>
    </row>
    <row r="304" spans="1:16" x14ac:dyDescent="0.3">
      <c r="A304" s="18">
        <v>40441</v>
      </c>
      <c r="B304" s="15">
        <v>23870</v>
      </c>
      <c r="C304" s="15">
        <v>52825</v>
      </c>
      <c r="D304" s="70">
        <v>1832.63</v>
      </c>
      <c r="E304" s="71">
        <f t="shared" si="33"/>
        <v>1.6785564414603105E-3</v>
      </c>
      <c r="F304" s="39">
        <f t="shared" si="33"/>
        <v>-6.6212637154750009E-4</v>
      </c>
      <c r="H304" s="64">
        <f t="shared" si="35"/>
        <v>0.9</v>
      </c>
      <c r="I304" s="65">
        <f t="shared" si="36"/>
        <v>1</v>
      </c>
      <c r="J304" s="66">
        <v>1</v>
      </c>
      <c r="K304" s="65">
        <f t="shared" si="34"/>
        <v>0</v>
      </c>
      <c r="L304" s="28">
        <f t="shared" si="37"/>
        <v>7.6109936575052828E-3</v>
      </c>
      <c r="M304" s="71">
        <f t="shared" si="40"/>
        <v>1.6785564414603105E-3</v>
      </c>
      <c r="N304" s="50">
        <v>40441</v>
      </c>
      <c r="O304" s="77">
        <f t="shared" si="38"/>
        <v>0.19053496351874039</v>
      </c>
      <c r="P304" s="39">
        <f t="shared" si="39"/>
        <v>0.19409802311792235</v>
      </c>
    </row>
    <row r="305" spans="1:16" x14ac:dyDescent="0.3">
      <c r="A305" s="17">
        <v>40445</v>
      </c>
      <c r="B305" s="13">
        <v>24000</v>
      </c>
      <c r="C305" s="13">
        <v>52935</v>
      </c>
      <c r="D305" s="14">
        <v>1846.6</v>
      </c>
      <c r="E305" s="28">
        <f t="shared" si="33"/>
        <v>5.446166736489344E-3</v>
      </c>
      <c r="F305" s="39">
        <f t="shared" si="33"/>
        <v>2.0823473734028486E-3</v>
      </c>
      <c r="H305" s="64">
        <f t="shared" si="35"/>
        <v>0.9</v>
      </c>
      <c r="I305" s="65">
        <f t="shared" si="36"/>
        <v>1</v>
      </c>
      <c r="J305" s="66">
        <v>1</v>
      </c>
      <c r="K305" s="65">
        <f t="shared" si="34"/>
        <v>0</v>
      </c>
      <c r="L305" s="28">
        <f t="shared" si="37"/>
        <v>1.6785564414603105E-3</v>
      </c>
      <c r="M305" s="71">
        <f t="shared" si="40"/>
        <v>5.446166736489344E-3</v>
      </c>
      <c r="N305" s="51">
        <v>40445</v>
      </c>
      <c r="O305" s="77">
        <f t="shared" si="38"/>
        <v>0.19598113025522973</v>
      </c>
      <c r="P305" s="39">
        <f t="shared" si="39"/>
        <v>0.2032005421113674</v>
      </c>
    </row>
    <row r="306" spans="1:16" x14ac:dyDescent="0.3">
      <c r="A306" s="18">
        <v>40448</v>
      </c>
      <c r="B306" s="15">
        <v>24235</v>
      </c>
      <c r="C306" s="15">
        <v>53015</v>
      </c>
      <c r="D306" s="16">
        <v>1860.83</v>
      </c>
      <c r="E306" s="28">
        <f t="shared" si="33"/>
        <v>9.791666666666643E-3</v>
      </c>
      <c r="F306" s="39">
        <f t="shared" si="33"/>
        <v>1.5112874279776811E-3</v>
      </c>
      <c r="H306" s="64">
        <f t="shared" si="35"/>
        <v>0.9</v>
      </c>
      <c r="I306" s="65">
        <f t="shared" si="36"/>
        <v>1</v>
      </c>
      <c r="J306" s="66">
        <v>1</v>
      </c>
      <c r="K306" s="65">
        <f t="shared" si="34"/>
        <v>0</v>
      </c>
      <c r="L306" s="28">
        <f t="shared" si="37"/>
        <v>5.446166736489344E-3</v>
      </c>
      <c r="M306" s="71">
        <f t="shared" si="40"/>
        <v>9.791666666666643E-3</v>
      </c>
      <c r="N306" s="50">
        <v>40448</v>
      </c>
      <c r="O306" s="77">
        <f t="shared" si="38"/>
        <v>0.20577279692189637</v>
      </c>
      <c r="P306" s="39">
        <f t="shared" si="39"/>
        <v>0.21247247090712418</v>
      </c>
    </row>
    <row r="307" spans="1:16" x14ac:dyDescent="0.3">
      <c r="A307" s="17">
        <v>40449</v>
      </c>
      <c r="B307" s="13">
        <v>24185</v>
      </c>
      <c r="C307" s="13">
        <v>53050</v>
      </c>
      <c r="D307" s="14">
        <v>1855.97</v>
      </c>
      <c r="E307" s="28">
        <f t="shared" si="33"/>
        <v>-2.06313183412421E-3</v>
      </c>
      <c r="F307" s="39">
        <f t="shared" si="33"/>
        <v>6.6019051211929636E-4</v>
      </c>
      <c r="H307" s="64">
        <f t="shared" si="35"/>
        <v>0.7</v>
      </c>
      <c r="I307" s="65">
        <f t="shared" si="36"/>
        <v>0.9</v>
      </c>
      <c r="J307" s="66">
        <v>0.9</v>
      </c>
      <c r="K307" s="65">
        <f t="shared" si="34"/>
        <v>9.9999999999999978E-2</v>
      </c>
      <c r="L307" s="28">
        <f t="shared" si="37"/>
        <v>8.9636287427977464E-3</v>
      </c>
      <c r="M307" s="71">
        <f t="shared" si="40"/>
        <v>-1.7907995994998593E-3</v>
      </c>
      <c r="N307" s="51">
        <v>40449</v>
      </c>
      <c r="O307" s="77">
        <f t="shared" si="38"/>
        <v>0.20398199732239652</v>
      </c>
      <c r="P307" s="39">
        <f t="shared" si="39"/>
        <v>0.20930581075621935</v>
      </c>
    </row>
    <row r="308" spans="1:16" x14ac:dyDescent="0.3">
      <c r="A308" s="17">
        <v>40450</v>
      </c>
      <c r="B308" s="13">
        <v>24340</v>
      </c>
      <c r="C308" s="13">
        <v>53120</v>
      </c>
      <c r="D308" s="14">
        <v>1866.45</v>
      </c>
      <c r="E308" s="28">
        <f t="shared" si="33"/>
        <v>6.4089311556749795E-3</v>
      </c>
      <c r="F308" s="39">
        <f t="shared" si="33"/>
        <v>1.3195098963241225E-3</v>
      </c>
      <c r="H308" s="64">
        <f t="shared" si="35"/>
        <v>0.7</v>
      </c>
      <c r="I308" s="65">
        <f t="shared" si="36"/>
        <v>0.9</v>
      </c>
      <c r="J308" s="66">
        <v>0.7</v>
      </c>
      <c r="K308" s="65">
        <f t="shared" si="34"/>
        <v>0.30000000000000004</v>
      </c>
      <c r="L308" s="28">
        <f t="shared" si="37"/>
        <v>-1.2461351302511579E-3</v>
      </c>
      <c r="M308" s="71">
        <f t="shared" si="40"/>
        <v>4.8821047778697226E-3</v>
      </c>
      <c r="N308" s="51">
        <v>40450</v>
      </c>
      <c r="O308" s="77">
        <f t="shared" si="38"/>
        <v>0.20886410210026624</v>
      </c>
      <c r="P308" s="39">
        <f t="shared" si="39"/>
        <v>0.21613432894170992</v>
      </c>
    </row>
    <row r="309" spans="1:16" x14ac:dyDescent="0.3">
      <c r="A309" s="18">
        <v>40451</v>
      </c>
      <c r="B309" s="15">
        <v>24360</v>
      </c>
      <c r="C309" s="15">
        <v>53130</v>
      </c>
      <c r="D309" s="70">
        <v>1872.81</v>
      </c>
      <c r="E309" s="71">
        <f t="shared" si="33"/>
        <v>8.2169268693510489E-4</v>
      </c>
      <c r="F309" s="39">
        <f t="shared" si="33"/>
        <v>1.8825301204827838E-4</v>
      </c>
      <c r="H309" s="64">
        <f t="shared" si="35"/>
        <v>0.7</v>
      </c>
      <c r="I309" s="65">
        <f t="shared" si="36"/>
        <v>0.9</v>
      </c>
      <c r="J309" s="66">
        <v>0.9</v>
      </c>
      <c r="K309" s="65">
        <f t="shared" si="34"/>
        <v>9.9999999999999978E-2</v>
      </c>
      <c r="L309" s="28">
        <f t="shared" si="37"/>
        <v>5.8999890297398942E-3</v>
      </c>
      <c r="M309" s="71">
        <f t="shared" si="40"/>
        <v>7.583487194464223E-4</v>
      </c>
      <c r="N309" s="50">
        <v>40451</v>
      </c>
      <c r="O309" s="77">
        <f t="shared" si="38"/>
        <v>0.20962245081971265</v>
      </c>
      <c r="P309" s="39">
        <f t="shared" si="39"/>
        <v>0.22027835333672141</v>
      </c>
    </row>
    <row r="310" spans="1:16" x14ac:dyDescent="0.3">
      <c r="A310" s="17">
        <v>40452</v>
      </c>
      <c r="B310" s="13">
        <v>24445</v>
      </c>
      <c r="C310" s="13">
        <v>53270</v>
      </c>
      <c r="D310" s="14">
        <v>1876.73</v>
      </c>
      <c r="E310" s="28">
        <f t="shared" si="33"/>
        <v>3.4893267651887605E-3</v>
      </c>
      <c r="F310" s="39">
        <f t="shared" si="33"/>
        <v>2.6350461133068936E-3</v>
      </c>
      <c r="H310" s="64">
        <f t="shared" si="35"/>
        <v>0.7</v>
      </c>
      <c r="I310" s="65">
        <f t="shared" si="36"/>
        <v>0.9</v>
      </c>
      <c r="J310" s="66">
        <v>0.9</v>
      </c>
      <c r="K310" s="65">
        <f t="shared" si="34"/>
        <v>9.9999999999999978E-2</v>
      </c>
      <c r="L310" s="28">
        <f t="shared" si="37"/>
        <v>7.583487194464223E-4</v>
      </c>
      <c r="M310" s="71">
        <f t="shared" si="40"/>
        <v>3.4038987000005738E-3</v>
      </c>
      <c r="N310" s="51">
        <v>40452</v>
      </c>
      <c r="O310" s="77">
        <f t="shared" si="38"/>
        <v>0.21302634951971322</v>
      </c>
      <c r="P310" s="39">
        <f t="shared" si="39"/>
        <v>0.22283253189465313</v>
      </c>
    </row>
    <row r="311" spans="1:16" x14ac:dyDescent="0.3">
      <c r="A311" s="18">
        <v>40455</v>
      </c>
      <c r="B311" s="15">
        <v>24475</v>
      </c>
      <c r="C311" s="15">
        <v>53245</v>
      </c>
      <c r="D311" s="16">
        <v>1879.29</v>
      </c>
      <c r="E311" s="28">
        <f t="shared" si="33"/>
        <v>1.227244835344754E-3</v>
      </c>
      <c r="F311" s="39">
        <f t="shared" si="33"/>
        <v>-4.6930730242167318E-4</v>
      </c>
      <c r="H311" s="64">
        <f t="shared" si="35"/>
        <v>0.7</v>
      </c>
      <c r="I311" s="65">
        <f t="shared" si="36"/>
        <v>0.9</v>
      </c>
      <c r="J311" s="66">
        <v>0.9</v>
      </c>
      <c r="K311" s="65">
        <f t="shared" si="34"/>
        <v>9.9999999999999978E-2</v>
      </c>
      <c r="L311" s="28">
        <f t="shared" si="37"/>
        <v>3.4038987000005738E-3</v>
      </c>
      <c r="M311" s="71">
        <f t="shared" si="40"/>
        <v>1.0575896215681115E-3</v>
      </c>
      <c r="N311" s="50">
        <v>40455</v>
      </c>
      <c r="O311" s="77">
        <f t="shared" si="38"/>
        <v>0.21408393914128132</v>
      </c>
      <c r="P311" s="39">
        <f t="shared" si="39"/>
        <v>0.22450056687126163</v>
      </c>
    </row>
    <row r="312" spans="1:16" x14ac:dyDescent="0.3">
      <c r="A312" s="17">
        <v>40456</v>
      </c>
      <c r="B312" s="13">
        <v>24515</v>
      </c>
      <c r="C312" s="13">
        <v>53275</v>
      </c>
      <c r="D312" s="14">
        <v>1878.94</v>
      </c>
      <c r="E312" s="28">
        <f t="shared" si="33"/>
        <v>1.634320735444339E-3</v>
      </c>
      <c r="F312" s="39">
        <f t="shared" si="33"/>
        <v>5.634331862147679E-4</v>
      </c>
      <c r="H312" s="64">
        <f t="shared" si="35"/>
        <v>0.7</v>
      </c>
      <c r="I312" s="65">
        <f t="shared" si="36"/>
        <v>0.9</v>
      </c>
      <c r="J312" s="66">
        <v>0.9</v>
      </c>
      <c r="K312" s="65">
        <f t="shared" si="34"/>
        <v>9.9999999999999978E-2</v>
      </c>
      <c r="L312" s="28">
        <f t="shared" si="37"/>
        <v>1.0575896215681115E-3</v>
      </c>
      <c r="M312" s="71">
        <f t="shared" si="40"/>
        <v>1.527231980521382E-3</v>
      </c>
      <c r="N312" s="51">
        <v>40456</v>
      </c>
      <c r="O312" s="77">
        <f t="shared" si="38"/>
        <v>0.2156111711218027</v>
      </c>
      <c r="P312" s="39">
        <f t="shared" si="39"/>
        <v>0.22427251521430347</v>
      </c>
    </row>
    <row r="313" spans="1:16" x14ac:dyDescent="0.3">
      <c r="A313" s="17">
        <v>40457</v>
      </c>
      <c r="B313" s="13">
        <v>24850</v>
      </c>
      <c r="C313" s="13">
        <v>53255</v>
      </c>
      <c r="D313" s="14">
        <v>1903.95</v>
      </c>
      <c r="E313" s="28">
        <f t="shared" si="33"/>
        <v>1.366510299816448E-2</v>
      </c>
      <c r="F313" s="39">
        <f t="shared" si="33"/>
        <v>-3.7541060534962423E-4</v>
      </c>
      <c r="H313" s="64">
        <f t="shared" si="35"/>
        <v>0.7</v>
      </c>
      <c r="I313" s="65">
        <f t="shared" si="36"/>
        <v>0.9</v>
      </c>
      <c r="J313" s="66">
        <v>0.9</v>
      </c>
      <c r="K313" s="65">
        <f t="shared" si="34"/>
        <v>9.9999999999999978E-2</v>
      </c>
      <c r="L313" s="28">
        <f t="shared" si="37"/>
        <v>1.527231980521382E-3</v>
      </c>
      <c r="M313" s="71">
        <f t="shared" si="40"/>
        <v>1.226105163781307E-2</v>
      </c>
      <c r="N313" s="51">
        <v>40457</v>
      </c>
      <c r="O313" s="77">
        <f t="shared" si="38"/>
        <v>0.22787222275961577</v>
      </c>
      <c r="P313" s="39">
        <f t="shared" si="39"/>
        <v>0.24056843504437242</v>
      </c>
    </row>
    <row r="314" spans="1:16" x14ac:dyDescent="0.3">
      <c r="A314" s="18">
        <v>40458</v>
      </c>
      <c r="B314" s="15">
        <v>24810</v>
      </c>
      <c r="C314" s="15">
        <v>53265</v>
      </c>
      <c r="D314" s="70">
        <v>1900.85</v>
      </c>
      <c r="E314" s="71">
        <f t="shared" si="33"/>
        <v>-1.6096579476860828E-3</v>
      </c>
      <c r="F314" s="39">
        <f t="shared" si="33"/>
        <v>1.8777579569984049E-4</v>
      </c>
      <c r="H314" s="64">
        <f t="shared" si="35"/>
        <v>0.5</v>
      </c>
      <c r="I314" s="65">
        <f t="shared" si="36"/>
        <v>0.7</v>
      </c>
      <c r="J314" s="66">
        <v>0.7</v>
      </c>
      <c r="K314" s="65">
        <f t="shared" si="34"/>
        <v>0.30000000000000004</v>
      </c>
      <c r="L314" s="28">
        <f t="shared" si="37"/>
        <v>9.4529489171102481E-3</v>
      </c>
      <c r="M314" s="71">
        <f t="shared" si="40"/>
        <v>-1.0704278246703057E-3</v>
      </c>
      <c r="N314" s="50">
        <v>40458</v>
      </c>
      <c r="O314" s="77">
        <f t="shared" si="38"/>
        <v>0.22680179493494546</v>
      </c>
      <c r="P314" s="39">
        <f t="shared" si="39"/>
        <v>0.23854854893988553</v>
      </c>
    </row>
    <row r="315" spans="1:16" x14ac:dyDescent="0.3">
      <c r="A315" s="17">
        <v>40459</v>
      </c>
      <c r="B315" s="13">
        <v>24720</v>
      </c>
      <c r="C315" s="13">
        <v>53300</v>
      </c>
      <c r="D315" s="14">
        <v>1897.07</v>
      </c>
      <c r="E315" s="28">
        <f t="shared" si="33"/>
        <v>-3.6275695284159193E-3</v>
      </c>
      <c r="F315" s="39">
        <f t="shared" si="33"/>
        <v>6.5709189899565423E-4</v>
      </c>
      <c r="H315" s="64">
        <f t="shared" si="35"/>
        <v>0.5</v>
      </c>
      <c r="I315" s="65">
        <f t="shared" si="36"/>
        <v>0.7</v>
      </c>
      <c r="J315" s="66">
        <v>0.5</v>
      </c>
      <c r="K315" s="65">
        <f t="shared" si="34"/>
        <v>0.5</v>
      </c>
      <c r="L315" s="28">
        <f t="shared" si="37"/>
        <v>-7.1094107599312117E-4</v>
      </c>
      <c r="M315" s="71">
        <f t="shared" si="40"/>
        <v>-1.4852388147101325E-3</v>
      </c>
      <c r="N315" s="51">
        <v>40459</v>
      </c>
      <c r="O315" s="77">
        <f t="shared" si="38"/>
        <v>0.22531655612023532</v>
      </c>
      <c r="P315" s="39">
        <f t="shared" si="39"/>
        <v>0.23608559104473725</v>
      </c>
    </row>
    <row r="316" spans="1:16" x14ac:dyDescent="0.3">
      <c r="A316" s="18">
        <v>40462</v>
      </c>
      <c r="B316" s="15">
        <v>24660</v>
      </c>
      <c r="C316" s="15">
        <v>53285</v>
      </c>
      <c r="D316" s="16">
        <v>1889.91</v>
      </c>
      <c r="E316" s="28">
        <f t="shared" si="33"/>
        <v>-2.4271844660194164E-3</v>
      </c>
      <c r="F316" s="39">
        <f t="shared" si="33"/>
        <v>-2.8142589118196337E-4</v>
      </c>
      <c r="H316" s="64">
        <f t="shared" si="35"/>
        <v>0.7</v>
      </c>
      <c r="I316" s="65">
        <f t="shared" si="36"/>
        <v>0.9</v>
      </c>
      <c r="J316" s="66">
        <v>0.7</v>
      </c>
      <c r="K316" s="65">
        <f t="shared" si="34"/>
        <v>0.30000000000000004</v>
      </c>
      <c r="L316" s="28">
        <f t="shared" si="37"/>
        <v>-2.3421711001924469E-3</v>
      </c>
      <c r="M316" s="71">
        <f t="shared" si="40"/>
        <v>-1.7834568935681803E-3</v>
      </c>
      <c r="N316" s="50">
        <v>40462</v>
      </c>
      <c r="O316" s="77">
        <f t="shared" si="38"/>
        <v>0.22353309922666714</v>
      </c>
      <c r="P316" s="39">
        <f t="shared" si="39"/>
        <v>0.23142030571953565</v>
      </c>
    </row>
    <row r="317" spans="1:16" x14ac:dyDescent="0.3">
      <c r="A317" s="17">
        <v>40463</v>
      </c>
      <c r="B317" s="13">
        <v>24285</v>
      </c>
      <c r="C317" s="13">
        <v>53325</v>
      </c>
      <c r="D317" s="14">
        <v>1868.04</v>
      </c>
      <c r="E317" s="28">
        <f t="shared" si="33"/>
        <v>-1.5206812652068136E-2</v>
      </c>
      <c r="F317" s="39">
        <f t="shared" si="33"/>
        <v>7.5068030402558605E-4</v>
      </c>
      <c r="H317" s="64">
        <f t="shared" si="35"/>
        <v>0.7</v>
      </c>
      <c r="I317" s="65">
        <f t="shared" si="36"/>
        <v>0.9</v>
      </c>
      <c r="J317" s="66">
        <v>0.7</v>
      </c>
      <c r="K317" s="65">
        <f t="shared" si="34"/>
        <v>0.30000000000000004</v>
      </c>
      <c r="L317" s="28">
        <f t="shared" si="37"/>
        <v>-1.7834568935681803E-3</v>
      </c>
      <c r="M317" s="71">
        <f t="shared" si="40"/>
        <v>-1.0419564765240018E-2</v>
      </c>
      <c r="N317" s="51">
        <v>40463</v>
      </c>
      <c r="O317" s="77">
        <f t="shared" si="38"/>
        <v>0.21311353446142711</v>
      </c>
      <c r="P317" s="39">
        <f t="shared" si="39"/>
        <v>0.21717033504046279</v>
      </c>
    </row>
    <row r="318" spans="1:16" x14ac:dyDescent="0.3">
      <c r="A318" s="17">
        <v>40464</v>
      </c>
      <c r="B318" s="13">
        <v>24395</v>
      </c>
      <c r="C318" s="13">
        <v>53290</v>
      </c>
      <c r="D318" s="14">
        <v>1876.15</v>
      </c>
      <c r="E318" s="28">
        <f t="shared" si="33"/>
        <v>4.5295449866171733E-3</v>
      </c>
      <c r="F318" s="39">
        <f t="shared" si="33"/>
        <v>-6.5635255508678103E-4</v>
      </c>
      <c r="H318" s="64">
        <f t="shared" si="35"/>
        <v>0.7</v>
      </c>
      <c r="I318" s="65">
        <f t="shared" si="36"/>
        <v>0.9</v>
      </c>
      <c r="J318" s="66">
        <v>0.7</v>
      </c>
      <c r="K318" s="65">
        <f t="shared" si="34"/>
        <v>0.30000000000000004</v>
      </c>
      <c r="L318" s="28">
        <f t="shared" si="37"/>
        <v>-1.0419564765240018E-2</v>
      </c>
      <c r="M318" s="71">
        <f t="shared" si="40"/>
        <v>2.9737757241059867E-3</v>
      </c>
      <c r="N318" s="51">
        <v>40464</v>
      </c>
      <c r="O318" s="77">
        <f t="shared" si="38"/>
        <v>0.21608731018553309</v>
      </c>
      <c r="P318" s="39">
        <f t="shared" si="39"/>
        <v>0.22245461772026531</v>
      </c>
    </row>
    <row r="319" spans="1:16" x14ac:dyDescent="0.3">
      <c r="A319" s="18">
        <v>40465</v>
      </c>
      <c r="B319" s="15">
        <v>24735</v>
      </c>
      <c r="C319" s="15">
        <v>53530</v>
      </c>
      <c r="D319" s="70">
        <v>1899.76</v>
      </c>
      <c r="E319" s="71">
        <f t="shared" si="33"/>
        <v>1.3937282229965264E-2</v>
      </c>
      <c r="F319" s="39">
        <f t="shared" si="33"/>
        <v>4.5036592231186834E-3</v>
      </c>
      <c r="H319" s="64">
        <f t="shared" si="35"/>
        <v>0.7</v>
      </c>
      <c r="I319" s="65">
        <f t="shared" si="36"/>
        <v>0.9</v>
      </c>
      <c r="J319" s="66">
        <v>0.9</v>
      </c>
      <c r="K319" s="65">
        <f t="shared" si="34"/>
        <v>9.9999999999999978E-2</v>
      </c>
      <c r="L319" s="28">
        <f t="shared" si="37"/>
        <v>4.010955232446778E-3</v>
      </c>
      <c r="M319" s="71">
        <f t="shared" si="40"/>
        <v>1.2993919929280607E-2</v>
      </c>
      <c r="N319" s="50">
        <v>40465</v>
      </c>
      <c r="O319" s="77">
        <f t="shared" si="38"/>
        <v>0.22908123011481371</v>
      </c>
      <c r="P319" s="39">
        <f t="shared" si="39"/>
        <v>0.23783833092250162</v>
      </c>
    </row>
    <row r="320" spans="1:16" x14ac:dyDescent="0.3">
      <c r="A320" s="17">
        <v>40466</v>
      </c>
      <c r="B320" s="13">
        <v>24760</v>
      </c>
      <c r="C320" s="13">
        <v>53615</v>
      </c>
      <c r="D320" s="14">
        <v>1902.29</v>
      </c>
      <c r="E320" s="28">
        <f t="shared" si="33"/>
        <v>1.0107135637760223E-3</v>
      </c>
      <c r="F320" s="39">
        <f t="shared" si="33"/>
        <v>1.5878946385203818E-3</v>
      </c>
      <c r="H320" s="64">
        <f t="shared" si="35"/>
        <v>0.7</v>
      </c>
      <c r="I320" s="65">
        <f t="shared" si="36"/>
        <v>0.9</v>
      </c>
      <c r="J320" s="66">
        <v>0.9</v>
      </c>
      <c r="K320" s="65">
        <f t="shared" si="34"/>
        <v>9.9999999999999978E-2</v>
      </c>
      <c r="L320" s="28">
        <f t="shared" si="37"/>
        <v>1.2993919929280607E-2</v>
      </c>
      <c r="M320" s="71">
        <f t="shared" si="40"/>
        <v>1.0684316712504581E-3</v>
      </c>
      <c r="N320" s="51">
        <v>40466</v>
      </c>
      <c r="O320" s="77">
        <f t="shared" si="38"/>
        <v>0.23014966178606416</v>
      </c>
      <c r="P320" s="39">
        <f t="shared" si="39"/>
        <v>0.23948681861422783</v>
      </c>
    </row>
    <row r="321" spans="1:16" x14ac:dyDescent="0.3">
      <c r="A321" s="18">
        <v>40469</v>
      </c>
      <c r="B321" s="15">
        <v>24420</v>
      </c>
      <c r="C321" s="15">
        <v>53605</v>
      </c>
      <c r="D321" s="16">
        <v>1875.42</v>
      </c>
      <c r="E321" s="28">
        <f t="shared" si="33"/>
        <v>-1.3731825525040375E-2</v>
      </c>
      <c r="F321" s="39">
        <f t="shared" si="33"/>
        <v>-1.8651496782617905E-4</v>
      </c>
      <c r="H321" s="64">
        <f t="shared" si="35"/>
        <v>0.5</v>
      </c>
      <c r="I321" s="65">
        <f t="shared" si="36"/>
        <v>0.7</v>
      </c>
      <c r="J321" s="66">
        <v>0.5</v>
      </c>
      <c r="K321" s="65">
        <f t="shared" si="34"/>
        <v>0.5</v>
      </c>
      <c r="L321" s="28">
        <f t="shared" si="37"/>
        <v>1.2993041011482021E-3</v>
      </c>
      <c r="M321" s="71">
        <f t="shared" si="40"/>
        <v>-6.9591702464332772E-3</v>
      </c>
      <c r="N321" s="50">
        <v>40469</v>
      </c>
      <c r="O321" s="77">
        <f t="shared" si="38"/>
        <v>0.22319049153963089</v>
      </c>
      <c r="P321" s="39">
        <f t="shared" si="39"/>
        <v>0.22197896712146692</v>
      </c>
    </row>
    <row r="322" spans="1:16" x14ac:dyDescent="0.3">
      <c r="A322" s="17">
        <v>40470</v>
      </c>
      <c r="B322" s="13">
        <v>24090</v>
      </c>
      <c r="C322" s="13">
        <v>53475</v>
      </c>
      <c r="D322" s="14">
        <v>1857.32</v>
      </c>
      <c r="E322" s="28">
        <f t="shared" si="33"/>
        <v>-1.3513513513513487E-2</v>
      </c>
      <c r="F322" s="39">
        <f t="shared" si="33"/>
        <v>-2.4251469079377141E-3</v>
      </c>
      <c r="H322" s="64">
        <f t="shared" si="35"/>
        <v>0.7</v>
      </c>
      <c r="I322" s="65">
        <f t="shared" si="36"/>
        <v>0.9</v>
      </c>
      <c r="J322" s="66">
        <v>0.7</v>
      </c>
      <c r="K322" s="65">
        <f t="shared" si="34"/>
        <v>0.30000000000000004</v>
      </c>
      <c r="L322" s="28">
        <f t="shared" si="37"/>
        <v>-9.6682323578761147E-3</v>
      </c>
      <c r="M322" s="71">
        <f t="shared" si="40"/>
        <v>-1.0187003531840754E-2</v>
      </c>
      <c r="N322" s="51">
        <v>40470</v>
      </c>
      <c r="O322" s="77">
        <f t="shared" si="38"/>
        <v>0.21300348800779012</v>
      </c>
      <c r="P322" s="39">
        <f t="shared" si="39"/>
        <v>0.21018543857591498</v>
      </c>
    </row>
    <row r="323" spans="1:16" x14ac:dyDescent="0.3">
      <c r="A323" s="17">
        <v>40471</v>
      </c>
      <c r="B323" s="13">
        <v>24270</v>
      </c>
      <c r="C323" s="13">
        <v>53375</v>
      </c>
      <c r="D323" s="14">
        <v>1870.44</v>
      </c>
      <c r="E323" s="28">
        <f t="shared" si="33"/>
        <v>7.4719800747198306E-3</v>
      </c>
      <c r="F323" s="39">
        <f t="shared" si="33"/>
        <v>-1.8700327255727345E-3</v>
      </c>
      <c r="H323" s="64">
        <f t="shared" si="35"/>
        <v>0.7</v>
      </c>
      <c r="I323" s="65">
        <f t="shared" si="36"/>
        <v>0.9</v>
      </c>
      <c r="J323" s="66">
        <v>0.7</v>
      </c>
      <c r="K323" s="65">
        <f t="shared" si="34"/>
        <v>0.30000000000000004</v>
      </c>
      <c r="L323" s="28">
        <f t="shared" si="37"/>
        <v>-1.0187003531840754E-2</v>
      </c>
      <c r="M323" s="71">
        <f t="shared" si="40"/>
        <v>4.6693762346320606E-3</v>
      </c>
      <c r="N323" s="51">
        <v>40471</v>
      </c>
      <c r="O323" s="77">
        <f t="shared" si="38"/>
        <v>0.21767286424242219</v>
      </c>
      <c r="P323" s="39">
        <f t="shared" si="39"/>
        <v>0.21873411783103336</v>
      </c>
    </row>
    <row r="324" spans="1:16" x14ac:dyDescent="0.3">
      <c r="A324" s="18">
        <v>40472</v>
      </c>
      <c r="B324" s="15">
        <v>24320</v>
      </c>
      <c r="C324" s="15">
        <v>53315</v>
      </c>
      <c r="D324" s="70">
        <v>1874.69</v>
      </c>
      <c r="E324" s="71">
        <f t="shared" si="33"/>
        <v>2.0601565718993964E-3</v>
      </c>
      <c r="F324" s="39">
        <f t="shared" si="33"/>
        <v>-1.1241217798594327E-3</v>
      </c>
      <c r="H324" s="64">
        <f t="shared" si="35"/>
        <v>0.7</v>
      </c>
      <c r="I324" s="65">
        <f t="shared" si="36"/>
        <v>0.9</v>
      </c>
      <c r="J324" s="66">
        <v>0.9</v>
      </c>
      <c r="K324" s="65">
        <f t="shared" si="34"/>
        <v>9.9999999999999978E-2</v>
      </c>
      <c r="L324" s="28">
        <f t="shared" si="37"/>
        <v>6.5377787946905739E-3</v>
      </c>
      <c r="M324" s="71">
        <f t="shared" si="40"/>
        <v>1.7417287367235135E-3</v>
      </c>
      <c r="N324" s="50">
        <v>40472</v>
      </c>
      <c r="O324" s="77">
        <f t="shared" si="38"/>
        <v>0.2194145929791457</v>
      </c>
      <c r="P324" s="39">
        <f t="shared" si="39"/>
        <v>0.2215033165226683</v>
      </c>
    </row>
    <row r="325" spans="1:16" x14ac:dyDescent="0.3">
      <c r="A325" s="17">
        <v>40473</v>
      </c>
      <c r="B325" s="13">
        <v>24610</v>
      </c>
      <c r="C325" s="13">
        <v>53340</v>
      </c>
      <c r="D325" s="14">
        <v>1897.31</v>
      </c>
      <c r="E325" s="28">
        <f t="shared" si="33"/>
        <v>1.1924342105263053E-2</v>
      </c>
      <c r="F325" s="39">
        <f t="shared" si="33"/>
        <v>4.6891118822101063E-4</v>
      </c>
      <c r="H325" s="64">
        <f t="shared" si="35"/>
        <v>0.7</v>
      </c>
      <c r="I325" s="65">
        <f t="shared" si="36"/>
        <v>0.9</v>
      </c>
      <c r="J325" s="66">
        <v>0.9</v>
      </c>
      <c r="K325" s="65">
        <f t="shared" si="34"/>
        <v>9.9999999999999978E-2</v>
      </c>
      <c r="L325" s="28">
        <f t="shared" si="37"/>
        <v>1.7417287367235135E-3</v>
      </c>
      <c r="M325" s="71">
        <f t="shared" si="40"/>
        <v>1.0778799013558849E-2</v>
      </c>
      <c r="N325" s="51">
        <v>40473</v>
      </c>
      <c r="O325" s="77">
        <f t="shared" si="38"/>
        <v>0.23019339199270455</v>
      </c>
      <c r="P325" s="39">
        <f t="shared" si="39"/>
        <v>0.23624196932379427</v>
      </c>
    </row>
    <row r="326" spans="1:16" x14ac:dyDescent="0.3">
      <c r="A326" s="18">
        <v>40476</v>
      </c>
      <c r="B326" s="15">
        <v>24895</v>
      </c>
      <c r="C326" s="15">
        <v>53250</v>
      </c>
      <c r="D326" s="16">
        <v>1915.71</v>
      </c>
      <c r="E326" s="28">
        <f t="shared" si="33"/>
        <v>1.1580658268996347E-2</v>
      </c>
      <c r="F326" s="39">
        <f t="shared" si="33"/>
        <v>-1.6872890888638414E-3</v>
      </c>
      <c r="H326" s="64">
        <f t="shared" si="35"/>
        <v>0.7</v>
      </c>
      <c r="I326" s="65">
        <f t="shared" si="36"/>
        <v>0.9</v>
      </c>
      <c r="J326" s="66">
        <v>0.9</v>
      </c>
      <c r="K326" s="65">
        <f t="shared" si="34"/>
        <v>9.9999999999999978E-2</v>
      </c>
      <c r="L326" s="28">
        <f t="shared" si="37"/>
        <v>1.0778799013558849E-2</v>
      </c>
      <c r="M326" s="71">
        <f t="shared" si="40"/>
        <v>1.0253863533210329E-2</v>
      </c>
      <c r="N326" s="50">
        <v>40476</v>
      </c>
      <c r="O326" s="77">
        <f t="shared" si="38"/>
        <v>0.24044725552591489</v>
      </c>
      <c r="P326" s="39">
        <f t="shared" si="39"/>
        <v>0.24823097071816735</v>
      </c>
    </row>
    <row r="327" spans="1:16" x14ac:dyDescent="0.3">
      <c r="A327" s="17">
        <v>40477</v>
      </c>
      <c r="B327" s="13">
        <v>24900</v>
      </c>
      <c r="C327" s="13">
        <v>53205</v>
      </c>
      <c r="D327" s="14">
        <v>1919.41</v>
      </c>
      <c r="E327" s="28">
        <f t="shared" si="33"/>
        <v>2.0084354288019135E-4</v>
      </c>
      <c r="F327" s="39">
        <f t="shared" si="33"/>
        <v>-8.4507042253523235E-4</v>
      </c>
      <c r="H327" s="64">
        <f t="shared" si="35"/>
        <v>0.5</v>
      </c>
      <c r="I327" s="65">
        <f t="shared" si="36"/>
        <v>0.7</v>
      </c>
      <c r="J327" s="66">
        <v>0.7</v>
      </c>
      <c r="K327" s="65">
        <f t="shared" si="34"/>
        <v>0.30000000000000004</v>
      </c>
      <c r="L327" s="28">
        <f t="shared" si="37"/>
        <v>7.6002740616382897E-3</v>
      </c>
      <c r="M327" s="71">
        <f t="shared" si="40"/>
        <v>-1.129306467444358E-4</v>
      </c>
      <c r="N327" s="51">
        <v>40477</v>
      </c>
      <c r="O327" s="77">
        <f t="shared" si="38"/>
        <v>0.24033432487917045</v>
      </c>
      <c r="P327" s="39">
        <f t="shared" si="39"/>
        <v>0.25064180252029655</v>
      </c>
    </row>
    <row r="328" spans="1:16" x14ac:dyDescent="0.3">
      <c r="A328" s="17">
        <v>40478</v>
      </c>
      <c r="B328" s="13">
        <v>24820</v>
      </c>
      <c r="C328" s="13">
        <v>53150</v>
      </c>
      <c r="D328" s="14">
        <v>1909.54</v>
      </c>
      <c r="E328" s="28">
        <f t="shared" si="33"/>
        <v>-3.2128514056224411E-3</v>
      </c>
      <c r="F328" s="39">
        <f t="shared" si="33"/>
        <v>-1.0337374306925717E-3</v>
      </c>
      <c r="H328" s="64">
        <f t="shared" si="35"/>
        <v>0.5</v>
      </c>
      <c r="I328" s="65">
        <f t="shared" si="36"/>
        <v>0.7</v>
      </c>
      <c r="J328" s="66">
        <v>0.7</v>
      </c>
      <c r="K328" s="65">
        <f t="shared" si="34"/>
        <v>0.30000000000000004</v>
      </c>
      <c r="L328" s="28">
        <f t="shared" si="37"/>
        <v>-1.129306467444358E-4</v>
      </c>
      <c r="M328" s="71">
        <f t="shared" si="40"/>
        <v>-2.5591172131434804E-3</v>
      </c>
      <c r="N328" s="51">
        <v>40478</v>
      </c>
      <c r="O328" s="77">
        <f t="shared" si="38"/>
        <v>0.23777520766602697</v>
      </c>
      <c r="P328" s="39">
        <f t="shared" si="39"/>
        <v>0.24421074579407587</v>
      </c>
    </row>
    <row r="329" spans="1:16" x14ac:dyDescent="0.3">
      <c r="A329" s="18">
        <v>40479</v>
      </c>
      <c r="B329" s="15">
        <v>24770</v>
      </c>
      <c r="C329" s="15">
        <v>53265</v>
      </c>
      <c r="D329" s="70">
        <v>1907.87</v>
      </c>
      <c r="E329" s="71">
        <f t="shared" si="33"/>
        <v>-2.0145044319097583E-3</v>
      </c>
      <c r="F329" s="39">
        <f t="shared" si="33"/>
        <v>2.1636876763875268E-3</v>
      </c>
      <c r="H329" s="64">
        <f t="shared" si="35"/>
        <v>0.5</v>
      </c>
      <c r="I329" s="65">
        <f t="shared" si="36"/>
        <v>0.7</v>
      </c>
      <c r="J329" s="66">
        <v>0.5</v>
      </c>
      <c r="K329" s="65">
        <f t="shared" si="34"/>
        <v>0.5</v>
      </c>
      <c r="L329" s="28">
        <f t="shared" si="37"/>
        <v>-2.1232944181575064E-3</v>
      </c>
      <c r="M329" s="71">
        <f t="shared" si="40"/>
        <v>7.459162223888427E-5</v>
      </c>
      <c r="N329" s="50">
        <v>40479</v>
      </c>
      <c r="O329" s="77">
        <f t="shared" si="38"/>
        <v>0.23784979928826586</v>
      </c>
      <c r="P329" s="39">
        <f t="shared" si="39"/>
        <v>0.24312261360230392</v>
      </c>
    </row>
    <row r="330" spans="1:16" x14ac:dyDescent="0.3">
      <c r="A330" s="17">
        <v>40480</v>
      </c>
      <c r="B330" s="13">
        <v>24550</v>
      </c>
      <c r="C330" s="13">
        <v>53250</v>
      </c>
      <c r="D330" s="14">
        <v>1882.95</v>
      </c>
      <c r="E330" s="28">
        <f t="shared" si="33"/>
        <v>-8.8817117480823882E-3</v>
      </c>
      <c r="F330" s="39">
        <f t="shared" si="33"/>
        <v>-2.8161081385524867E-4</v>
      </c>
      <c r="H330" s="64">
        <f t="shared" si="35"/>
        <v>0.5</v>
      </c>
      <c r="I330" s="65">
        <f t="shared" si="36"/>
        <v>0.7</v>
      </c>
      <c r="J330" s="66">
        <v>0.5</v>
      </c>
      <c r="K330" s="65">
        <f t="shared" si="34"/>
        <v>0.5</v>
      </c>
      <c r="L330" s="28">
        <f t="shared" si="37"/>
        <v>7.459162223888427E-5</v>
      </c>
      <c r="M330" s="71">
        <f t="shared" si="40"/>
        <v>-4.5816612809688184E-3</v>
      </c>
      <c r="N330" s="51">
        <v>40480</v>
      </c>
      <c r="O330" s="77">
        <f t="shared" si="38"/>
        <v>0.23326813800729704</v>
      </c>
      <c r="P330" s="39">
        <f t="shared" si="39"/>
        <v>0.2268853356268814</v>
      </c>
    </row>
    <row r="331" spans="1:16" x14ac:dyDescent="0.3">
      <c r="A331" s="18">
        <v>40483</v>
      </c>
      <c r="B331" s="15">
        <v>24875</v>
      </c>
      <c r="C331" s="15">
        <v>53095</v>
      </c>
      <c r="D331" s="16">
        <v>1914.74</v>
      </c>
      <c r="E331" s="28">
        <f t="shared" si="33"/>
        <v>1.323828920570258E-2</v>
      </c>
      <c r="F331" s="39">
        <f t="shared" si="33"/>
        <v>-2.9107981220657386E-3</v>
      </c>
      <c r="H331" s="64">
        <f t="shared" si="35"/>
        <v>0.7</v>
      </c>
      <c r="I331" s="65">
        <f t="shared" si="36"/>
        <v>0.9</v>
      </c>
      <c r="J331" s="66">
        <v>0.7</v>
      </c>
      <c r="K331" s="65">
        <f t="shared" si="34"/>
        <v>0.30000000000000004</v>
      </c>
      <c r="L331" s="28">
        <f t="shared" si="37"/>
        <v>-6.3016814678142465E-3</v>
      </c>
      <c r="M331" s="71">
        <f t="shared" si="40"/>
        <v>8.3935630073720853E-3</v>
      </c>
      <c r="N331" s="50">
        <v>40483</v>
      </c>
      <c r="O331" s="77">
        <f t="shared" si="38"/>
        <v>0.24166170101466913</v>
      </c>
      <c r="P331" s="39">
        <f t="shared" si="39"/>
        <v>0.24759894184031173</v>
      </c>
    </row>
    <row r="332" spans="1:16" x14ac:dyDescent="0.3">
      <c r="A332" s="17">
        <v>40484</v>
      </c>
      <c r="B332" s="13">
        <v>24895</v>
      </c>
      <c r="C332" s="13">
        <v>53010</v>
      </c>
      <c r="D332" s="14">
        <v>1918.04</v>
      </c>
      <c r="E332" s="28">
        <f t="shared" si="33"/>
        <v>8.0402010050262263E-4</v>
      </c>
      <c r="F332" s="39">
        <f t="shared" si="33"/>
        <v>-1.600904039928408E-3</v>
      </c>
      <c r="H332" s="64">
        <f t="shared" si="35"/>
        <v>0.5</v>
      </c>
      <c r="I332" s="65">
        <f t="shared" si="36"/>
        <v>0.7</v>
      </c>
      <c r="J332" s="66">
        <v>0.7</v>
      </c>
      <c r="K332" s="65">
        <f t="shared" si="34"/>
        <v>0.30000000000000004</v>
      </c>
      <c r="L332" s="28">
        <f t="shared" si="37"/>
        <v>8.3935630073720853E-3</v>
      </c>
      <c r="M332" s="71">
        <f t="shared" si="40"/>
        <v>8.2542858373313357E-5</v>
      </c>
      <c r="N332" s="51">
        <v>40484</v>
      </c>
      <c r="O332" s="77">
        <f t="shared" si="38"/>
        <v>0.24174424387304244</v>
      </c>
      <c r="P332" s="39">
        <f t="shared" si="39"/>
        <v>0.24974914317734598</v>
      </c>
    </row>
    <row r="333" spans="1:16" x14ac:dyDescent="0.3">
      <c r="A333" s="17">
        <v>40485</v>
      </c>
      <c r="B333" s="13">
        <v>25085</v>
      </c>
      <c r="C333" s="13">
        <v>53065</v>
      </c>
      <c r="D333" s="14">
        <v>1935.97</v>
      </c>
      <c r="E333" s="28">
        <f t="shared" si="33"/>
        <v>7.6320546294437186E-3</v>
      </c>
      <c r="F333" s="39">
        <f t="shared" si="33"/>
        <v>1.0375400867761453E-3</v>
      </c>
      <c r="H333" s="64">
        <f t="shared" si="35"/>
        <v>0.5</v>
      </c>
      <c r="I333" s="65">
        <f t="shared" si="36"/>
        <v>0.7</v>
      </c>
      <c r="J333" s="66">
        <v>0.7</v>
      </c>
      <c r="K333" s="65">
        <f t="shared" si="34"/>
        <v>0.30000000000000004</v>
      </c>
      <c r="L333" s="28">
        <f t="shared" si="37"/>
        <v>8.2542858373313357E-5</v>
      </c>
      <c r="M333" s="71">
        <f t="shared" si="40"/>
        <v>5.6537002666434463E-3</v>
      </c>
      <c r="N333" s="51">
        <v>40485</v>
      </c>
      <c r="O333" s="77">
        <f t="shared" si="38"/>
        <v>0.24739794413968588</v>
      </c>
      <c r="P333" s="39">
        <f t="shared" si="39"/>
        <v>0.2614319037752324</v>
      </c>
    </row>
    <row r="334" spans="1:16" x14ac:dyDescent="0.3">
      <c r="A334" s="18">
        <v>40486</v>
      </c>
      <c r="B334" s="15">
        <v>25210</v>
      </c>
      <c r="C334" s="15">
        <v>52995</v>
      </c>
      <c r="D334" s="70">
        <v>1942.5</v>
      </c>
      <c r="E334" s="71">
        <f t="shared" si="33"/>
        <v>4.9830576041458574E-3</v>
      </c>
      <c r="F334" s="39">
        <f t="shared" si="33"/>
        <v>-1.3191369075662429E-3</v>
      </c>
      <c r="H334" s="64">
        <f t="shared" si="35"/>
        <v>0.5</v>
      </c>
      <c r="I334" s="65">
        <f t="shared" si="36"/>
        <v>0.7</v>
      </c>
      <c r="J334" s="66">
        <v>0.7</v>
      </c>
      <c r="K334" s="65">
        <f t="shared" si="34"/>
        <v>0.30000000000000004</v>
      </c>
      <c r="L334" s="28">
        <f t="shared" si="37"/>
        <v>5.6537002666434463E-3</v>
      </c>
      <c r="M334" s="71">
        <f t="shared" si="40"/>
        <v>3.0923992506322268E-3</v>
      </c>
      <c r="N334" s="50">
        <v>40486</v>
      </c>
      <c r="O334" s="77">
        <f t="shared" si="38"/>
        <v>0.25049034339031812</v>
      </c>
      <c r="P334" s="39">
        <f t="shared" si="39"/>
        <v>0.26568669611790918</v>
      </c>
    </row>
    <row r="335" spans="1:16" x14ac:dyDescent="0.3">
      <c r="A335" s="17">
        <v>40487</v>
      </c>
      <c r="B335" s="13">
        <v>25210</v>
      </c>
      <c r="C335" s="13">
        <v>52870</v>
      </c>
      <c r="D335" s="14">
        <v>1938.96</v>
      </c>
      <c r="E335" s="28">
        <f t="shared" si="33"/>
        <v>0</v>
      </c>
      <c r="F335" s="39">
        <f t="shared" si="33"/>
        <v>-2.3587130861402184E-3</v>
      </c>
      <c r="H335" s="64">
        <f t="shared" si="35"/>
        <v>0.5</v>
      </c>
      <c r="I335" s="65">
        <f t="shared" si="36"/>
        <v>0.7</v>
      </c>
      <c r="J335" s="66">
        <v>0.7</v>
      </c>
      <c r="K335" s="65">
        <f t="shared" si="34"/>
        <v>0.30000000000000004</v>
      </c>
      <c r="L335" s="28">
        <f t="shared" si="37"/>
        <v>3.0923992506322268E-3</v>
      </c>
      <c r="M335" s="71">
        <f t="shared" si="40"/>
        <v>-7.0761392584206561E-4</v>
      </c>
      <c r="N335" s="51">
        <v>40487</v>
      </c>
      <c r="O335" s="77">
        <f t="shared" si="38"/>
        <v>0.24978272946447605</v>
      </c>
      <c r="P335" s="39">
        <f t="shared" si="39"/>
        <v>0.26338011650181792</v>
      </c>
    </row>
    <row r="336" spans="1:16" x14ac:dyDescent="0.3">
      <c r="A336" s="18">
        <v>40490</v>
      </c>
      <c r="B336" s="15">
        <v>25285</v>
      </c>
      <c r="C336" s="15">
        <v>52845</v>
      </c>
      <c r="D336" s="16">
        <v>1942.41</v>
      </c>
      <c r="E336" s="28">
        <f t="shared" si="33"/>
        <v>2.9750099166996335E-3</v>
      </c>
      <c r="F336" s="39">
        <f t="shared" si="33"/>
        <v>-4.7285795347074E-4</v>
      </c>
      <c r="H336" s="64">
        <f t="shared" si="35"/>
        <v>0.5</v>
      </c>
      <c r="I336" s="65">
        <f t="shared" si="36"/>
        <v>0.7</v>
      </c>
      <c r="J336" s="66">
        <v>0.7</v>
      </c>
      <c r="K336" s="65">
        <f t="shared" si="34"/>
        <v>0.30000000000000004</v>
      </c>
      <c r="L336" s="28">
        <f t="shared" si="37"/>
        <v>-7.0761392584206561E-4</v>
      </c>
      <c r="M336" s="71">
        <f t="shared" si="40"/>
        <v>1.9406495556485211E-3</v>
      </c>
      <c r="N336" s="50">
        <v>40490</v>
      </c>
      <c r="O336" s="77">
        <f t="shared" si="38"/>
        <v>0.25172337902012459</v>
      </c>
      <c r="P336" s="39">
        <f t="shared" si="39"/>
        <v>0.26562805426326297</v>
      </c>
    </row>
    <row r="337" spans="1:16" x14ac:dyDescent="0.3">
      <c r="A337" s="17">
        <v>40491</v>
      </c>
      <c r="B337" s="13">
        <v>25340</v>
      </c>
      <c r="C337" s="13">
        <v>52880</v>
      </c>
      <c r="D337" s="14">
        <v>1947.46</v>
      </c>
      <c r="E337" s="28">
        <f t="shared" ref="E337:F400" si="41">B337/B336-1</f>
        <v>2.175202689341571E-3</v>
      </c>
      <c r="F337" s="39">
        <f t="shared" si="41"/>
        <v>6.6231431545094033E-4</v>
      </c>
      <c r="H337" s="64">
        <f t="shared" si="35"/>
        <v>0.5</v>
      </c>
      <c r="I337" s="65">
        <f t="shared" si="36"/>
        <v>0.7</v>
      </c>
      <c r="J337" s="66">
        <v>0.7</v>
      </c>
      <c r="K337" s="65">
        <f t="shared" ref="K337:K400" si="42">1-J337</f>
        <v>0.30000000000000004</v>
      </c>
      <c r="L337" s="28">
        <f t="shared" si="37"/>
        <v>1.9406495556485211E-3</v>
      </c>
      <c r="M337" s="71">
        <f t="shared" si="40"/>
        <v>1.7213361771743819E-3</v>
      </c>
      <c r="N337" s="51">
        <v>40491</v>
      </c>
      <c r="O337" s="77">
        <f t="shared" si="38"/>
        <v>0.253444715197299</v>
      </c>
      <c r="P337" s="39">
        <f t="shared" si="39"/>
        <v>0.26891851388508803</v>
      </c>
    </row>
    <row r="338" spans="1:16" x14ac:dyDescent="0.3">
      <c r="A338" s="17">
        <v>40492</v>
      </c>
      <c r="B338" s="13">
        <v>25625</v>
      </c>
      <c r="C338" s="13">
        <v>52940</v>
      </c>
      <c r="D338" s="14">
        <v>1967.85</v>
      </c>
      <c r="E338" s="28">
        <f t="shared" si="41"/>
        <v>1.1247040252565066E-2</v>
      </c>
      <c r="F338" s="39">
        <f t="shared" si="41"/>
        <v>1.1346444780635512E-3</v>
      </c>
      <c r="H338" s="64">
        <f t="shared" ref="H338:H401" si="43">IF($D337&lt;=1850,0.9,IF(AND($D337&lt;=1900,$D337&gt;1850),0.7,IF(AND($D337&lt;=1950,$D337&gt;1900),0.5,IF(AND($D337&lt;=2000,$D337&gt;1950),0.3,IF($D337&gt;2000,0.2,0)))))</f>
        <v>0.5</v>
      </c>
      <c r="I338" s="65">
        <f t="shared" ref="I338:I401" si="44">IF($D337&lt;=1850,1,IF(AND($D337&lt;=1900,$D337&gt;1850),0.9,IF(AND($D337&lt;=1950,$D337&gt;1900),0.7,IF(AND($D337&lt;=2000,$D337&gt;1950),0.5,IF($D337&gt;2000,0.3,0)))))</f>
        <v>0.7</v>
      </c>
      <c r="J338" s="66">
        <v>0.7</v>
      </c>
      <c r="K338" s="65">
        <f t="shared" si="42"/>
        <v>0.30000000000000004</v>
      </c>
      <c r="L338" s="28">
        <f t="shared" ref="L338:L401" si="45">E337*J338+F337*K338</f>
        <v>1.7213361771743819E-3</v>
      </c>
      <c r="M338" s="71">
        <f t="shared" si="40"/>
        <v>8.2133215202146118E-3</v>
      </c>
      <c r="N338" s="51">
        <v>40492</v>
      </c>
      <c r="O338" s="77">
        <f t="shared" ref="O338:O401" si="46">O337+M338</f>
        <v>0.26165803671751359</v>
      </c>
      <c r="P338" s="39">
        <f t="shared" ref="P338:P401" si="47">D338/$D$16-1</f>
        <v>0.28220415184330894</v>
      </c>
    </row>
    <row r="339" spans="1:16" x14ac:dyDescent="0.3">
      <c r="A339" s="18">
        <v>40493</v>
      </c>
      <c r="B339" s="15">
        <v>25400</v>
      </c>
      <c r="C339" s="15">
        <v>52960</v>
      </c>
      <c r="D339" s="70">
        <v>1914.73</v>
      </c>
      <c r="E339" s="71">
        <f t="shared" si="41"/>
        <v>-8.7804878048780566E-3</v>
      </c>
      <c r="F339" s="39">
        <f t="shared" si="41"/>
        <v>3.7778617302608453E-4</v>
      </c>
      <c r="H339" s="64">
        <f t="shared" si="43"/>
        <v>0.3</v>
      </c>
      <c r="I339" s="65">
        <f t="shared" si="44"/>
        <v>0.5</v>
      </c>
      <c r="J339" s="66">
        <v>0.5</v>
      </c>
      <c r="K339" s="65">
        <f t="shared" si="42"/>
        <v>0.5</v>
      </c>
      <c r="L339" s="28">
        <f t="shared" si="45"/>
        <v>6.1908423653143085E-3</v>
      </c>
      <c r="M339" s="71">
        <f t="shared" si="40"/>
        <v>-4.201350815925986E-3</v>
      </c>
      <c r="N339" s="50">
        <v>40493</v>
      </c>
      <c r="O339" s="77">
        <f t="shared" si="46"/>
        <v>0.2574566859015876</v>
      </c>
      <c r="P339" s="39">
        <f t="shared" si="47"/>
        <v>0.24759242607868437</v>
      </c>
    </row>
    <row r="340" spans="1:16" x14ac:dyDescent="0.3">
      <c r="A340" s="17">
        <v>40494</v>
      </c>
      <c r="B340" s="13">
        <v>24960</v>
      </c>
      <c r="C340" s="13">
        <v>52935</v>
      </c>
      <c r="D340" s="14">
        <v>1913.12</v>
      </c>
      <c r="E340" s="28">
        <f t="shared" si="41"/>
        <v>-1.7322834645669305E-2</v>
      </c>
      <c r="F340" s="39">
        <f t="shared" si="41"/>
        <v>-4.7205438066466598E-4</v>
      </c>
      <c r="H340" s="64">
        <f t="shared" si="43"/>
        <v>0.5</v>
      </c>
      <c r="I340" s="65">
        <f t="shared" si="44"/>
        <v>0.7</v>
      </c>
      <c r="J340" s="66">
        <v>0.5</v>
      </c>
      <c r="K340" s="65">
        <f t="shared" si="42"/>
        <v>0.5</v>
      </c>
      <c r="L340" s="28">
        <f t="shared" si="45"/>
        <v>-4.201350815925986E-3</v>
      </c>
      <c r="M340" s="71">
        <f t="shared" ref="M340:M403" si="48">E340*J340+F340*K340</f>
        <v>-8.8974445131669855E-3</v>
      </c>
      <c r="N340" s="51">
        <v>40494</v>
      </c>
      <c r="O340" s="77">
        <f t="shared" si="46"/>
        <v>0.24855924138842062</v>
      </c>
      <c r="P340" s="39">
        <f t="shared" si="47"/>
        <v>0.24654338845667656</v>
      </c>
    </row>
    <row r="341" spans="1:16" x14ac:dyDescent="0.3">
      <c r="A341" s="18">
        <v>40497</v>
      </c>
      <c r="B341" s="15">
        <v>25000</v>
      </c>
      <c r="C341" s="15">
        <v>52965</v>
      </c>
      <c r="D341" s="16">
        <v>1913.81</v>
      </c>
      <c r="E341" s="28">
        <f t="shared" si="41"/>
        <v>1.6025641025640969E-3</v>
      </c>
      <c r="F341" s="39">
        <f t="shared" si="41"/>
        <v>5.6673278549168593E-4</v>
      </c>
      <c r="H341" s="64">
        <f t="shared" si="43"/>
        <v>0.5</v>
      </c>
      <c r="I341" s="65">
        <f t="shared" si="44"/>
        <v>0.7</v>
      </c>
      <c r="J341" s="66">
        <v>0.5</v>
      </c>
      <c r="K341" s="65">
        <f t="shared" si="42"/>
        <v>0.5</v>
      </c>
      <c r="L341" s="28">
        <f t="shared" si="45"/>
        <v>-8.8974445131669855E-3</v>
      </c>
      <c r="M341" s="71">
        <f t="shared" si="48"/>
        <v>1.0846484440278914E-3</v>
      </c>
      <c r="N341" s="50">
        <v>40497</v>
      </c>
      <c r="O341" s="77">
        <f t="shared" si="46"/>
        <v>0.24964388983244851</v>
      </c>
      <c r="P341" s="39">
        <f t="shared" si="47"/>
        <v>0.24699297600896575</v>
      </c>
    </row>
    <row r="342" spans="1:16" x14ac:dyDescent="0.3">
      <c r="A342" s="17">
        <v>40498</v>
      </c>
      <c r="B342" s="13">
        <v>24850</v>
      </c>
      <c r="C342" s="13">
        <v>53130</v>
      </c>
      <c r="D342" s="14">
        <v>1899.13</v>
      </c>
      <c r="E342" s="28">
        <f t="shared" si="41"/>
        <v>-6.0000000000000053E-3</v>
      </c>
      <c r="F342" s="39">
        <f t="shared" si="41"/>
        <v>3.1152647975076775E-3</v>
      </c>
      <c r="H342" s="64">
        <f t="shared" si="43"/>
        <v>0.5</v>
      </c>
      <c r="I342" s="65">
        <f t="shared" si="44"/>
        <v>0.7</v>
      </c>
      <c r="J342" s="66">
        <v>0.7</v>
      </c>
      <c r="K342" s="65">
        <f t="shared" si="42"/>
        <v>0.30000000000000004</v>
      </c>
      <c r="L342" s="28">
        <f t="shared" si="45"/>
        <v>1.2918147074423736E-3</v>
      </c>
      <c r="M342" s="71">
        <f t="shared" si="48"/>
        <v>-3.2654205607476998E-3</v>
      </c>
      <c r="N342" s="51">
        <v>40498</v>
      </c>
      <c r="O342" s="77">
        <f t="shared" si="46"/>
        <v>0.24637846927170082</v>
      </c>
      <c r="P342" s="39">
        <f t="shared" si="47"/>
        <v>0.23742783793997679</v>
      </c>
    </row>
    <row r="343" spans="1:16" x14ac:dyDescent="0.3">
      <c r="A343" s="17">
        <v>40499</v>
      </c>
      <c r="B343" s="13">
        <v>24795</v>
      </c>
      <c r="C343" s="13">
        <v>53110</v>
      </c>
      <c r="D343" s="14">
        <v>1897.11</v>
      </c>
      <c r="E343" s="28">
        <f t="shared" si="41"/>
        <v>-2.2132796780683917E-3</v>
      </c>
      <c r="F343" s="39">
        <f t="shared" si="41"/>
        <v>-3.7643515904384195E-4</v>
      </c>
      <c r="H343" s="64">
        <f t="shared" si="43"/>
        <v>0.7</v>
      </c>
      <c r="I343" s="65">
        <f t="shared" si="44"/>
        <v>0.9</v>
      </c>
      <c r="J343" s="66">
        <v>0.7</v>
      </c>
      <c r="K343" s="65">
        <f t="shared" si="42"/>
        <v>0.30000000000000004</v>
      </c>
      <c r="L343" s="28">
        <f t="shared" si="45"/>
        <v>-3.2654205607476998E-3</v>
      </c>
      <c r="M343" s="71">
        <f t="shared" si="48"/>
        <v>-1.6622263223610267E-3</v>
      </c>
      <c r="N343" s="51">
        <v>40499</v>
      </c>
      <c r="O343" s="77">
        <f t="shared" si="46"/>
        <v>0.2447162429493398</v>
      </c>
      <c r="P343" s="39">
        <f t="shared" si="47"/>
        <v>0.23611165409124668</v>
      </c>
    </row>
    <row r="344" spans="1:16" x14ac:dyDescent="0.3">
      <c r="A344" s="18">
        <v>40500</v>
      </c>
      <c r="B344" s="15">
        <v>25200</v>
      </c>
      <c r="C344" s="15">
        <v>53185</v>
      </c>
      <c r="D344" s="70">
        <v>1927.86</v>
      </c>
      <c r="E344" s="71">
        <f t="shared" si="41"/>
        <v>1.6333938294010864E-2</v>
      </c>
      <c r="F344" s="39">
        <f t="shared" si="41"/>
        <v>1.4121634343815526E-3</v>
      </c>
      <c r="H344" s="64">
        <f t="shared" si="43"/>
        <v>0.7</v>
      </c>
      <c r="I344" s="65">
        <f t="shared" si="44"/>
        <v>0.9</v>
      </c>
      <c r="J344" s="66">
        <v>0.7</v>
      </c>
      <c r="K344" s="65">
        <f t="shared" si="42"/>
        <v>0.30000000000000004</v>
      </c>
      <c r="L344" s="28">
        <f t="shared" si="45"/>
        <v>-1.6622263223610267E-3</v>
      </c>
      <c r="M344" s="71">
        <f t="shared" si="48"/>
        <v>1.1857405836122071E-2</v>
      </c>
      <c r="N344" s="50">
        <v>40500</v>
      </c>
      <c r="O344" s="77">
        <f t="shared" si="46"/>
        <v>0.25657364878546185</v>
      </c>
      <c r="P344" s="39">
        <f t="shared" si="47"/>
        <v>0.25614762109542988</v>
      </c>
    </row>
    <row r="345" spans="1:16" x14ac:dyDescent="0.3">
      <c r="A345" s="17">
        <v>40501</v>
      </c>
      <c r="B345" s="13">
        <v>25385</v>
      </c>
      <c r="C345" s="13">
        <v>53205</v>
      </c>
      <c r="D345" s="14">
        <v>1940.96</v>
      </c>
      <c r="E345" s="28">
        <f t="shared" si="41"/>
        <v>7.3412698412698152E-3</v>
      </c>
      <c r="F345" s="39">
        <f t="shared" si="41"/>
        <v>3.760458775969866E-4</v>
      </c>
      <c r="H345" s="64">
        <f t="shared" si="43"/>
        <v>0.5</v>
      </c>
      <c r="I345" s="65">
        <f t="shared" si="44"/>
        <v>0.7</v>
      </c>
      <c r="J345" s="66">
        <v>0.7</v>
      </c>
      <c r="K345" s="65">
        <f t="shared" si="42"/>
        <v>0.30000000000000004</v>
      </c>
      <c r="L345" s="28">
        <f t="shared" si="45"/>
        <v>1.1857405836122071E-2</v>
      </c>
      <c r="M345" s="71">
        <f t="shared" si="48"/>
        <v>5.2517026521679659E-3</v>
      </c>
      <c r="N345" s="51">
        <v>40501</v>
      </c>
      <c r="O345" s="77">
        <f t="shared" si="46"/>
        <v>0.26182535143762981</v>
      </c>
      <c r="P345" s="39">
        <f t="shared" si="47"/>
        <v>0.26468326882729332</v>
      </c>
    </row>
    <row r="346" spans="1:16" x14ac:dyDescent="0.3">
      <c r="A346" s="18">
        <v>40504</v>
      </c>
      <c r="B346" s="15">
        <v>25500</v>
      </c>
      <c r="C346" s="15">
        <v>53145</v>
      </c>
      <c r="D346" s="16">
        <v>1944.34</v>
      </c>
      <c r="E346" s="28">
        <f t="shared" si="41"/>
        <v>4.5302343903881326E-3</v>
      </c>
      <c r="F346" s="39">
        <f t="shared" si="41"/>
        <v>-1.1277135607555833E-3</v>
      </c>
      <c r="H346" s="64">
        <f t="shared" si="43"/>
        <v>0.5</v>
      </c>
      <c r="I346" s="65">
        <f t="shared" si="44"/>
        <v>0.7</v>
      </c>
      <c r="J346" s="66">
        <v>0.7</v>
      </c>
      <c r="K346" s="65">
        <f t="shared" si="42"/>
        <v>0.30000000000000004</v>
      </c>
      <c r="L346" s="28">
        <f t="shared" si="45"/>
        <v>5.2517026521679659E-3</v>
      </c>
      <c r="M346" s="71">
        <f t="shared" si="48"/>
        <v>2.8328500050450178E-3</v>
      </c>
      <c r="N346" s="50">
        <v>40504</v>
      </c>
      <c r="O346" s="77">
        <f t="shared" si="46"/>
        <v>0.26465820144267482</v>
      </c>
      <c r="P346" s="39">
        <f t="shared" si="47"/>
        <v>0.26688559625734642</v>
      </c>
    </row>
    <row r="347" spans="1:16" x14ac:dyDescent="0.3">
      <c r="A347" s="17">
        <v>40505</v>
      </c>
      <c r="B347" s="13">
        <v>25250</v>
      </c>
      <c r="C347" s="13">
        <v>53190</v>
      </c>
      <c r="D347" s="14">
        <v>1928.94</v>
      </c>
      <c r="E347" s="28">
        <f t="shared" si="41"/>
        <v>-9.8039215686274161E-3</v>
      </c>
      <c r="F347" s="39">
        <f t="shared" si="41"/>
        <v>8.4674005080431769E-4</v>
      </c>
      <c r="H347" s="64">
        <f t="shared" si="43"/>
        <v>0.5</v>
      </c>
      <c r="I347" s="65">
        <f t="shared" si="44"/>
        <v>0.7</v>
      </c>
      <c r="J347" s="66">
        <v>0.7</v>
      </c>
      <c r="K347" s="65">
        <f t="shared" si="42"/>
        <v>0.30000000000000004</v>
      </c>
      <c r="L347" s="28">
        <f t="shared" si="45"/>
        <v>2.8328500050450178E-3</v>
      </c>
      <c r="M347" s="71">
        <f t="shared" si="48"/>
        <v>-6.6087230827978948E-3</v>
      </c>
      <c r="N347" s="51">
        <v>40505</v>
      </c>
      <c r="O347" s="77">
        <f t="shared" si="46"/>
        <v>0.2580494783598769</v>
      </c>
      <c r="P347" s="39">
        <f t="shared" si="47"/>
        <v>0.25685132335118666</v>
      </c>
    </row>
    <row r="348" spans="1:16" x14ac:dyDescent="0.3">
      <c r="A348" s="17">
        <v>40506</v>
      </c>
      <c r="B348" s="13">
        <v>25315</v>
      </c>
      <c r="C348" s="13">
        <v>53180</v>
      </c>
      <c r="D348" s="14">
        <v>1925.98</v>
      </c>
      <c r="E348" s="28">
        <f t="shared" si="41"/>
        <v>2.5742574257425765E-3</v>
      </c>
      <c r="F348" s="39">
        <f t="shared" si="41"/>
        <v>-1.8800526414741725E-4</v>
      </c>
      <c r="H348" s="64">
        <f t="shared" si="43"/>
        <v>0.5</v>
      </c>
      <c r="I348" s="65">
        <f t="shared" si="44"/>
        <v>0.7</v>
      </c>
      <c r="J348" s="66">
        <v>0.5</v>
      </c>
      <c r="K348" s="65">
        <f t="shared" si="42"/>
        <v>0.5</v>
      </c>
      <c r="L348" s="28">
        <f t="shared" si="45"/>
        <v>-4.4785907589115492E-3</v>
      </c>
      <c r="M348" s="71">
        <f t="shared" si="48"/>
        <v>1.1931260807975796E-3</v>
      </c>
      <c r="N348" s="51">
        <v>40506</v>
      </c>
      <c r="O348" s="77">
        <f t="shared" si="46"/>
        <v>0.25924260444067448</v>
      </c>
      <c r="P348" s="39">
        <f t="shared" si="47"/>
        <v>0.25492265790948299</v>
      </c>
    </row>
    <row r="349" spans="1:16" x14ac:dyDescent="0.3">
      <c r="A349" s="18">
        <v>40507</v>
      </c>
      <c r="B349" s="15">
        <v>25365</v>
      </c>
      <c r="C349" s="15">
        <v>53245</v>
      </c>
      <c r="D349" s="70">
        <v>1927.68</v>
      </c>
      <c r="E349" s="71">
        <f t="shared" si="41"/>
        <v>1.9751135690302402E-3</v>
      </c>
      <c r="F349" s="39">
        <f t="shared" si="41"/>
        <v>1.2222640090260306E-3</v>
      </c>
      <c r="H349" s="64">
        <f t="shared" si="43"/>
        <v>0.5</v>
      </c>
      <c r="I349" s="65">
        <f t="shared" si="44"/>
        <v>0.7</v>
      </c>
      <c r="J349" s="66">
        <v>0.7</v>
      </c>
      <c r="K349" s="65">
        <f t="shared" si="42"/>
        <v>0.30000000000000004</v>
      </c>
      <c r="L349" s="28">
        <f t="shared" si="45"/>
        <v>1.7455786187755781E-3</v>
      </c>
      <c r="M349" s="71">
        <f t="shared" si="48"/>
        <v>1.7492587010289773E-3</v>
      </c>
      <c r="N349" s="50">
        <v>40507</v>
      </c>
      <c r="O349" s="77">
        <f t="shared" si="46"/>
        <v>0.26099186314170347</v>
      </c>
      <c r="P349" s="39">
        <f t="shared" si="47"/>
        <v>0.25603033738613701</v>
      </c>
    </row>
    <row r="350" spans="1:16" x14ac:dyDescent="0.3">
      <c r="A350" s="17">
        <v>40508</v>
      </c>
      <c r="B350" s="13">
        <v>25065</v>
      </c>
      <c r="C350" s="13">
        <v>53220</v>
      </c>
      <c r="D350" s="14">
        <v>1901.8</v>
      </c>
      <c r="E350" s="28">
        <f t="shared" si="41"/>
        <v>-1.1827321111768208E-2</v>
      </c>
      <c r="F350" s="39">
        <f t="shared" si="41"/>
        <v>-4.6952765517893624E-4</v>
      </c>
      <c r="H350" s="64">
        <f t="shared" si="43"/>
        <v>0.5</v>
      </c>
      <c r="I350" s="65">
        <f t="shared" si="44"/>
        <v>0.7</v>
      </c>
      <c r="J350" s="66">
        <v>0.7</v>
      </c>
      <c r="K350" s="65">
        <f t="shared" si="42"/>
        <v>0.30000000000000004</v>
      </c>
      <c r="L350" s="28">
        <f t="shared" si="45"/>
        <v>1.7492587010289773E-3</v>
      </c>
      <c r="M350" s="71">
        <f t="shared" si="48"/>
        <v>-8.4199830747914255E-3</v>
      </c>
      <c r="N350" s="51">
        <v>40508</v>
      </c>
      <c r="O350" s="77">
        <f t="shared" si="46"/>
        <v>0.25257188006691206</v>
      </c>
      <c r="P350" s="39">
        <f t="shared" si="47"/>
        <v>0.23916754629448622</v>
      </c>
    </row>
    <row r="351" spans="1:16" x14ac:dyDescent="0.3">
      <c r="A351" s="18">
        <v>40511</v>
      </c>
      <c r="B351" s="15">
        <v>24975</v>
      </c>
      <c r="C351" s="15">
        <v>53305</v>
      </c>
      <c r="D351" s="16">
        <v>1895.54</v>
      </c>
      <c r="E351" s="28">
        <f t="shared" si="41"/>
        <v>-3.5906642728904536E-3</v>
      </c>
      <c r="F351" s="39">
        <f t="shared" si="41"/>
        <v>1.5971439308530844E-3</v>
      </c>
      <c r="H351" s="64">
        <f t="shared" si="43"/>
        <v>0.5</v>
      </c>
      <c r="I351" s="65">
        <f t="shared" si="44"/>
        <v>0.7</v>
      </c>
      <c r="J351" s="66">
        <v>0.5</v>
      </c>
      <c r="K351" s="65">
        <f t="shared" si="42"/>
        <v>0.5</v>
      </c>
      <c r="L351" s="28">
        <f t="shared" si="45"/>
        <v>-6.1484243834735719E-3</v>
      </c>
      <c r="M351" s="71">
        <f t="shared" si="48"/>
        <v>-9.9676017101868464E-4</v>
      </c>
      <c r="N351" s="50">
        <v>40511</v>
      </c>
      <c r="O351" s="77">
        <f t="shared" si="46"/>
        <v>0.25157511989589337</v>
      </c>
      <c r="P351" s="39">
        <f t="shared" si="47"/>
        <v>0.23508867951574852</v>
      </c>
    </row>
    <row r="352" spans="1:16" x14ac:dyDescent="0.3">
      <c r="A352" s="17">
        <v>40512</v>
      </c>
      <c r="B352" s="13">
        <v>25330</v>
      </c>
      <c r="C352" s="13">
        <v>53450</v>
      </c>
      <c r="D352" s="14">
        <v>1904.63</v>
      </c>
      <c r="E352" s="28">
        <f t="shared" si="41"/>
        <v>1.4214214214214316E-2</v>
      </c>
      <c r="F352" s="39">
        <f t="shared" si="41"/>
        <v>2.7201951036488481E-3</v>
      </c>
      <c r="H352" s="64">
        <f t="shared" si="43"/>
        <v>0.7</v>
      </c>
      <c r="I352" s="65">
        <f t="shared" si="44"/>
        <v>0.9</v>
      </c>
      <c r="J352" s="66">
        <v>0.7</v>
      </c>
      <c r="K352" s="65">
        <f t="shared" si="42"/>
        <v>0.30000000000000004</v>
      </c>
      <c r="L352" s="28">
        <f t="shared" si="45"/>
        <v>-2.034321811767392E-3</v>
      </c>
      <c r="M352" s="71">
        <f t="shared" si="48"/>
        <v>1.0766008481044675E-2</v>
      </c>
      <c r="N352" s="51">
        <v>40512</v>
      </c>
      <c r="O352" s="77">
        <f t="shared" si="46"/>
        <v>0.26234112837693807</v>
      </c>
      <c r="P352" s="39">
        <f t="shared" si="47"/>
        <v>0.24101150683503403</v>
      </c>
    </row>
    <row r="353" spans="1:16" x14ac:dyDescent="0.3">
      <c r="A353" s="17">
        <v>40513</v>
      </c>
      <c r="B353" s="13">
        <v>25380</v>
      </c>
      <c r="C353" s="13">
        <v>53385</v>
      </c>
      <c r="D353" s="14">
        <v>1929.32</v>
      </c>
      <c r="E353" s="28">
        <f t="shared" si="41"/>
        <v>1.9739439399921732E-3</v>
      </c>
      <c r="F353" s="39">
        <f t="shared" si="41"/>
        <v>-1.2160898035546985E-3</v>
      </c>
      <c r="H353" s="64">
        <f t="shared" si="43"/>
        <v>0.5</v>
      </c>
      <c r="I353" s="65">
        <f t="shared" si="44"/>
        <v>0.7</v>
      </c>
      <c r="J353" s="66">
        <v>0.7</v>
      </c>
      <c r="K353" s="65">
        <f t="shared" si="42"/>
        <v>0.30000000000000004</v>
      </c>
      <c r="L353" s="28">
        <f t="shared" si="45"/>
        <v>1.0766008481044675E-2</v>
      </c>
      <c r="M353" s="71">
        <f t="shared" si="48"/>
        <v>1.0169338169281116E-3</v>
      </c>
      <c r="N353" s="51">
        <v>40513</v>
      </c>
      <c r="O353" s="77">
        <f t="shared" si="46"/>
        <v>0.2633580621938662</v>
      </c>
      <c r="P353" s="39">
        <f t="shared" si="47"/>
        <v>0.25709892229302689</v>
      </c>
    </row>
    <row r="354" spans="1:16" x14ac:dyDescent="0.3">
      <c r="A354" s="18">
        <v>40514</v>
      </c>
      <c r="B354" s="15">
        <v>25690</v>
      </c>
      <c r="C354" s="15">
        <v>53435</v>
      </c>
      <c r="D354" s="70">
        <v>1950.26</v>
      </c>
      <c r="E354" s="71">
        <f t="shared" si="41"/>
        <v>1.2214342001576117E-2</v>
      </c>
      <c r="F354" s="39">
        <f t="shared" si="41"/>
        <v>9.3659267584533801E-4</v>
      </c>
      <c r="H354" s="64">
        <f t="shared" si="43"/>
        <v>0.5</v>
      </c>
      <c r="I354" s="65">
        <f t="shared" si="44"/>
        <v>0.7</v>
      </c>
      <c r="J354" s="66">
        <v>0.7</v>
      </c>
      <c r="K354" s="65">
        <f t="shared" si="42"/>
        <v>0.30000000000000004</v>
      </c>
      <c r="L354" s="28">
        <f t="shared" si="45"/>
        <v>1.0169338169281116E-3</v>
      </c>
      <c r="M354" s="71">
        <f t="shared" si="48"/>
        <v>8.8310172038568828E-3</v>
      </c>
      <c r="N354" s="50">
        <v>40514</v>
      </c>
      <c r="O354" s="77">
        <f t="shared" si="46"/>
        <v>0.27218907939772308</v>
      </c>
      <c r="P354" s="39">
        <f t="shared" si="47"/>
        <v>0.27074292714075354</v>
      </c>
    </row>
    <row r="355" spans="1:16" x14ac:dyDescent="0.3">
      <c r="A355" s="17">
        <v>40515</v>
      </c>
      <c r="B355" s="13">
        <v>25805</v>
      </c>
      <c r="C355" s="13">
        <v>53500</v>
      </c>
      <c r="D355" s="14">
        <v>1957.26</v>
      </c>
      <c r="E355" s="28">
        <f t="shared" si="41"/>
        <v>4.4764499805372004E-3</v>
      </c>
      <c r="F355" s="39">
        <f t="shared" si="41"/>
        <v>1.2164311780669124E-3</v>
      </c>
      <c r="H355" s="64">
        <f t="shared" si="43"/>
        <v>0.3</v>
      </c>
      <c r="I355" s="65">
        <f t="shared" si="44"/>
        <v>0.5</v>
      </c>
      <c r="J355" s="66">
        <v>0.5</v>
      </c>
      <c r="K355" s="65">
        <f t="shared" si="42"/>
        <v>0.5</v>
      </c>
      <c r="L355" s="28">
        <f t="shared" si="45"/>
        <v>6.5754673387107276E-3</v>
      </c>
      <c r="M355" s="71">
        <f t="shared" si="48"/>
        <v>2.8464405793020564E-3</v>
      </c>
      <c r="N355" s="51">
        <v>40515</v>
      </c>
      <c r="O355" s="77">
        <f t="shared" si="46"/>
        <v>0.27503551997702513</v>
      </c>
      <c r="P355" s="39">
        <f t="shared" si="47"/>
        <v>0.27530396027991721</v>
      </c>
    </row>
    <row r="356" spans="1:16" x14ac:dyDescent="0.3">
      <c r="A356" s="18">
        <v>40518</v>
      </c>
      <c r="B356" s="15">
        <v>25830</v>
      </c>
      <c r="C356" s="15">
        <v>53490</v>
      </c>
      <c r="D356" s="16">
        <v>1953.64</v>
      </c>
      <c r="E356" s="28">
        <f t="shared" si="41"/>
        <v>9.6880449525293955E-4</v>
      </c>
      <c r="F356" s="39">
        <f t="shared" si="41"/>
        <v>-1.8691588785046953E-4</v>
      </c>
      <c r="H356" s="64">
        <f t="shared" si="43"/>
        <v>0.3</v>
      </c>
      <c r="I356" s="65">
        <f t="shared" si="44"/>
        <v>0.5</v>
      </c>
      <c r="J356" s="66">
        <v>0.5</v>
      </c>
      <c r="K356" s="65">
        <f t="shared" si="42"/>
        <v>0.5</v>
      </c>
      <c r="L356" s="28">
        <f t="shared" si="45"/>
        <v>2.8464405793020564E-3</v>
      </c>
      <c r="M356" s="71">
        <f t="shared" si="48"/>
        <v>3.9094430370123501E-4</v>
      </c>
      <c r="N356" s="50">
        <v>40518</v>
      </c>
      <c r="O356" s="77">
        <f t="shared" si="46"/>
        <v>0.27542646428072637</v>
      </c>
      <c r="P356" s="39">
        <f t="shared" si="47"/>
        <v>0.27294525457080687</v>
      </c>
    </row>
    <row r="357" spans="1:16" x14ac:dyDescent="0.3">
      <c r="A357" s="17">
        <v>40519</v>
      </c>
      <c r="B357" s="13">
        <v>25925</v>
      </c>
      <c r="C357" s="13">
        <v>53515</v>
      </c>
      <c r="D357" s="14">
        <v>1962.52</v>
      </c>
      <c r="E357" s="28">
        <f t="shared" si="41"/>
        <v>3.6778939217962936E-3</v>
      </c>
      <c r="F357" s="39">
        <f t="shared" si="41"/>
        <v>4.6737707982802412E-4</v>
      </c>
      <c r="H357" s="64">
        <f t="shared" si="43"/>
        <v>0.3</v>
      </c>
      <c r="I357" s="65">
        <f t="shared" si="44"/>
        <v>0.5</v>
      </c>
      <c r="J357" s="66">
        <v>0.5</v>
      </c>
      <c r="K357" s="65">
        <f t="shared" si="42"/>
        <v>0.5</v>
      </c>
      <c r="L357" s="28">
        <f t="shared" si="45"/>
        <v>3.9094430370123501E-4</v>
      </c>
      <c r="M357" s="71">
        <f t="shared" si="48"/>
        <v>2.0726355008121589E-3</v>
      </c>
      <c r="N357" s="51">
        <v>40519</v>
      </c>
      <c r="O357" s="77">
        <f t="shared" si="46"/>
        <v>0.27749909978153853</v>
      </c>
      <c r="P357" s="39">
        <f t="shared" si="47"/>
        <v>0.27873125089591722</v>
      </c>
    </row>
    <row r="358" spans="1:16" x14ac:dyDescent="0.3">
      <c r="A358" s="17">
        <v>40520</v>
      </c>
      <c r="B358" s="13">
        <v>25810</v>
      </c>
      <c r="C358" s="13">
        <v>53355</v>
      </c>
      <c r="D358" s="14">
        <v>1955.72</v>
      </c>
      <c r="E358" s="28">
        <f t="shared" si="41"/>
        <v>-4.4358727097396633E-3</v>
      </c>
      <c r="F358" s="39">
        <f t="shared" si="41"/>
        <v>-2.9898159394562418E-3</v>
      </c>
      <c r="H358" s="64">
        <f t="shared" si="43"/>
        <v>0.3</v>
      </c>
      <c r="I358" s="65">
        <f t="shared" si="44"/>
        <v>0.5</v>
      </c>
      <c r="J358" s="66">
        <v>0.5</v>
      </c>
      <c r="K358" s="65">
        <f t="shared" si="42"/>
        <v>0.5</v>
      </c>
      <c r="L358" s="28">
        <f t="shared" si="45"/>
        <v>2.0726355008121589E-3</v>
      </c>
      <c r="M358" s="71">
        <f t="shared" si="48"/>
        <v>-3.7128443245979525E-3</v>
      </c>
      <c r="N358" s="51">
        <v>40520</v>
      </c>
      <c r="O358" s="77">
        <f t="shared" si="46"/>
        <v>0.27378625545694057</v>
      </c>
      <c r="P358" s="39">
        <f t="shared" si="47"/>
        <v>0.27430053298930113</v>
      </c>
    </row>
    <row r="359" spans="1:16" x14ac:dyDescent="0.3">
      <c r="A359" s="18">
        <v>40521</v>
      </c>
      <c r="B359" s="15">
        <v>26330</v>
      </c>
      <c r="C359" s="15">
        <v>53365</v>
      </c>
      <c r="D359" s="70">
        <v>1988.96</v>
      </c>
      <c r="E359" s="71">
        <f t="shared" si="41"/>
        <v>2.0147229755908658E-2</v>
      </c>
      <c r="F359" s="39">
        <f t="shared" si="41"/>
        <v>1.8742385905734515E-4</v>
      </c>
      <c r="H359" s="64">
        <f t="shared" si="43"/>
        <v>0.3</v>
      </c>
      <c r="I359" s="65">
        <f t="shared" si="44"/>
        <v>0.5</v>
      </c>
      <c r="J359" s="66">
        <v>0.3</v>
      </c>
      <c r="K359" s="65">
        <f t="shared" si="42"/>
        <v>0.7</v>
      </c>
      <c r="L359" s="28">
        <f t="shared" si="45"/>
        <v>-3.4236329705412683E-3</v>
      </c>
      <c r="M359" s="71">
        <f t="shared" si="48"/>
        <v>6.1753656281127384E-3</v>
      </c>
      <c r="N359" s="50">
        <v>40521</v>
      </c>
      <c r="O359" s="77">
        <f t="shared" si="46"/>
        <v>0.27996162108505329</v>
      </c>
      <c r="P359" s="39">
        <f t="shared" si="47"/>
        <v>0.2959589246387011</v>
      </c>
    </row>
    <row r="360" spans="1:16" x14ac:dyDescent="0.3">
      <c r="A360" s="17">
        <v>40522</v>
      </c>
      <c r="B360" s="13">
        <v>26330</v>
      </c>
      <c r="C360" s="13">
        <v>53400</v>
      </c>
      <c r="D360" s="14">
        <v>1986.14</v>
      </c>
      <c r="E360" s="28">
        <f t="shared" si="41"/>
        <v>0</v>
      </c>
      <c r="F360" s="39">
        <f t="shared" si="41"/>
        <v>6.5586058277888881E-4</v>
      </c>
      <c r="H360" s="64">
        <f t="shared" si="43"/>
        <v>0.3</v>
      </c>
      <c r="I360" s="65">
        <f t="shared" si="44"/>
        <v>0.5</v>
      </c>
      <c r="J360" s="66">
        <v>0.5</v>
      </c>
      <c r="K360" s="65">
        <f t="shared" si="42"/>
        <v>0.5</v>
      </c>
      <c r="L360" s="28">
        <f t="shared" si="45"/>
        <v>1.0167326807483001E-2</v>
      </c>
      <c r="M360" s="71">
        <f t="shared" si="48"/>
        <v>3.2793029138944441E-4</v>
      </c>
      <c r="N360" s="51">
        <v>40522</v>
      </c>
      <c r="O360" s="77">
        <f t="shared" si="46"/>
        <v>0.28028955137644274</v>
      </c>
      <c r="P360" s="39">
        <f t="shared" si="47"/>
        <v>0.29412147985978088</v>
      </c>
    </row>
    <row r="361" spans="1:16" x14ac:dyDescent="0.3">
      <c r="A361" s="18">
        <v>40525</v>
      </c>
      <c r="B361" s="15">
        <v>26490</v>
      </c>
      <c r="C361" s="15">
        <v>52640</v>
      </c>
      <c r="D361" s="16">
        <v>1996.59</v>
      </c>
      <c r="E361" s="28">
        <f t="shared" si="41"/>
        <v>6.0767185719712291E-3</v>
      </c>
      <c r="F361" s="39">
        <f t="shared" si="41"/>
        <v>-1.4232209737827684E-2</v>
      </c>
      <c r="H361" s="64">
        <f t="shared" si="43"/>
        <v>0.3</v>
      </c>
      <c r="I361" s="65">
        <f t="shared" si="44"/>
        <v>0.5</v>
      </c>
      <c r="J361" s="66">
        <v>0.3</v>
      </c>
      <c r="K361" s="65">
        <f t="shared" si="42"/>
        <v>0.7</v>
      </c>
      <c r="L361" s="28">
        <f t="shared" si="45"/>
        <v>4.5910240794522211E-4</v>
      </c>
      <c r="M361" s="71">
        <f t="shared" si="48"/>
        <v>-8.1395312448880094E-3</v>
      </c>
      <c r="N361" s="50">
        <v>40525</v>
      </c>
      <c r="O361" s="77">
        <f t="shared" si="46"/>
        <v>0.2721500201315547</v>
      </c>
      <c r="P361" s="39">
        <f t="shared" si="47"/>
        <v>0.30093045076038938</v>
      </c>
    </row>
    <row r="362" spans="1:16" x14ac:dyDescent="0.3">
      <c r="A362" s="17">
        <v>40526</v>
      </c>
      <c r="B362" s="13">
        <v>26570</v>
      </c>
      <c r="C362" s="13">
        <v>52570</v>
      </c>
      <c r="D362" s="14">
        <v>2009.05</v>
      </c>
      <c r="E362" s="28">
        <f t="shared" si="41"/>
        <v>3.020007550018855E-3</v>
      </c>
      <c r="F362" s="39">
        <f t="shared" si="41"/>
        <v>-1.3297872340425343E-3</v>
      </c>
      <c r="H362" s="64">
        <f t="shared" si="43"/>
        <v>0.3</v>
      </c>
      <c r="I362" s="65">
        <f t="shared" si="44"/>
        <v>0.5</v>
      </c>
      <c r="J362" s="66">
        <v>0.5</v>
      </c>
      <c r="K362" s="65">
        <f t="shared" si="42"/>
        <v>0.5</v>
      </c>
      <c r="L362" s="28">
        <f t="shared" si="45"/>
        <v>-4.0777455829282272E-3</v>
      </c>
      <c r="M362" s="71">
        <f t="shared" si="48"/>
        <v>8.4511015798816036E-4</v>
      </c>
      <c r="N362" s="51">
        <v>40526</v>
      </c>
      <c r="O362" s="77">
        <f t="shared" si="46"/>
        <v>0.27299513028954286</v>
      </c>
      <c r="P362" s="39">
        <f t="shared" si="47"/>
        <v>0.30904908974810064</v>
      </c>
    </row>
    <row r="363" spans="1:16" x14ac:dyDescent="0.3">
      <c r="A363" s="17">
        <v>40527</v>
      </c>
      <c r="B363" s="13">
        <v>26625</v>
      </c>
      <c r="C363" s="13">
        <v>52365</v>
      </c>
      <c r="D363" s="14">
        <v>2017.48</v>
      </c>
      <c r="E363" s="28">
        <f t="shared" si="41"/>
        <v>2.0700037636431912E-3</v>
      </c>
      <c r="F363" s="39">
        <f t="shared" si="41"/>
        <v>-3.8995624881110746E-3</v>
      </c>
      <c r="H363" s="64">
        <f t="shared" si="43"/>
        <v>0.2</v>
      </c>
      <c r="I363" s="65">
        <f t="shared" si="44"/>
        <v>0.3</v>
      </c>
      <c r="J363" s="66">
        <v>0.3</v>
      </c>
      <c r="K363" s="65">
        <f t="shared" si="42"/>
        <v>0.7</v>
      </c>
      <c r="L363" s="28">
        <f t="shared" si="45"/>
        <v>-2.484879882411748E-5</v>
      </c>
      <c r="M363" s="71">
        <f t="shared" si="48"/>
        <v>-2.1086926125847951E-3</v>
      </c>
      <c r="N363" s="51">
        <v>40527</v>
      </c>
      <c r="O363" s="77">
        <f t="shared" si="46"/>
        <v>0.27088643767695808</v>
      </c>
      <c r="P363" s="39">
        <f t="shared" si="47"/>
        <v>0.31454187679997925</v>
      </c>
    </row>
    <row r="364" spans="1:16" x14ac:dyDescent="0.3">
      <c r="A364" s="18">
        <v>40528</v>
      </c>
      <c r="B364" s="15">
        <v>26605</v>
      </c>
      <c r="C364" s="15">
        <v>52525</v>
      </c>
      <c r="D364" s="70">
        <v>2009.24</v>
      </c>
      <c r="E364" s="71">
        <f t="shared" si="41"/>
        <v>-7.5117370892019419E-4</v>
      </c>
      <c r="F364" s="39">
        <f t="shared" si="41"/>
        <v>3.0554759858685276E-3</v>
      </c>
      <c r="H364" s="64">
        <f t="shared" si="43"/>
        <v>0.2</v>
      </c>
      <c r="I364" s="65">
        <f t="shared" si="44"/>
        <v>0.3</v>
      </c>
      <c r="J364" s="66">
        <v>0.3</v>
      </c>
      <c r="K364" s="65">
        <f t="shared" si="42"/>
        <v>0.7</v>
      </c>
      <c r="L364" s="28">
        <f t="shared" si="45"/>
        <v>-2.1086926125847951E-3</v>
      </c>
      <c r="M364" s="71">
        <f t="shared" si="48"/>
        <v>1.9134810774319108E-3</v>
      </c>
      <c r="N364" s="50">
        <v>40528</v>
      </c>
      <c r="O364" s="77">
        <f t="shared" si="46"/>
        <v>0.27279991875438997</v>
      </c>
      <c r="P364" s="39">
        <f t="shared" si="47"/>
        <v>0.30917288921902086</v>
      </c>
    </row>
    <row r="365" spans="1:16" x14ac:dyDescent="0.3">
      <c r="A365" s="17">
        <v>40529</v>
      </c>
      <c r="B365" s="13">
        <v>26820</v>
      </c>
      <c r="C365" s="13">
        <v>52535</v>
      </c>
      <c r="D365" s="14">
        <v>2026.3</v>
      </c>
      <c r="E365" s="28">
        <f t="shared" si="41"/>
        <v>8.0811877466642201E-3</v>
      </c>
      <c r="F365" s="39">
        <f t="shared" si="41"/>
        <v>1.9038553069972153E-4</v>
      </c>
      <c r="H365" s="64">
        <f t="shared" si="43"/>
        <v>0.2</v>
      </c>
      <c r="I365" s="65">
        <f t="shared" si="44"/>
        <v>0.3</v>
      </c>
      <c r="J365" s="66">
        <v>0.2</v>
      </c>
      <c r="K365" s="65">
        <f t="shared" si="42"/>
        <v>0.8</v>
      </c>
      <c r="L365" s="28">
        <f t="shared" si="45"/>
        <v>2.2941460469107838E-3</v>
      </c>
      <c r="M365" s="71">
        <f t="shared" si="48"/>
        <v>1.7685459738926213E-3</v>
      </c>
      <c r="N365" s="51">
        <v>40529</v>
      </c>
      <c r="O365" s="77">
        <f t="shared" si="46"/>
        <v>0.27456846472828261</v>
      </c>
      <c r="P365" s="39">
        <f t="shared" si="47"/>
        <v>0.32028877855532523</v>
      </c>
    </row>
    <row r="366" spans="1:16" x14ac:dyDescent="0.3">
      <c r="A366" s="18">
        <v>40532</v>
      </c>
      <c r="B366" s="15">
        <v>26860</v>
      </c>
      <c r="C366" s="15">
        <v>52505</v>
      </c>
      <c r="D366" s="16">
        <v>2020.28</v>
      </c>
      <c r="E366" s="28">
        <f t="shared" si="41"/>
        <v>1.491424310216205E-3</v>
      </c>
      <c r="F366" s="39">
        <f t="shared" si="41"/>
        <v>-5.7104787284667502E-4</v>
      </c>
      <c r="H366" s="64">
        <f t="shared" si="43"/>
        <v>0.2</v>
      </c>
      <c r="I366" s="65">
        <f t="shared" si="44"/>
        <v>0.3</v>
      </c>
      <c r="J366" s="66">
        <v>0.3</v>
      </c>
      <c r="K366" s="65">
        <f t="shared" si="42"/>
        <v>0.7</v>
      </c>
      <c r="L366" s="28">
        <f t="shared" si="45"/>
        <v>2.557626195489071E-3</v>
      </c>
      <c r="M366" s="71">
        <f t="shared" si="48"/>
        <v>4.7693782072188984E-5</v>
      </c>
      <c r="N366" s="50">
        <v>40532</v>
      </c>
      <c r="O366" s="77">
        <f t="shared" si="46"/>
        <v>0.27461615851035481</v>
      </c>
      <c r="P366" s="39">
        <f t="shared" si="47"/>
        <v>0.31636629005564454</v>
      </c>
    </row>
    <row r="367" spans="1:16" x14ac:dyDescent="0.3">
      <c r="A367" s="17">
        <v>40533</v>
      </c>
      <c r="B367" s="13">
        <v>27100</v>
      </c>
      <c r="C367" s="13">
        <v>52660</v>
      </c>
      <c r="D367" s="14">
        <v>2037.09</v>
      </c>
      <c r="E367" s="28">
        <f t="shared" si="41"/>
        <v>8.9352196574832288E-3</v>
      </c>
      <c r="F367" s="39">
        <f t="shared" si="41"/>
        <v>2.9520998000189813E-3</v>
      </c>
      <c r="H367" s="64">
        <f t="shared" si="43"/>
        <v>0.2</v>
      </c>
      <c r="I367" s="65">
        <f t="shared" si="44"/>
        <v>0.3</v>
      </c>
      <c r="J367" s="66">
        <v>0.3</v>
      </c>
      <c r="K367" s="65">
        <f t="shared" si="42"/>
        <v>0.7</v>
      </c>
      <c r="L367" s="28">
        <f t="shared" si="45"/>
        <v>4.7693782072188984E-5</v>
      </c>
      <c r="M367" s="71">
        <f t="shared" si="48"/>
        <v>4.7470357572582554E-3</v>
      </c>
      <c r="N367" s="51">
        <v>40533</v>
      </c>
      <c r="O367" s="77">
        <f t="shared" si="46"/>
        <v>0.27936319426761308</v>
      </c>
      <c r="P367" s="39">
        <f t="shared" si="47"/>
        <v>0.32731928535126475</v>
      </c>
    </row>
    <row r="368" spans="1:16" x14ac:dyDescent="0.3">
      <c r="A368" s="17">
        <v>40534</v>
      </c>
      <c r="B368" s="13">
        <v>27120</v>
      </c>
      <c r="C368" s="13">
        <v>52820</v>
      </c>
      <c r="D368" s="14">
        <v>2038.11</v>
      </c>
      <c r="E368" s="28">
        <f t="shared" si="41"/>
        <v>7.3800738007379074E-4</v>
      </c>
      <c r="F368" s="39">
        <f t="shared" si="41"/>
        <v>3.0383592859855035E-3</v>
      </c>
      <c r="H368" s="64">
        <f t="shared" si="43"/>
        <v>0.2</v>
      </c>
      <c r="I368" s="65">
        <f t="shared" si="44"/>
        <v>0.3</v>
      </c>
      <c r="J368" s="66">
        <v>0.3</v>
      </c>
      <c r="K368" s="65">
        <f t="shared" si="42"/>
        <v>0.7</v>
      </c>
      <c r="L368" s="28">
        <f t="shared" si="45"/>
        <v>4.7470357572582554E-3</v>
      </c>
      <c r="M368" s="71">
        <f t="shared" si="48"/>
        <v>2.3482537142119893E-3</v>
      </c>
      <c r="N368" s="51">
        <v>40534</v>
      </c>
      <c r="O368" s="77">
        <f t="shared" si="46"/>
        <v>0.28171144798182507</v>
      </c>
      <c r="P368" s="39">
        <f t="shared" si="47"/>
        <v>0.32798389303725695</v>
      </c>
    </row>
    <row r="369" spans="1:16" x14ac:dyDescent="0.3">
      <c r="A369" s="18">
        <v>40535</v>
      </c>
      <c r="B369" s="15">
        <v>27070</v>
      </c>
      <c r="C369" s="15">
        <v>52755</v>
      </c>
      <c r="D369" s="70">
        <v>2037.53</v>
      </c>
      <c r="E369" s="71">
        <f t="shared" si="41"/>
        <v>-1.8436578171091567E-3</v>
      </c>
      <c r="F369" s="39">
        <f t="shared" si="41"/>
        <v>-1.2305944717909689E-3</v>
      </c>
      <c r="H369" s="64">
        <f t="shared" si="43"/>
        <v>0.2</v>
      </c>
      <c r="I369" s="65">
        <f t="shared" si="44"/>
        <v>0.3</v>
      </c>
      <c r="J369" s="66">
        <v>0.2</v>
      </c>
      <c r="K369" s="65">
        <f t="shared" si="42"/>
        <v>0.8</v>
      </c>
      <c r="L369" s="28">
        <f t="shared" si="45"/>
        <v>2.5782889048031614E-3</v>
      </c>
      <c r="M369" s="71">
        <f t="shared" si="48"/>
        <v>-1.3532071408546066E-3</v>
      </c>
      <c r="N369" s="50">
        <v>40535</v>
      </c>
      <c r="O369" s="77">
        <f t="shared" si="46"/>
        <v>0.28035824084097044</v>
      </c>
      <c r="P369" s="39">
        <f t="shared" si="47"/>
        <v>0.32760597886286935</v>
      </c>
    </row>
    <row r="370" spans="1:16" x14ac:dyDescent="0.3">
      <c r="A370" s="17">
        <v>40536</v>
      </c>
      <c r="B370" s="13">
        <v>26980</v>
      </c>
      <c r="C370" s="13">
        <v>52715</v>
      </c>
      <c r="D370" s="14">
        <v>2029.6</v>
      </c>
      <c r="E370" s="28">
        <f t="shared" si="41"/>
        <v>-3.3247137052087039E-3</v>
      </c>
      <c r="F370" s="39">
        <f t="shared" si="41"/>
        <v>-7.5822196948160947E-4</v>
      </c>
      <c r="H370" s="64">
        <f t="shared" si="43"/>
        <v>0.2</v>
      </c>
      <c r="I370" s="65">
        <f t="shared" si="44"/>
        <v>0.3</v>
      </c>
      <c r="J370" s="66">
        <v>0.2</v>
      </c>
      <c r="K370" s="65">
        <f t="shared" si="42"/>
        <v>0.8</v>
      </c>
      <c r="L370" s="28">
        <f t="shared" si="45"/>
        <v>-1.3532071408546066E-3</v>
      </c>
      <c r="M370" s="71">
        <f t="shared" si="48"/>
        <v>-1.2715203166270284E-3</v>
      </c>
      <c r="N370" s="51">
        <v>40536</v>
      </c>
      <c r="O370" s="77">
        <f t="shared" si="46"/>
        <v>0.27908672052434341</v>
      </c>
      <c r="P370" s="39">
        <f t="shared" si="47"/>
        <v>0.32243897989235948</v>
      </c>
    </row>
    <row r="371" spans="1:16" x14ac:dyDescent="0.3">
      <c r="A371" s="18">
        <v>40539</v>
      </c>
      <c r="B371" s="15">
        <v>26925</v>
      </c>
      <c r="C371" s="15">
        <v>52680</v>
      </c>
      <c r="D371" s="16">
        <v>2022.19</v>
      </c>
      <c r="E371" s="28">
        <f t="shared" si="41"/>
        <v>-2.0385470719050947E-3</v>
      </c>
      <c r="F371" s="39">
        <f t="shared" si="41"/>
        <v>-6.6394764298582931E-4</v>
      </c>
      <c r="H371" s="64">
        <f t="shared" si="43"/>
        <v>0.2</v>
      </c>
      <c r="I371" s="65">
        <f t="shared" si="44"/>
        <v>0.3</v>
      </c>
      <c r="J371" s="66">
        <v>0.2</v>
      </c>
      <c r="K371" s="65">
        <f t="shared" si="42"/>
        <v>0.8</v>
      </c>
      <c r="L371" s="28">
        <f t="shared" si="45"/>
        <v>-1.2715203166270284E-3</v>
      </c>
      <c r="M371" s="71">
        <f t="shared" si="48"/>
        <v>-9.3886752876968247E-4</v>
      </c>
      <c r="N371" s="50">
        <v>40539</v>
      </c>
      <c r="O371" s="77">
        <f t="shared" si="46"/>
        <v>0.27814785299557371</v>
      </c>
      <c r="P371" s="39">
        <f t="shared" si="47"/>
        <v>0.3176108005264735</v>
      </c>
    </row>
    <row r="372" spans="1:16" x14ac:dyDescent="0.3">
      <c r="A372" s="17">
        <v>40540</v>
      </c>
      <c r="B372" s="13">
        <v>27090</v>
      </c>
      <c r="C372" s="13">
        <v>52650</v>
      </c>
      <c r="D372" s="14">
        <v>2033.32</v>
      </c>
      <c r="E372" s="28">
        <f t="shared" si="41"/>
        <v>6.1281337047354167E-3</v>
      </c>
      <c r="F372" s="39">
        <f t="shared" si="41"/>
        <v>-5.6947608200452748E-4</v>
      </c>
      <c r="H372" s="64">
        <f t="shared" si="43"/>
        <v>0.2</v>
      </c>
      <c r="I372" s="65">
        <f t="shared" si="44"/>
        <v>0.3</v>
      </c>
      <c r="J372" s="66">
        <v>0.2</v>
      </c>
      <c r="K372" s="65">
        <f t="shared" si="42"/>
        <v>0.8</v>
      </c>
      <c r="L372" s="28">
        <f t="shared" si="45"/>
        <v>-9.3886752876968247E-4</v>
      </c>
      <c r="M372" s="71">
        <f t="shared" si="48"/>
        <v>7.7004587534346147E-4</v>
      </c>
      <c r="N372" s="51">
        <v>40540</v>
      </c>
      <c r="O372" s="77">
        <f t="shared" si="46"/>
        <v>0.27891789887091717</v>
      </c>
      <c r="P372" s="39">
        <f t="shared" si="47"/>
        <v>0.32486284321774361</v>
      </c>
    </row>
    <row r="373" spans="1:16" x14ac:dyDescent="0.3">
      <c r="A373" s="17">
        <v>40541</v>
      </c>
      <c r="B373" s="13">
        <v>27400</v>
      </c>
      <c r="C373" s="13">
        <v>52605</v>
      </c>
      <c r="D373" s="14">
        <v>2043.49</v>
      </c>
      <c r="E373" s="28">
        <f t="shared" si="41"/>
        <v>1.1443337024732436E-2</v>
      </c>
      <c r="F373" s="39">
        <f t="shared" si="41"/>
        <v>-8.5470085470085166E-4</v>
      </c>
      <c r="H373" s="64">
        <f t="shared" si="43"/>
        <v>0.2</v>
      </c>
      <c r="I373" s="65">
        <f t="shared" si="44"/>
        <v>0.3</v>
      </c>
      <c r="J373" s="66">
        <v>0.3</v>
      </c>
      <c r="K373" s="65">
        <f t="shared" si="42"/>
        <v>0.7</v>
      </c>
      <c r="L373" s="28">
        <f t="shared" si="45"/>
        <v>1.4398068540174558E-3</v>
      </c>
      <c r="M373" s="71">
        <f t="shared" si="48"/>
        <v>2.8347105091291345E-3</v>
      </c>
      <c r="N373" s="51">
        <v>40541</v>
      </c>
      <c r="O373" s="77">
        <f t="shared" si="46"/>
        <v>0.28175260938004631</v>
      </c>
      <c r="P373" s="39">
        <f t="shared" si="47"/>
        <v>0.33148937279278567</v>
      </c>
    </row>
    <row r="374" spans="1:16" x14ac:dyDescent="0.3">
      <c r="A374" s="18">
        <v>40542</v>
      </c>
      <c r="B374" s="15">
        <v>27550</v>
      </c>
      <c r="C374" s="15">
        <v>52675</v>
      </c>
      <c r="D374" s="70">
        <v>2051</v>
      </c>
      <c r="E374" s="71">
        <f t="shared" si="41"/>
        <v>5.4744525547445466E-3</v>
      </c>
      <c r="F374" s="39">
        <f t="shared" si="41"/>
        <v>1.3306719893546592E-3</v>
      </c>
      <c r="H374" s="64">
        <f t="shared" si="43"/>
        <v>0.2</v>
      </c>
      <c r="I374" s="65">
        <f t="shared" si="44"/>
        <v>0.3</v>
      </c>
      <c r="J374" s="66">
        <v>0.3</v>
      </c>
      <c r="K374" s="65">
        <f t="shared" si="42"/>
        <v>0.7</v>
      </c>
      <c r="L374" s="28">
        <f t="shared" si="45"/>
        <v>2.8347105091291345E-3</v>
      </c>
      <c r="M374" s="71">
        <f t="shared" si="48"/>
        <v>2.5738061589716255E-3</v>
      </c>
      <c r="N374" s="50">
        <v>40542</v>
      </c>
      <c r="O374" s="77">
        <f t="shared" si="46"/>
        <v>0.28432641553901794</v>
      </c>
      <c r="P374" s="39">
        <f t="shared" si="47"/>
        <v>0.33638270977494567</v>
      </c>
    </row>
    <row r="375" spans="1:16" x14ac:dyDescent="0.3">
      <c r="A375" s="17">
        <v>40546</v>
      </c>
      <c r="B375" s="13">
        <v>27735</v>
      </c>
      <c r="C375" s="13">
        <v>52560</v>
      </c>
      <c r="D375" s="14">
        <v>2070.08</v>
      </c>
      <c r="E375" s="28">
        <f t="shared" si="41"/>
        <v>6.7150635208710341E-3</v>
      </c>
      <c r="F375" s="39">
        <f t="shared" si="41"/>
        <v>-2.1831988609397612E-3</v>
      </c>
      <c r="H375" s="64">
        <f t="shared" si="43"/>
        <v>0.2</v>
      </c>
      <c r="I375" s="65">
        <f t="shared" si="44"/>
        <v>0.3</v>
      </c>
      <c r="J375" s="66">
        <v>0.3</v>
      </c>
      <c r="K375" s="65">
        <f t="shared" si="42"/>
        <v>0.7</v>
      </c>
      <c r="L375" s="28">
        <f t="shared" si="45"/>
        <v>2.5738061589716255E-3</v>
      </c>
      <c r="M375" s="71">
        <f t="shared" si="48"/>
        <v>4.8627985360347723E-4</v>
      </c>
      <c r="N375" s="51">
        <v>40546</v>
      </c>
      <c r="O375" s="77">
        <f t="shared" si="46"/>
        <v>0.28481269539262144</v>
      </c>
      <c r="P375" s="39">
        <f t="shared" si="47"/>
        <v>0.34881478295998014</v>
      </c>
    </row>
    <row r="376" spans="1:16" x14ac:dyDescent="0.3">
      <c r="A376" s="18">
        <v>40547</v>
      </c>
      <c r="B376" s="15">
        <v>27915</v>
      </c>
      <c r="C376" s="15">
        <v>52570</v>
      </c>
      <c r="D376" s="16">
        <v>2085.14</v>
      </c>
      <c r="E376" s="28">
        <f t="shared" si="41"/>
        <v>6.489994591671211E-3</v>
      </c>
      <c r="F376" s="39">
        <f t="shared" si="41"/>
        <v>1.9025875190248343E-4</v>
      </c>
      <c r="H376" s="64">
        <f t="shared" si="43"/>
        <v>0.2</v>
      </c>
      <c r="I376" s="65">
        <f t="shared" si="44"/>
        <v>0.3</v>
      </c>
      <c r="J376" s="66">
        <v>0.3</v>
      </c>
      <c r="K376" s="65">
        <f t="shared" si="42"/>
        <v>0.7</v>
      </c>
      <c r="L376" s="28">
        <f t="shared" si="45"/>
        <v>4.8627985360347723E-4</v>
      </c>
      <c r="M376" s="71">
        <f t="shared" si="48"/>
        <v>2.0801795038331017E-3</v>
      </c>
      <c r="N376" s="50">
        <v>40547</v>
      </c>
      <c r="O376" s="77">
        <f t="shared" si="46"/>
        <v>0.28689287489645454</v>
      </c>
      <c r="P376" s="39">
        <f t="shared" si="47"/>
        <v>0.35862751997080933</v>
      </c>
    </row>
    <row r="377" spans="1:16" x14ac:dyDescent="0.3">
      <c r="A377" s="17">
        <v>40548</v>
      </c>
      <c r="B377" s="13">
        <v>27935</v>
      </c>
      <c r="C377" s="13">
        <v>52545</v>
      </c>
      <c r="D377" s="14">
        <v>2082.5500000000002</v>
      </c>
      <c r="E377" s="28">
        <f t="shared" si="41"/>
        <v>7.1646068422004383E-4</v>
      </c>
      <c r="F377" s="39">
        <f t="shared" si="41"/>
        <v>-4.755564009891744E-4</v>
      </c>
      <c r="H377" s="64">
        <f t="shared" si="43"/>
        <v>0.2</v>
      </c>
      <c r="I377" s="65">
        <f t="shared" si="44"/>
        <v>0.3</v>
      </c>
      <c r="J377" s="66">
        <v>0.3</v>
      </c>
      <c r="K377" s="65">
        <f t="shared" si="42"/>
        <v>0.7</v>
      </c>
      <c r="L377" s="28">
        <f t="shared" si="45"/>
        <v>2.0801795038331017E-3</v>
      </c>
      <c r="M377" s="71">
        <f t="shared" si="48"/>
        <v>-1.1795127542640893E-4</v>
      </c>
      <c r="N377" s="51">
        <v>40548</v>
      </c>
      <c r="O377" s="77">
        <f t="shared" si="46"/>
        <v>0.28677492362102813</v>
      </c>
      <c r="P377" s="39">
        <f t="shared" si="47"/>
        <v>0.35693993770931898</v>
      </c>
    </row>
    <row r="378" spans="1:16" x14ac:dyDescent="0.3">
      <c r="A378" s="17">
        <v>40549</v>
      </c>
      <c r="B378" s="13">
        <v>27850</v>
      </c>
      <c r="C378" s="13">
        <v>52470</v>
      </c>
      <c r="D378" s="14">
        <v>2077.61</v>
      </c>
      <c r="E378" s="28">
        <f t="shared" si="41"/>
        <v>-3.0427778772149638E-3</v>
      </c>
      <c r="F378" s="39">
        <f t="shared" si="41"/>
        <v>-1.4273479874393757E-3</v>
      </c>
      <c r="H378" s="64">
        <f t="shared" si="43"/>
        <v>0.2</v>
      </c>
      <c r="I378" s="65">
        <f t="shared" si="44"/>
        <v>0.3</v>
      </c>
      <c r="J378" s="66">
        <v>0.3</v>
      </c>
      <c r="K378" s="65">
        <f t="shared" si="42"/>
        <v>0.7</v>
      </c>
      <c r="L378" s="28">
        <f t="shared" si="45"/>
        <v>-1.1795127542640893E-4</v>
      </c>
      <c r="M378" s="71">
        <f t="shared" si="48"/>
        <v>-1.911976954372052E-3</v>
      </c>
      <c r="N378" s="51">
        <v>40549</v>
      </c>
      <c r="O378" s="77">
        <f t="shared" si="46"/>
        <v>0.28486294666665607</v>
      </c>
      <c r="P378" s="39">
        <f t="shared" si="47"/>
        <v>0.35372115146539485</v>
      </c>
    </row>
    <row r="379" spans="1:16" x14ac:dyDescent="0.3">
      <c r="A379" s="18">
        <v>40550</v>
      </c>
      <c r="B379" s="15">
        <v>27950</v>
      </c>
      <c r="C379" s="15">
        <v>52430</v>
      </c>
      <c r="D379" s="70">
        <v>2086.1999999999998</v>
      </c>
      <c r="E379" s="71">
        <f t="shared" si="41"/>
        <v>3.5906642728904536E-3</v>
      </c>
      <c r="F379" s="39">
        <f t="shared" si="41"/>
        <v>-7.623403849819077E-4</v>
      </c>
      <c r="H379" s="64">
        <f t="shared" si="43"/>
        <v>0.2</v>
      </c>
      <c r="I379" s="65">
        <f t="shared" si="44"/>
        <v>0.3</v>
      </c>
      <c r="J379" s="66">
        <v>0.2</v>
      </c>
      <c r="K379" s="65">
        <f t="shared" si="42"/>
        <v>0.8</v>
      </c>
      <c r="L379" s="28">
        <f t="shared" si="45"/>
        <v>-1.7504339653944935E-3</v>
      </c>
      <c r="M379" s="71">
        <f t="shared" si="48"/>
        <v>1.0826054659256461E-4</v>
      </c>
      <c r="N379" s="50">
        <v>40550</v>
      </c>
      <c r="O379" s="77">
        <f t="shared" si="46"/>
        <v>0.28497120721324865</v>
      </c>
      <c r="P379" s="39">
        <f t="shared" si="47"/>
        <v>0.35931819070331117</v>
      </c>
    </row>
    <row r="380" spans="1:16" x14ac:dyDescent="0.3">
      <c r="A380" s="17">
        <v>40553</v>
      </c>
      <c r="B380" s="13">
        <v>27760</v>
      </c>
      <c r="C380" s="13">
        <v>52465</v>
      </c>
      <c r="D380" s="14">
        <v>2080.81</v>
      </c>
      <c r="E380" s="28">
        <f t="shared" si="41"/>
        <v>-6.7978533094812388E-3</v>
      </c>
      <c r="F380" s="39">
        <f t="shared" si="41"/>
        <v>6.6755674232310547E-4</v>
      </c>
      <c r="H380" s="64">
        <f t="shared" si="43"/>
        <v>0.2</v>
      </c>
      <c r="I380" s="65">
        <f t="shared" si="44"/>
        <v>0.3</v>
      </c>
      <c r="J380" s="66">
        <v>0.3</v>
      </c>
      <c r="K380" s="65">
        <f t="shared" si="42"/>
        <v>0.7</v>
      </c>
      <c r="L380" s="28">
        <f t="shared" si="45"/>
        <v>5.4356101237980066E-4</v>
      </c>
      <c r="M380" s="71">
        <f t="shared" si="48"/>
        <v>-1.5720662732181976E-3</v>
      </c>
      <c r="N380" s="51">
        <v>40553</v>
      </c>
      <c r="O380" s="77">
        <f t="shared" si="46"/>
        <v>0.28339914094003044</v>
      </c>
      <c r="P380" s="39">
        <f t="shared" si="47"/>
        <v>0.35580619518615531</v>
      </c>
    </row>
    <row r="381" spans="1:16" x14ac:dyDescent="0.3">
      <c r="A381" s="18">
        <v>40554</v>
      </c>
      <c r="B381" s="15">
        <v>27900</v>
      </c>
      <c r="C381" s="15">
        <v>52455</v>
      </c>
      <c r="D381" s="16">
        <v>2088.3200000000002</v>
      </c>
      <c r="E381" s="28">
        <f t="shared" si="41"/>
        <v>5.0432276657059738E-3</v>
      </c>
      <c r="F381" s="39">
        <f t="shared" si="41"/>
        <v>-1.9060325931574695E-4</v>
      </c>
      <c r="H381" s="64">
        <f t="shared" si="43"/>
        <v>0.2</v>
      </c>
      <c r="I381" s="65">
        <f t="shared" si="44"/>
        <v>0.3</v>
      </c>
      <c r="J381" s="66">
        <v>0.2</v>
      </c>
      <c r="K381" s="65">
        <f t="shared" si="42"/>
        <v>0.8</v>
      </c>
      <c r="L381" s="28">
        <f t="shared" si="45"/>
        <v>-8.2552526803776356E-4</v>
      </c>
      <c r="M381" s="71">
        <f t="shared" si="48"/>
        <v>8.5616292568859733E-4</v>
      </c>
      <c r="N381" s="50">
        <v>40554</v>
      </c>
      <c r="O381" s="77">
        <f t="shared" si="46"/>
        <v>0.28425530386571901</v>
      </c>
      <c r="P381" s="39">
        <f t="shared" si="47"/>
        <v>0.3606995321683153</v>
      </c>
    </row>
    <row r="382" spans="1:16" x14ac:dyDescent="0.3">
      <c r="A382" s="17">
        <v>40555</v>
      </c>
      <c r="B382" s="13">
        <v>27980</v>
      </c>
      <c r="C382" s="13">
        <v>52535</v>
      </c>
      <c r="D382" s="14">
        <v>2094.9499999999998</v>
      </c>
      <c r="E382" s="28">
        <f t="shared" si="41"/>
        <v>2.8673835125447855E-3</v>
      </c>
      <c r="F382" s="39">
        <f t="shared" si="41"/>
        <v>1.5251167667524879E-3</v>
      </c>
      <c r="H382" s="64">
        <f t="shared" si="43"/>
        <v>0.2</v>
      </c>
      <c r="I382" s="65">
        <f t="shared" si="44"/>
        <v>0.3</v>
      </c>
      <c r="J382" s="66">
        <v>0.3</v>
      </c>
      <c r="K382" s="65">
        <f t="shared" si="42"/>
        <v>0.7</v>
      </c>
      <c r="L382" s="28">
        <f t="shared" si="45"/>
        <v>1.3795460181907691E-3</v>
      </c>
      <c r="M382" s="71">
        <f t="shared" si="48"/>
        <v>1.9277967904901771E-3</v>
      </c>
      <c r="N382" s="51">
        <v>40555</v>
      </c>
      <c r="O382" s="77">
        <f t="shared" si="46"/>
        <v>0.28618310065620917</v>
      </c>
      <c r="P382" s="39">
        <f t="shared" si="47"/>
        <v>0.36501948212726565</v>
      </c>
    </row>
    <row r="383" spans="1:16" x14ac:dyDescent="0.3">
      <c r="A383" s="17">
        <v>40556</v>
      </c>
      <c r="B383" s="13">
        <v>28040</v>
      </c>
      <c r="C383" s="13">
        <v>52410</v>
      </c>
      <c r="D383" s="14">
        <v>2089.48</v>
      </c>
      <c r="E383" s="28">
        <f t="shared" si="41"/>
        <v>2.1443888491778917E-3</v>
      </c>
      <c r="F383" s="39">
        <f t="shared" si="41"/>
        <v>-2.3793661368611829E-3</v>
      </c>
      <c r="H383" s="64">
        <f t="shared" si="43"/>
        <v>0.2</v>
      </c>
      <c r="I383" s="65">
        <f t="shared" si="44"/>
        <v>0.3</v>
      </c>
      <c r="J383" s="66">
        <v>0.3</v>
      </c>
      <c r="K383" s="65">
        <f t="shared" si="42"/>
        <v>0.7</v>
      </c>
      <c r="L383" s="28">
        <f t="shared" si="45"/>
        <v>1.9277967904901771E-3</v>
      </c>
      <c r="M383" s="71">
        <f t="shared" si="48"/>
        <v>-1.0222396410494603E-3</v>
      </c>
      <c r="N383" s="51">
        <v>40556</v>
      </c>
      <c r="O383" s="77">
        <f t="shared" si="46"/>
        <v>0.28516086101515969</v>
      </c>
      <c r="P383" s="39">
        <f t="shared" si="47"/>
        <v>0.36145536051709093</v>
      </c>
    </row>
    <row r="384" spans="1:16" x14ac:dyDescent="0.3">
      <c r="A384" s="18">
        <v>40557</v>
      </c>
      <c r="B384" s="15">
        <v>28325</v>
      </c>
      <c r="C384" s="15">
        <v>52435</v>
      </c>
      <c r="D384" s="70">
        <v>2108.17</v>
      </c>
      <c r="E384" s="71">
        <f t="shared" si="41"/>
        <v>1.0164051355206816E-2</v>
      </c>
      <c r="F384" s="39">
        <f t="shared" si="41"/>
        <v>4.7700820454110726E-4</v>
      </c>
      <c r="H384" s="64">
        <f t="shared" si="43"/>
        <v>0.2</v>
      </c>
      <c r="I384" s="65">
        <f t="shared" si="44"/>
        <v>0.3</v>
      </c>
      <c r="J384" s="66">
        <v>0.3</v>
      </c>
      <c r="K384" s="65">
        <f t="shared" si="42"/>
        <v>0.7</v>
      </c>
      <c r="L384" s="28">
        <f t="shared" si="45"/>
        <v>-1.0222396410494603E-3</v>
      </c>
      <c r="M384" s="71">
        <f t="shared" si="48"/>
        <v>3.3831211497408198E-3</v>
      </c>
      <c r="N384" s="50">
        <v>40557</v>
      </c>
      <c r="O384" s="77">
        <f t="shared" si="46"/>
        <v>0.28854398216490051</v>
      </c>
      <c r="P384" s="39">
        <f t="shared" si="47"/>
        <v>0.37363331899865782</v>
      </c>
    </row>
    <row r="385" spans="1:16" x14ac:dyDescent="0.3">
      <c r="A385" s="17">
        <v>40560</v>
      </c>
      <c r="B385" s="13">
        <v>28100</v>
      </c>
      <c r="C385" s="13">
        <v>52415</v>
      </c>
      <c r="D385" s="14">
        <v>2099.85</v>
      </c>
      <c r="E385" s="28">
        <f t="shared" si="41"/>
        <v>-7.9435127978817466E-3</v>
      </c>
      <c r="F385" s="39">
        <f t="shared" si="41"/>
        <v>-3.8142462095924756E-4</v>
      </c>
      <c r="H385" s="64">
        <f t="shared" si="43"/>
        <v>0.2</v>
      </c>
      <c r="I385" s="65">
        <f t="shared" si="44"/>
        <v>0.3</v>
      </c>
      <c r="J385" s="66">
        <v>0.3</v>
      </c>
      <c r="K385" s="65">
        <f t="shared" si="42"/>
        <v>0.7</v>
      </c>
      <c r="L385" s="28">
        <f t="shared" si="45"/>
        <v>3.3831211497408198E-3</v>
      </c>
      <c r="M385" s="71">
        <f t="shared" si="48"/>
        <v>-2.6500510740359974E-3</v>
      </c>
      <c r="N385" s="51">
        <v>40560</v>
      </c>
      <c r="O385" s="77">
        <f t="shared" si="46"/>
        <v>0.28589393109086453</v>
      </c>
      <c r="P385" s="39">
        <f t="shared" si="47"/>
        <v>0.36821220532468035</v>
      </c>
    </row>
    <row r="386" spans="1:16" x14ac:dyDescent="0.3">
      <c r="A386" s="18">
        <v>40561</v>
      </c>
      <c r="B386" s="15">
        <v>28020</v>
      </c>
      <c r="C386" s="15">
        <v>52440</v>
      </c>
      <c r="D386" s="16">
        <v>2096.48</v>
      </c>
      <c r="E386" s="28">
        <f t="shared" si="41"/>
        <v>-2.846975088967918E-3</v>
      </c>
      <c r="F386" s="39">
        <f t="shared" si="41"/>
        <v>4.7696270151664777E-4</v>
      </c>
      <c r="H386" s="64">
        <f t="shared" si="43"/>
        <v>0.2</v>
      </c>
      <c r="I386" s="65">
        <f t="shared" si="44"/>
        <v>0.3</v>
      </c>
      <c r="J386" s="66">
        <v>0.2</v>
      </c>
      <c r="K386" s="65">
        <f t="shared" si="42"/>
        <v>0.8</v>
      </c>
      <c r="L386" s="28">
        <f t="shared" si="45"/>
        <v>-1.8938422563437476E-3</v>
      </c>
      <c r="M386" s="71">
        <f t="shared" si="48"/>
        <v>-1.8782485658026544E-4</v>
      </c>
      <c r="N386" s="50">
        <v>40561</v>
      </c>
      <c r="O386" s="77">
        <f t="shared" si="46"/>
        <v>0.28570610623428427</v>
      </c>
      <c r="P386" s="39">
        <f t="shared" si="47"/>
        <v>0.36601639365625438</v>
      </c>
    </row>
    <row r="387" spans="1:16" x14ac:dyDescent="0.3">
      <c r="A387" s="17">
        <v>40562</v>
      </c>
      <c r="B387" s="13">
        <v>28300</v>
      </c>
      <c r="C387" s="13">
        <v>52320</v>
      </c>
      <c r="D387" s="14">
        <v>2115.69</v>
      </c>
      <c r="E387" s="28">
        <f t="shared" si="41"/>
        <v>9.992862241256173E-3</v>
      </c>
      <c r="F387" s="39">
        <f t="shared" si="41"/>
        <v>-2.2883295194507935E-3</v>
      </c>
      <c r="H387" s="64">
        <f t="shared" si="43"/>
        <v>0.2</v>
      </c>
      <c r="I387" s="65">
        <f t="shared" si="44"/>
        <v>0.3</v>
      </c>
      <c r="J387" s="66">
        <v>0.2</v>
      </c>
      <c r="K387" s="65">
        <f t="shared" si="42"/>
        <v>0.8</v>
      </c>
      <c r="L387" s="28">
        <f t="shared" si="45"/>
        <v>-1.8782485658026544E-4</v>
      </c>
      <c r="M387" s="71">
        <f t="shared" si="48"/>
        <v>1.6790883269059988E-4</v>
      </c>
      <c r="N387" s="51">
        <v>40562</v>
      </c>
      <c r="O387" s="77">
        <f t="shared" si="46"/>
        <v>0.28587401506697485</v>
      </c>
      <c r="P387" s="39">
        <f t="shared" si="47"/>
        <v>0.37853317174244494</v>
      </c>
    </row>
    <row r="388" spans="1:16" x14ac:dyDescent="0.3">
      <c r="A388" s="17">
        <v>40563</v>
      </c>
      <c r="B388" s="13">
        <v>28150</v>
      </c>
      <c r="C388" s="13">
        <v>52300</v>
      </c>
      <c r="D388" s="14">
        <v>2106.66</v>
      </c>
      <c r="E388" s="28">
        <f t="shared" si="41"/>
        <v>-5.300353356890497E-3</v>
      </c>
      <c r="F388" s="39">
        <f t="shared" si="41"/>
        <v>-3.8226299694188448E-4</v>
      </c>
      <c r="H388" s="64">
        <f t="shared" si="43"/>
        <v>0.2</v>
      </c>
      <c r="I388" s="65">
        <f t="shared" si="44"/>
        <v>0.3</v>
      </c>
      <c r="J388" s="66">
        <v>0.3</v>
      </c>
      <c r="K388" s="65">
        <f t="shared" si="42"/>
        <v>0.7</v>
      </c>
      <c r="L388" s="28">
        <f t="shared" si="45"/>
        <v>1.3960280087612963E-3</v>
      </c>
      <c r="M388" s="71">
        <f t="shared" si="48"/>
        <v>-1.8576901049264683E-3</v>
      </c>
      <c r="N388" s="51">
        <v>40563</v>
      </c>
      <c r="O388" s="77">
        <f t="shared" si="46"/>
        <v>0.28401632496204837</v>
      </c>
      <c r="P388" s="39">
        <f t="shared" si="47"/>
        <v>0.3726494389929238</v>
      </c>
    </row>
    <row r="389" spans="1:16" x14ac:dyDescent="0.3">
      <c r="A389" s="18">
        <v>40564</v>
      </c>
      <c r="B389" s="15">
        <v>27625</v>
      </c>
      <c r="C389" s="15">
        <v>52335</v>
      </c>
      <c r="D389" s="70">
        <v>2069.92</v>
      </c>
      <c r="E389" s="71">
        <f t="shared" si="41"/>
        <v>-1.8650088809946674E-2</v>
      </c>
      <c r="F389" s="39">
        <f t="shared" si="41"/>
        <v>6.692160611854181E-4</v>
      </c>
      <c r="H389" s="64">
        <f t="shared" si="43"/>
        <v>0.2</v>
      </c>
      <c r="I389" s="65">
        <f t="shared" si="44"/>
        <v>0.3</v>
      </c>
      <c r="J389" s="66">
        <v>0.2</v>
      </c>
      <c r="K389" s="65">
        <f t="shared" si="42"/>
        <v>0.8</v>
      </c>
      <c r="L389" s="28">
        <f t="shared" si="45"/>
        <v>-1.3658810689316069E-3</v>
      </c>
      <c r="M389" s="71">
        <f t="shared" si="48"/>
        <v>-3.1946449130410004E-3</v>
      </c>
      <c r="N389" s="50">
        <v>40564</v>
      </c>
      <c r="O389" s="77">
        <f t="shared" si="46"/>
        <v>0.28082168004900737</v>
      </c>
      <c r="P389" s="39">
        <f t="shared" si="47"/>
        <v>0.34871053077394221</v>
      </c>
    </row>
    <row r="390" spans="1:16" x14ac:dyDescent="0.3">
      <c r="A390" s="17">
        <v>40567</v>
      </c>
      <c r="B390" s="13">
        <v>27805</v>
      </c>
      <c r="C390" s="13">
        <v>52330</v>
      </c>
      <c r="D390" s="14">
        <v>2082.16</v>
      </c>
      <c r="E390" s="28">
        <f t="shared" si="41"/>
        <v>6.5158371040723306E-3</v>
      </c>
      <c r="F390" s="39">
        <f t="shared" si="41"/>
        <v>-9.5538358650948396E-5</v>
      </c>
      <c r="H390" s="64">
        <f t="shared" si="43"/>
        <v>0.2</v>
      </c>
      <c r="I390" s="65">
        <f t="shared" si="44"/>
        <v>0.3</v>
      </c>
      <c r="J390" s="66">
        <v>0.2</v>
      </c>
      <c r="K390" s="65">
        <f t="shared" si="42"/>
        <v>0.8</v>
      </c>
      <c r="L390" s="28">
        <f t="shared" si="45"/>
        <v>-3.1946449130410004E-3</v>
      </c>
      <c r="M390" s="71">
        <f t="shared" si="48"/>
        <v>1.2267367338937075E-3</v>
      </c>
      <c r="N390" s="51">
        <v>40567</v>
      </c>
      <c r="O390" s="77">
        <f t="shared" si="46"/>
        <v>0.2820484167829011</v>
      </c>
      <c r="P390" s="39">
        <f t="shared" si="47"/>
        <v>0.35668582300585094</v>
      </c>
    </row>
    <row r="391" spans="1:16" x14ac:dyDescent="0.3">
      <c r="A391" s="18">
        <v>40568</v>
      </c>
      <c r="B391" s="15">
        <v>27970</v>
      </c>
      <c r="C391" s="15">
        <v>52350</v>
      </c>
      <c r="D391" s="16">
        <v>2086.67</v>
      </c>
      <c r="E391" s="28">
        <f t="shared" si="41"/>
        <v>5.9341844991906978E-3</v>
      </c>
      <c r="F391" s="39">
        <f t="shared" si="41"/>
        <v>3.8218994840444331E-4</v>
      </c>
      <c r="H391" s="64">
        <f t="shared" si="43"/>
        <v>0.2</v>
      </c>
      <c r="I391" s="65">
        <f t="shared" si="44"/>
        <v>0.3</v>
      </c>
      <c r="J391" s="66">
        <v>0.3</v>
      </c>
      <c r="K391" s="65">
        <f t="shared" si="42"/>
        <v>0.7</v>
      </c>
      <c r="L391" s="28">
        <f t="shared" si="45"/>
        <v>1.8878742801660352E-3</v>
      </c>
      <c r="M391" s="71">
        <f t="shared" si="48"/>
        <v>2.0477883136403195E-3</v>
      </c>
      <c r="N391" s="50">
        <v>40568</v>
      </c>
      <c r="O391" s="77">
        <f t="shared" si="46"/>
        <v>0.28409620509654143</v>
      </c>
      <c r="P391" s="39">
        <f t="shared" si="47"/>
        <v>0.35962443149979806</v>
      </c>
    </row>
    <row r="392" spans="1:16" x14ac:dyDescent="0.3">
      <c r="A392" s="17">
        <v>40569</v>
      </c>
      <c r="B392" s="13">
        <v>28275</v>
      </c>
      <c r="C392" s="13">
        <v>52350</v>
      </c>
      <c r="D392" s="14">
        <v>2110.46</v>
      </c>
      <c r="E392" s="28">
        <f t="shared" si="41"/>
        <v>1.0904540579192101E-2</v>
      </c>
      <c r="F392" s="39">
        <f t="shared" si="41"/>
        <v>0</v>
      </c>
      <c r="H392" s="64">
        <f t="shared" si="43"/>
        <v>0.2</v>
      </c>
      <c r="I392" s="65">
        <f t="shared" si="44"/>
        <v>0.3</v>
      </c>
      <c r="J392" s="66">
        <v>0.3</v>
      </c>
      <c r="K392" s="65">
        <f t="shared" si="42"/>
        <v>0.7</v>
      </c>
      <c r="L392" s="28">
        <f t="shared" si="45"/>
        <v>2.0477883136403195E-3</v>
      </c>
      <c r="M392" s="71">
        <f t="shared" si="48"/>
        <v>3.2713621737576301E-3</v>
      </c>
      <c r="N392" s="51">
        <v>40569</v>
      </c>
      <c r="O392" s="77">
        <f t="shared" si="46"/>
        <v>0.28736756727029905</v>
      </c>
      <c r="P392" s="39">
        <f t="shared" si="47"/>
        <v>0.37512542841132701</v>
      </c>
    </row>
    <row r="393" spans="1:16" x14ac:dyDescent="0.3">
      <c r="A393" s="17">
        <v>40570</v>
      </c>
      <c r="B393" s="13">
        <v>28310</v>
      </c>
      <c r="C393" s="13">
        <v>52400</v>
      </c>
      <c r="D393" s="14">
        <v>2115.0100000000002</v>
      </c>
      <c r="E393" s="28">
        <f t="shared" si="41"/>
        <v>1.2378426171528734E-3</v>
      </c>
      <c r="F393" s="39">
        <f t="shared" si="41"/>
        <v>9.5510983763125168E-4</v>
      </c>
      <c r="H393" s="64">
        <f t="shared" si="43"/>
        <v>0.2</v>
      </c>
      <c r="I393" s="65">
        <f t="shared" si="44"/>
        <v>0.3</v>
      </c>
      <c r="J393" s="66">
        <v>0.3</v>
      </c>
      <c r="K393" s="65">
        <f t="shared" si="42"/>
        <v>0.7</v>
      </c>
      <c r="L393" s="28">
        <f t="shared" si="45"/>
        <v>3.2713621737576301E-3</v>
      </c>
      <c r="M393" s="71">
        <f t="shared" si="48"/>
        <v>1.039929671487738E-3</v>
      </c>
      <c r="N393" s="51">
        <v>40570</v>
      </c>
      <c r="O393" s="77">
        <f t="shared" si="46"/>
        <v>0.2884074969417868</v>
      </c>
      <c r="P393" s="39">
        <f t="shared" si="47"/>
        <v>0.37809009995178355</v>
      </c>
    </row>
    <row r="394" spans="1:16" x14ac:dyDescent="0.3">
      <c r="A394" s="18">
        <v>40571</v>
      </c>
      <c r="B394" s="15">
        <v>28295</v>
      </c>
      <c r="C394" s="15">
        <v>52420</v>
      </c>
      <c r="D394" s="70">
        <v>2107.87</v>
      </c>
      <c r="E394" s="71">
        <f t="shared" si="41"/>
        <v>-5.2984811020839739E-4</v>
      </c>
      <c r="F394" s="39">
        <f t="shared" si="41"/>
        <v>3.8167938931299439E-4</v>
      </c>
      <c r="H394" s="64">
        <f t="shared" si="43"/>
        <v>0.2</v>
      </c>
      <c r="I394" s="65">
        <f t="shared" si="44"/>
        <v>0.3</v>
      </c>
      <c r="J394" s="66">
        <v>0.3</v>
      </c>
      <c r="K394" s="65">
        <f t="shared" si="42"/>
        <v>0.7</v>
      </c>
      <c r="L394" s="28">
        <f t="shared" si="45"/>
        <v>1.039929671487738E-3</v>
      </c>
      <c r="M394" s="71">
        <f t="shared" si="48"/>
        <v>1.0822113945657685E-4</v>
      </c>
      <c r="N394" s="50">
        <v>40571</v>
      </c>
      <c r="O394" s="77">
        <f t="shared" si="46"/>
        <v>0.28851571808124338</v>
      </c>
      <c r="P394" s="39">
        <f t="shared" si="47"/>
        <v>0.37343784614983644</v>
      </c>
    </row>
    <row r="395" spans="1:16" x14ac:dyDescent="0.3">
      <c r="A395" s="17">
        <v>40574</v>
      </c>
      <c r="B395" s="13">
        <v>27775</v>
      </c>
      <c r="C395" s="13">
        <v>52340</v>
      </c>
      <c r="D395" s="14">
        <v>2069.73</v>
      </c>
      <c r="E395" s="28">
        <f t="shared" si="41"/>
        <v>-1.8377805265948011E-2</v>
      </c>
      <c r="F395" s="39">
        <f t="shared" si="41"/>
        <v>-1.5261350629530712E-3</v>
      </c>
      <c r="H395" s="64">
        <f t="shared" si="43"/>
        <v>0.2</v>
      </c>
      <c r="I395" s="65">
        <f t="shared" si="44"/>
        <v>0.3</v>
      </c>
      <c r="J395" s="66">
        <v>0.2</v>
      </c>
      <c r="K395" s="65">
        <f t="shared" si="42"/>
        <v>0.8</v>
      </c>
      <c r="L395" s="28">
        <f t="shared" si="45"/>
        <v>1.9937388940871603E-4</v>
      </c>
      <c r="M395" s="71">
        <f t="shared" si="48"/>
        <v>-4.8964691035520598E-3</v>
      </c>
      <c r="N395" s="51">
        <v>40574</v>
      </c>
      <c r="O395" s="77">
        <f t="shared" si="46"/>
        <v>0.28361924897769131</v>
      </c>
      <c r="P395" s="39">
        <f t="shared" si="47"/>
        <v>0.34858673130302198</v>
      </c>
    </row>
    <row r="396" spans="1:16" x14ac:dyDescent="0.3">
      <c r="A396" s="18">
        <v>40575</v>
      </c>
      <c r="B396" s="15">
        <v>27830</v>
      </c>
      <c r="C396" s="15">
        <v>52350</v>
      </c>
      <c r="D396" s="16">
        <v>2072.0300000000002</v>
      </c>
      <c r="E396" s="28">
        <f t="shared" si="41"/>
        <v>1.980198019801982E-3</v>
      </c>
      <c r="F396" s="39">
        <f t="shared" si="41"/>
        <v>1.9105846389000369E-4</v>
      </c>
      <c r="H396" s="64">
        <f t="shared" si="43"/>
        <v>0.2</v>
      </c>
      <c r="I396" s="65">
        <f t="shared" si="44"/>
        <v>0.3</v>
      </c>
      <c r="J396" s="66">
        <v>0.2</v>
      </c>
      <c r="K396" s="65">
        <f t="shared" si="42"/>
        <v>0.8</v>
      </c>
      <c r="L396" s="28">
        <f t="shared" si="45"/>
        <v>-4.8964691035520598E-3</v>
      </c>
      <c r="M396" s="71">
        <f t="shared" si="48"/>
        <v>5.488863750723993E-4</v>
      </c>
      <c r="N396" s="50">
        <v>40575</v>
      </c>
      <c r="O396" s="77">
        <f t="shared" si="46"/>
        <v>0.2841681353527637</v>
      </c>
      <c r="P396" s="39">
        <f t="shared" si="47"/>
        <v>0.35008535647731875</v>
      </c>
    </row>
    <row r="397" spans="1:16" x14ac:dyDescent="0.3">
      <c r="A397" s="17">
        <v>40581</v>
      </c>
      <c r="B397" s="13">
        <v>27920</v>
      </c>
      <c r="C397" s="13">
        <v>52230</v>
      </c>
      <c r="D397" s="14">
        <v>2081.7399999999998</v>
      </c>
      <c r="E397" s="28">
        <f t="shared" si="41"/>
        <v>3.2339202299676018E-3</v>
      </c>
      <c r="F397" s="39">
        <f t="shared" si="41"/>
        <v>-2.2922636103152039E-3</v>
      </c>
      <c r="H397" s="64">
        <f t="shared" si="43"/>
        <v>0.2</v>
      </c>
      <c r="I397" s="65">
        <f t="shared" si="44"/>
        <v>0.3</v>
      </c>
      <c r="J397" s="66">
        <v>0.3</v>
      </c>
      <c r="K397" s="65">
        <f t="shared" si="42"/>
        <v>0.7</v>
      </c>
      <c r="L397" s="28">
        <f t="shared" si="45"/>
        <v>7.2780033066359722E-4</v>
      </c>
      <c r="M397" s="71">
        <f t="shared" si="48"/>
        <v>-6.3440845823036212E-4</v>
      </c>
      <c r="N397" s="51">
        <v>40581</v>
      </c>
      <c r="O397" s="77">
        <f t="shared" si="46"/>
        <v>0.28353372689453332</v>
      </c>
      <c r="P397" s="39">
        <f t="shared" si="47"/>
        <v>0.35641216101750128</v>
      </c>
    </row>
    <row r="398" spans="1:16" x14ac:dyDescent="0.3">
      <c r="A398" s="17">
        <v>40582</v>
      </c>
      <c r="B398" s="13">
        <v>27710</v>
      </c>
      <c r="C398" s="13">
        <v>52255</v>
      </c>
      <c r="D398" s="14">
        <v>2069.6999999999998</v>
      </c>
      <c r="E398" s="28">
        <f t="shared" si="41"/>
        <v>-7.5214899713467176E-3</v>
      </c>
      <c r="F398" s="39">
        <f t="shared" si="41"/>
        <v>4.7865211564235288E-4</v>
      </c>
      <c r="H398" s="64">
        <f t="shared" si="43"/>
        <v>0.2</v>
      </c>
      <c r="I398" s="65">
        <f t="shared" si="44"/>
        <v>0.3</v>
      </c>
      <c r="J398" s="66">
        <v>0.3</v>
      </c>
      <c r="K398" s="65">
        <f t="shared" si="42"/>
        <v>0.7</v>
      </c>
      <c r="L398" s="28">
        <f t="shared" si="45"/>
        <v>-6.3440845823036212E-4</v>
      </c>
      <c r="M398" s="71">
        <f t="shared" si="48"/>
        <v>-1.9213905104543683E-3</v>
      </c>
      <c r="N398" s="51">
        <v>40582</v>
      </c>
      <c r="O398" s="77">
        <f t="shared" si="46"/>
        <v>0.28161233638407895</v>
      </c>
      <c r="P398" s="39">
        <f t="shared" si="47"/>
        <v>0.34856718401813969</v>
      </c>
    </row>
    <row r="399" spans="1:16" x14ac:dyDescent="0.3">
      <c r="A399" s="18">
        <v>40583</v>
      </c>
      <c r="B399" s="15">
        <v>27400</v>
      </c>
      <c r="C399" s="15">
        <v>52300</v>
      </c>
      <c r="D399" s="70">
        <v>2045.58</v>
      </c>
      <c r="E399" s="71">
        <f t="shared" si="41"/>
        <v>-1.1187297004691454E-2</v>
      </c>
      <c r="F399" s="39">
        <f t="shared" si="41"/>
        <v>8.6116161132898661E-4</v>
      </c>
      <c r="H399" s="64">
        <f t="shared" si="43"/>
        <v>0.2</v>
      </c>
      <c r="I399" s="65">
        <f t="shared" si="44"/>
        <v>0.3</v>
      </c>
      <c r="J399" s="66">
        <v>0.2</v>
      </c>
      <c r="K399" s="65">
        <f t="shared" si="42"/>
        <v>0.8</v>
      </c>
      <c r="L399" s="28">
        <f t="shared" si="45"/>
        <v>-1.1213763017554612E-3</v>
      </c>
      <c r="M399" s="71">
        <f t="shared" si="48"/>
        <v>-1.5485301118751018E-3</v>
      </c>
      <c r="N399" s="50">
        <v>40583</v>
      </c>
      <c r="O399" s="77">
        <f t="shared" si="46"/>
        <v>0.28006380627220384</v>
      </c>
      <c r="P399" s="39">
        <f t="shared" si="47"/>
        <v>0.33285116697290751</v>
      </c>
    </row>
    <row r="400" spans="1:16" x14ac:dyDescent="0.3">
      <c r="A400" s="17">
        <v>40584</v>
      </c>
      <c r="B400" s="13">
        <v>27170</v>
      </c>
      <c r="C400" s="13">
        <v>52410</v>
      </c>
      <c r="D400" s="14">
        <v>2008.5</v>
      </c>
      <c r="E400" s="28">
        <f t="shared" si="41"/>
        <v>-8.3941605839416011E-3</v>
      </c>
      <c r="F400" s="39">
        <f t="shared" si="41"/>
        <v>2.1032504780114092E-3</v>
      </c>
      <c r="H400" s="64">
        <f t="shared" si="43"/>
        <v>0.2</v>
      </c>
      <c r="I400" s="65">
        <f t="shared" si="44"/>
        <v>0.3</v>
      </c>
      <c r="J400" s="66">
        <v>0.2</v>
      </c>
      <c r="K400" s="65">
        <f t="shared" si="42"/>
        <v>0.8</v>
      </c>
      <c r="L400" s="28">
        <f t="shared" si="45"/>
        <v>-1.5485301118751018E-3</v>
      </c>
      <c r="M400" s="71">
        <f t="shared" si="48"/>
        <v>3.7682656208071642E-6</v>
      </c>
      <c r="N400" s="51">
        <v>40584</v>
      </c>
      <c r="O400" s="77">
        <f t="shared" si="46"/>
        <v>0.28006757453782466</v>
      </c>
      <c r="P400" s="39">
        <f t="shared" si="47"/>
        <v>0.30869072285859489</v>
      </c>
    </row>
    <row r="401" spans="1:16" x14ac:dyDescent="0.3">
      <c r="A401" s="18">
        <v>40585</v>
      </c>
      <c r="B401" s="15">
        <v>26495</v>
      </c>
      <c r="C401" s="15">
        <v>52390</v>
      </c>
      <c r="D401" s="16">
        <v>1977.19</v>
      </c>
      <c r="E401" s="28">
        <f t="shared" ref="E401:F464" si="49">B401/B400-1</f>
        <v>-2.484357747515642E-2</v>
      </c>
      <c r="F401" s="39">
        <f t="shared" si="49"/>
        <v>-3.816065636328414E-4</v>
      </c>
      <c r="H401" s="64">
        <f t="shared" si="43"/>
        <v>0.2</v>
      </c>
      <c r="I401" s="65">
        <f t="shared" si="44"/>
        <v>0.3</v>
      </c>
      <c r="J401" s="66">
        <v>0.2</v>
      </c>
      <c r="K401" s="65">
        <f t="shared" ref="K401:K464" si="50">1-J401</f>
        <v>0.8</v>
      </c>
      <c r="L401" s="28">
        <f t="shared" si="45"/>
        <v>3.7682656208071642E-6</v>
      </c>
      <c r="M401" s="71">
        <f t="shared" si="48"/>
        <v>-5.2740007459375574E-3</v>
      </c>
      <c r="N401" s="50">
        <v>40585</v>
      </c>
      <c r="O401" s="77">
        <f t="shared" si="46"/>
        <v>0.27479357379188712</v>
      </c>
      <c r="P401" s="39">
        <f t="shared" si="47"/>
        <v>0.28828987320327881</v>
      </c>
    </row>
    <row r="402" spans="1:16" x14ac:dyDescent="0.3">
      <c r="A402" s="17">
        <v>40588</v>
      </c>
      <c r="B402" s="13">
        <v>27025</v>
      </c>
      <c r="C402" s="13">
        <v>52380</v>
      </c>
      <c r="D402" s="14">
        <v>2014.59</v>
      </c>
      <c r="E402" s="28">
        <f t="shared" si="49"/>
        <v>2.0003774297037147E-2</v>
      </c>
      <c r="F402" s="39">
        <f t="shared" si="49"/>
        <v>-1.9087612139723209E-4</v>
      </c>
      <c r="H402" s="64">
        <f t="shared" ref="H402:H465" si="51">IF($D401&lt;=1850,0.9,IF(AND($D401&lt;=1900,$D401&gt;1850),0.7,IF(AND($D401&lt;=1950,$D401&gt;1900),0.5,IF(AND($D401&lt;=2000,$D401&gt;1950),0.3,IF($D401&gt;2000,0.2,0)))))</f>
        <v>0.3</v>
      </c>
      <c r="I402" s="65">
        <f t="shared" ref="I402:I465" si="52">IF($D401&lt;=1850,1,IF(AND($D401&lt;=1900,$D401&gt;1850),0.9,IF(AND($D401&lt;=1950,$D401&gt;1900),0.7,IF(AND($D401&lt;=2000,$D401&gt;1950),0.5,IF($D401&gt;2000,0.3,0)))))</f>
        <v>0.5</v>
      </c>
      <c r="J402" s="66">
        <v>0.3</v>
      </c>
      <c r="K402" s="65">
        <f t="shared" si="50"/>
        <v>0.7</v>
      </c>
      <c r="L402" s="28">
        <f t="shared" ref="L402:L465" si="53">E401*J402+F401*K402</f>
        <v>-7.7201978370899146E-3</v>
      </c>
      <c r="M402" s="71">
        <f t="shared" si="48"/>
        <v>5.8675190041330818E-3</v>
      </c>
      <c r="N402" s="51">
        <v>40588</v>
      </c>
      <c r="O402" s="77">
        <f t="shared" ref="O402:O465" si="54">O401+M402</f>
        <v>0.2806610927960202</v>
      </c>
      <c r="P402" s="39">
        <f t="shared" ref="P402:P465" si="55">D402/$D$16-1</f>
        <v>0.3126588216896673</v>
      </c>
    </row>
    <row r="403" spans="1:16" x14ac:dyDescent="0.3">
      <c r="A403" s="17">
        <v>40589</v>
      </c>
      <c r="B403" s="13">
        <v>26935</v>
      </c>
      <c r="C403" s="13">
        <v>52410</v>
      </c>
      <c r="D403" s="14">
        <v>2010.52</v>
      </c>
      <c r="E403" s="28">
        <f t="shared" si="49"/>
        <v>-3.3302497687326404E-3</v>
      </c>
      <c r="F403" s="39">
        <f t="shared" si="49"/>
        <v>5.7273768613974596E-4</v>
      </c>
      <c r="H403" s="64">
        <f t="shared" si="51"/>
        <v>0.2</v>
      </c>
      <c r="I403" s="65">
        <f t="shared" si="52"/>
        <v>0.3</v>
      </c>
      <c r="J403" s="66">
        <v>0.3</v>
      </c>
      <c r="K403" s="65">
        <f t="shared" si="50"/>
        <v>0.7</v>
      </c>
      <c r="L403" s="28">
        <f t="shared" si="53"/>
        <v>5.8675190041330818E-3</v>
      </c>
      <c r="M403" s="71">
        <f t="shared" si="48"/>
        <v>-5.9815855032196996E-4</v>
      </c>
      <c r="N403" s="51">
        <v>40589</v>
      </c>
      <c r="O403" s="77">
        <f t="shared" si="54"/>
        <v>0.28006293424569823</v>
      </c>
      <c r="P403" s="39">
        <f t="shared" si="55"/>
        <v>0.310006906707325</v>
      </c>
    </row>
    <row r="404" spans="1:16" x14ac:dyDescent="0.3">
      <c r="A404" s="18">
        <v>40590</v>
      </c>
      <c r="B404" s="15">
        <v>26710</v>
      </c>
      <c r="C404" s="15">
        <v>52450</v>
      </c>
      <c r="D404" s="70">
        <v>1989.11</v>
      </c>
      <c r="E404" s="71">
        <f t="shared" si="49"/>
        <v>-8.3534434750325293E-3</v>
      </c>
      <c r="F404" s="39">
        <f t="shared" si="49"/>
        <v>7.632131272656828E-4</v>
      </c>
      <c r="H404" s="64">
        <f t="shared" si="51"/>
        <v>0.2</v>
      </c>
      <c r="I404" s="65">
        <f t="shared" si="52"/>
        <v>0.3</v>
      </c>
      <c r="J404" s="66">
        <v>0.2</v>
      </c>
      <c r="K404" s="65">
        <f t="shared" si="50"/>
        <v>0.8</v>
      </c>
      <c r="L404" s="28">
        <f t="shared" si="53"/>
        <v>-2.0785980483473132E-4</v>
      </c>
      <c r="M404" s="71">
        <f t="shared" ref="M404:M467" si="56">E404*J404+F404*K404</f>
        <v>-1.0601181931939596E-3</v>
      </c>
      <c r="N404" s="50">
        <v>40590</v>
      </c>
      <c r="O404" s="77">
        <f t="shared" si="54"/>
        <v>0.27900281605250427</v>
      </c>
      <c r="P404" s="39">
        <f t="shared" si="55"/>
        <v>0.29605666106311168</v>
      </c>
    </row>
    <row r="405" spans="1:16" x14ac:dyDescent="0.3">
      <c r="A405" s="17">
        <v>40591</v>
      </c>
      <c r="B405" s="13">
        <v>26595</v>
      </c>
      <c r="C405" s="13">
        <v>52465</v>
      </c>
      <c r="D405" s="14">
        <v>1977.22</v>
      </c>
      <c r="E405" s="28">
        <f t="shared" si="49"/>
        <v>-4.3055035567203248E-3</v>
      </c>
      <c r="F405" s="39">
        <f t="shared" si="49"/>
        <v>2.8598665395618283E-4</v>
      </c>
      <c r="H405" s="64">
        <f t="shared" si="51"/>
        <v>0.3</v>
      </c>
      <c r="I405" s="65">
        <f t="shared" si="52"/>
        <v>0.5</v>
      </c>
      <c r="J405" s="66">
        <v>0.3</v>
      </c>
      <c r="K405" s="65">
        <f t="shared" si="50"/>
        <v>0.7</v>
      </c>
      <c r="L405" s="28">
        <f t="shared" si="53"/>
        <v>-1.9717838534237808E-3</v>
      </c>
      <c r="M405" s="71">
        <f t="shared" si="56"/>
        <v>-1.0914604092467693E-3</v>
      </c>
      <c r="N405" s="51">
        <v>40591</v>
      </c>
      <c r="O405" s="77">
        <f t="shared" si="54"/>
        <v>0.27791135564325747</v>
      </c>
      <c r="P405" s="39">
        <f t="shared" si="55"/>
        <v>0.28830942048816088</v>
      </c>
    </row>
    <row r="406" spans="1:16" x14ac:dyDescent="0.3">
      <c r="A406" s="18">
        <v>40592</v>
      </c>
      <c r="B406" s="15">
        <v>27025</v>
      </c>
      <c r="C406" s="15">
        <v>52475</v>
      </c>
      <c r="D406" s="16">
        <v>2013.14</v>
      </c>
      <c r="E406" s="28">
        <f t="shared" si="49"/>
        <v>1.6168452716676107E-2</v>
      </c>
      <c r="F406" s="39">
        <f t="shared" si="49"/>
        <v>1.9060325931574695E-4</v>
      </c>
      <c r="H406" s="64">
        <f t="shared" si="51"/>
        <v>0.3</v>
      </c>
      <c r="I406" s="65">
        <f t="shared" si="52"/>
        <v>0.5</v>
      </c>
      <c r="J406" s="66">
        <v>0.3</v>
      </c>
      <c r="K406" s="65">
        <f t="shared" si="50"/>
        <v>0.7</v>
      </c>
      <c r="L406" s="28">
        <f t="shared" si="53"/>
        <v>-1.0914604092467693E-3</v>
      </c>
      <c r="M406" s="71">
        <f t="shared" si="56"/>
        <v>4.983958096523855E-3</v>
      </c>
      <c r="N406" s="50">
        <v>40592</v>
      </c>
      <c r="O406" s="77">
        <f t="shared" si="54"/>
        <v>0.28289531373978133</v>
      </c>
      <c r="P406" s="39">
        <f t="shared" si="55"/>
        <v>0.31171403625369765</v>
      </c>
    </row>
    <row r="407" spans="1:16" x14ac:dyDescent="0.3">
      <c r="A407" s="17">
        <v>40595</v>
      </c>
      <c r="B407" s="13">
        <v>26885</v>
      </c>
      <c r="C407" s="13">
        <v>52450</v>
      </c>
      <c r="D407" s="14">
        <v>2005.3</v>
      </c>
      <c r="E407" s="28">
        <f t="shared" si="49"/>
        <v>-5.1803885291397123E-3</v>
      </c>
      <c r="F407" s="39">
        <f t="shared" si="49"/>
        <v>-4.7641734159120652E-4</v>
      </c>
      <c r="H407" s="64">
        <f t="shared" si="51"/>
        <v>0.2</v>
      </c>
      <c r="I407" s="65">
        <f t="shared" si="52"/>
        <v>0.3</v>
      </c>
      <c r="J407" s="66">
        <v>0.3</v>
      </c>
      <c r="K407" s="65">
        <f t="shared" si="50"/>
        <v>0.7</v>
      </c>
      <c r="L407" s="28">
        <f t="shared" si="53"/>
        <v>4.983958096523855E-3</v>
      </c>
      <c r="M407" s="71">
        <f t="shared" si="56"/>
        <v>-1.887608697855758E-3</v>
      </c>
      <c r="N407" s="51">
        <v>40595</v>
      </c>
      <c r="O407" s="77">
        <f t="shared" si="54"/>
        <v>0.28100770504192557</v>
      </c>
      <c r="P407" s="39">
        <f t="shared" si="55"/>
        <v>0.30660567913783443</v>
      </c>
    </row>
    <row r="408" spans="1:16" x14ac:dyDescent="0.3">
      <c r="A408" s="17">
        <v>40596</v>
      </c>
      <c r="B408" s="13">
        <v>26450</v>
      </c>
      <c r="C408" s="13">
        <v>52575</v>
      </c>
      <c r="D408" s="14">
        <v>1969.92</v>
      </c>
      <c r="E408" s="28">
        <f t="shared" si="49"/>
        <v>-1.6180026036823558E-2</v>
      </c>
      <c r="F408" s="39">
        <f t="shared" si="49"/>
        <v>2.3832221163011535E-3</v>
      </c>
      <c r="H408" s="64">
        <f t="shared" si="51"/>
        <v>0.2</v>
      </c>
      <c r="I408" s="65">
        <f t="shared" si="52"/>
        <v>0.3</v>
      </c>
      <c r="J408" s="66">
        <v>0.2</v>
      </c>
      <c r="K408" s="65">
        <f t="shared" si="50"/>
        <v>0.8</v>
      </c>
      <c r="L408" s="28">
        <f t="shared" si="53"/>
        <v>-1.4172115791009079E-3</v>
      </c>
      <c r="M408" s="71">
        <f t="shared" si="56"/>
        <v>-1.3294275143237891E-3</v>
      </c>
      <c r="N408" s="51">
        <v>40596</v>
      </c>
      <c r="O408" s="77">
        <f t="shared" si="54"/>
        <v>0.27967827752760177</v>
      </c>
      <c r="P408" s="39">
        <f t="shared" si="55"/>
        <v>0.28355291450017606</v>
      </c>
    </row>
    <row r="409" spans="1:16" x14ac:dyDescent="0.3">
      <c r="A409" s="18">
        <v>40597</v>
      </c>
      <c r="B409" s="15">
        <v>26490</v>
      </c>
      <c r="C409" s="15">
        <v>52575</v>
      </c>
      <c r="D409" s="70">
        <v>1961.63</v>
      </c>
      <c r="E409" s="71">
        <f t="shared" si="49"/>
        <v>1.5122873345936316E-3</v>
      </c>
      <c r="F409" s="39">
        <f t="shared" si="49"/>
        <v>0</v>
      </c>
      <c r="H409" s="64">
        <f t="shared" si="51"/>
        <v>0.3</v>
      </c>
      <c r="I409" s="65">
        <f t="shared" si="52"/>
        <v>0.5</v>
      </c>
      <c r="J409" s="66">
        <v>0.30000000000000004</v>
      </c>
      <c r="K409" s="65">
        <f t="shared" si="50"/>
        <v>0.7</v>
      </c>
      <c r="L409" s="28">
        <f t="shared" si="53"/>
        <v>-3.185752329636261E-3</v>
      </c>
      <c r="M409" s="71">
        <f t="shared" si="56"/>
        <v>4.5368620037808957E-4</v>
      </c>
      <c r="N409" s="50">
        <v>40597</v>
      </c>
      <c r="O409" s="77">
        <f t="shared" si="54"/>
        <v>0.28013196372797988</v>
      </c>
      <c r="P409" s="39">
        <f t="shared" si="55"/>
        <v>0.27815134811108067</v>
      </c>
    </row>
    <row r="410" spans="1:16" x14ac:dyDescent="0.3">
      <c r="A410" s="17">
        <v>40598</v>
      </c>
      <c r="B410" s="13">
        <v>26270</v>
      </c>
      <c r="C410" s="13">
        <v>52610</v>
      </c>
      <c r="D410" s="14">
        <v>1949.88</v>
      </c>
      <c r="E410" s="28">
        <f t="shared" si="49"/>
        <v>-8.3050207625519068E-3</v>
      </c>
      <c r="F410" s="39">
        <f t="shared" si="49"/>
        <v>6.6571564431772146E-4</v>
      </c>
      <c r="H410" s="64">
        <f t="shared" si="51"/>
        <v>0.3</v>
      </c>
      <c r="I410" s="65">
        <f t="shared" si="52"/>
        <v>0.5</v>
      </c>
      <c r="J410" s="66">
        <v>0.5</v>
      </c>
      <c r="K410" s="65">
        <f t="shared" si="50"/>
        <v>0.5</v>
      </c>
      <c r="L410" s="28">
        <f t="shared" si="53"/>
        <v>7.5614366729681581E-4</v>
      </c>
      <c r="M410" s="71">
        <f t="shared" si="56"/>
        <v>-3.8196525591170927E-3</v>
      </c>
      <c r="N410" s="51">
        <v>40598</v>
      </c>
      <c r="O410" s="77">
        <f t="shared" si="54"/>
        <v>0.27631231116886279</v>
      </c>
      <c r="P410" s="39">
        <f t="shared" si="55"/>
        <v>0.27049532819891331</v>
      </c>
    </row>
    <row r="411" spans="1:16" x14ac:dyDescent="0.3">
      <c r="A411" s="18">
        <v>40599</v>
      </c>
      <c r="B411" s="15">
        <v>26400</v>
      </c>
      <c r="C411" s="15">
        <v>52610</v>
      </c>
      <c r="D411" s="16">
        <v>1963.43</v>
      </c>
      <c r="E411" s="28">
        <f t="shared" si="49"/>
        <v>4.9486105824134707E-3</v>
      </c>
      <c r="F411" s="39">
        <f t="shared" si="49"/>
        <v>0</v>
      </c>
      <c r="H411" s="64">
        <f t="shared" si="51"/>
        <v>0.5</v>
      </c>
      <c r="I411" s="65">
        <f t="shared" si="52"/>
        <v>0.7</v>
      </c>
      <c r="J411" s="66">
        <v>0.5</v>
      </c>
      <c r="K411" s="65">
        <f t="shared" si="50"/>
        <v>0.5</v>
      </c>
      <c r="L411" s="28">
        <f t="shared" si="53"/>
        <v>-3.8196525591170927E-3</v>
      </c>
      <c r="M411" s="71">
        <f t="shared" si="56"/>
        <v>2.4743052912067354E-3</v>
      </c>
      <c r="N411" s="50">
        <v>40599</v>
      </c>
      <c r="O411" s="77">
        <f t="shared" si="54"/>
        <v>0.27878661646006953</v>
      </c>
      <c r="P411" s="39">
        <f t="shared" si="55"/>
        <v>0.27932418520400848</v>
      </c>
    </row>
    <row r="412" spans="1:16" x14ac:dyDescent="0.3">
      <c r="A412" s="17">
        <v>40602</v>
      </c>
      <c r="B412" s="13">
        <v>26110</v>
      </c>
      <c r="C412" s="13">
        <v>52715</v>
      </c>
      <c r="D412" s="14">
        <v>1939.3</v>
      </c>
      <c r="E412" s="28">
        <f t="shared" si="49"/>
        <v>-1.0984848484848486E-2</v>
      </c>
      <c r="F412" s="39">
        <f t="shared" si="49"/>
        <v>1.9958182854971085E-3</v>
      </c>
      <c r="H412" s="64">
        <f t="shared" si="51"/>
        <v>0.3</v>
      </c>
      <c r="I412" s="65">
        <f t="shared" si="52"/>
        <v>0.5</v>
      </c>
      <c r="J412" s="66">
        <v>0.5</v>
      </c>
      <c r="K412" s="65">
        <f t="shared" si="50"/>
        <v>0.5</v>
      </c>
      <c r="L412" s="28">
        <f t="shared" si="53"/>
        <v>2.4743052912067354E-3</v>
      </c>
      <c r="M412" s="71">
        <f t="shared" si="56"/>
        <v>-4.4945150996756889E-3</v>
      </c>
      <c r="N412" s="51">
        <v>40602</v>
      </c>
      <c r="O412" s="77">
        <f t="shared" si="54"/>
        <v>0.27429210136039384</v>
      </c>
      <c r="P412" s="39">
        <f t="shared" si="55"/>
        <v>0.26360165239714872</v>
      </c>
    </row>
    <row r="413" spans="1:16" x14ac:dyDescent="0.3">
      <c r="A413" s="17">
        <v>40604</v>
      </c>
      <c r="B413" s="13">
        <v>25975</v>
      </c>
      <c r="C413" s="13">
        <v>52670</v>
      </c>
      <c r="D413" s="14">
        <v>1928.24</v>
      </c>
      <c r="E413" s="28">
        <f t="shared" si="49"/>
        <v>-5.1704327843737907E-3</v>
      </c>
      <c r="F413" s="39">
        <f t="shared" si="49"/>
        <v>-8.536469695532567E-4</v>
      </c>
      <c r="H413" s="64">
        <f t="shared" si="51"/>
        <v>0.5</v>
      </c>
      <c r="I413" s="65">
        <f t="shared" si="52"/>
        <v>0.7</v>
      </c>
      <c r="J413" s="66">
        <v>0.5</v>
      </c>
      <c r="K413" s="65">
        <f t="shared" si="50"/>
        <v>0.5</v>
      </c>
      <c r="L413" s="28">
        <f t="shared" si="53"/>
        <v>-4.4945150996756889E-3</v>
      </c>
      <c r="M413" s="71">
        <f t="shared" si="56"/>
        <v>-3.0120398769635237E-3</v>
      </c>
      <c r="N413" s="51">
        <v>40604</v>
      </c>
      <c r="O413" s="77">
        <f t="shared" si="54"/>
        <v>0.27128006148343031</v>
      </c>
      <c r="P413" s="39">
        <f t="shared" si="55"/>
        <v>0.25639522003727011</v>
      </c>
    </row>
    <row r="414" spans="1:16" x14ac:dyDescent="0.3">
      <c r="A414" s="18">
        <v>40605</v>
      </c>
      <c r="B414" s="15">
        <v>26490</v>
      </c>
      <c r="C414" s="15">
        <v>52600</v>
      </c>
      <c r="D414" s="70">
        <v>1970.66</v>
      </c>
      <c r="E414" s="71">
        <f t="shared" si="49"/>
        <v>1.9826756496631459E-2</v>
      </c>
      <c r="F414" s="39">
        <f t="shared" si="49"/>
        <v>-1.329029808240012E-3</v>
      </c>
      <c r="H414" s="64">
        <f t="shared" si="51"/>
        <v>0.5</v>
      </c>
      <c r="I414" s="65">
        <f t="shared" si="52"/>
        <v>0.7</v>
      </c>
      <c r="J414" s="66">
        <v>0.5</v>
      </c>
      <c r="K414" s="65">
        <f t="shared" si="50"/>
        <v>0.5</v>
      </c>
      <c r="L414" s="28">
        <f t="shared" si="53"/>
        <v>-3.0120398769635237E-3</v>
      </c>
      <c r="M414" s="71">
        <f t="shared" si="56"/>
        <v>9.2488633441957235E-3</v>
      </c>
      <c r="N414" s="50">
        <v>40605</v>
      </c>
      <c r="O414" s="77">
        <f t="shared" si="54"/>
        <v>0.28052892482762604</v>
      </c>
      <c r="P414" s="39">
        <f t="shared" si="55"/>
        <v>0.28403508086060181</v>
      </c>
    </row>
    <row r="415" spans="1:16" x14ac:dyDescent="0.3">
      <c r="A415" s="17">
        <v>40606</v>
      </c>
      <c r="B415" s="13">
        <v>27035</v>
      </c>
      <c r="C415" s="13">
        <v>52600</v>
      </c>
      <c r="D415" s="14">
        <v>2004.68</v>
      </c>
      <c r="E415" s="28">
        <f t="shared" si="49"/>
        <v>2.0573801434503602E-2</v>
      </c>
      <c r="F415" s="39">
        <f t="shared" si="49"/>
        <v>0</v>
      </c>
      <c r="H415" s="64">
        <f t="shared" si="51"/>
        <v>0.3</v>
      </c>
      <c r="I415" s="65">
        <f t="shared" si="52"/>
        <v>0.5</v>
      </c>
      <c r="J415" s="66">
        <v>0.5</v>
      </c>
      <c r="K415" s="65">
        <f t="shared" si="50"/>
        <v>0.5</v>
      </c>
      <c r="L415" s="28">
        <f t="shared" si="53"/>
        <v>9.2488633441957235E-3</v>
      </c>
      <c r="M415" s="71">
        <f t="shared" si="56"/>
        <v>1.0286900717251801E-2</v>
      </c>
      <c r="N415" s="51">
        <v>40606</v>
      </c>
      <c r="O415" s="77">
        <f t="shared" si="54"/>
        <v>0.29081582554487784</v>
      </c>
      <c r="P415" s="39">
        <f t="shared" si="55"/>
        <v>0.30620170191693719</v>
      </c>
    </row>
    <row r="416" spans="1:16" x14ac:dyDescent="0.3">
      <c r="A416" s="18">
        <v>40609</v>
      </c>
      <c r="B416" s="15">
        <v>26545</v>
      </c>
      <c r="C416" s="15">
        <v>52620</v>
      </c>
      <c r="D416" s="16">
        <v>1980.27</v>
      </c>
      <c r="E416" s="28">
        <f t="shared" si="49"/>
        <v>-1.8124653227297949E-2</v>
      </c>
      <c r="F416" s="39">
        <f t="shared" si="49"/>
        <v>3.8022813688209922E-4</v>
      </c>
      <c r="H416" s="64">
        <f t="shared" si="51"/>
        <v>0.2</v>
      </c>
      <c r="I416" s="65">
        <f t="shared" si="52"/>
        <v>0.3</v>
      </c>
      <c r="J416" s="66">
        <v>0.3</v>
      </c>
      <c r="K416" s="65">
        <f t="shared" si="50"/>
        <v>0.7</v>
      </c>
      <c r="L416" s="28">
        <f t="shared" si="53"/>
        <v>6.1721404303510807E-3</v>
      </c>
      <c r="M416" s="71">
        <f t="shared" si="56"/>
        <v>-5.171236272371915E-3</v>
      </c>
      <c r="N416" s="50">
        <v>40609</v>
      </c>
      <c r="O416" s="77">
        <f t="shared" si="54"/>
        <v>0.28564458927250591</v>
      </c>
      <c r="P416" s="39">
        <f t="shared" si="55"/>
        <v>0.29029672778451077</v>
      </c>
    </row>
    <row r="417" spans="1:16" x14ac:dyDescent="0.3">
      <c r="A417" s="17">
        <v>40610</v>
      </c>
      <c r="B417" s="13">
        <v>26835</v>
      </c>
      <c r="C417" s="13">
        <v>52550</v>
      </c>
      <c r="D417" s="14">
        <v>1996.32</v>
      </c>
      <c r="E417" s="28">
        <f t="shared" si="49"/>
        <v>1.0924844603503514E-2</v>
      </c>
      <c r="F417" s="39">
        <f t="shared" si="49"/>
        <v>-1.3302926643861124E-3</v>
      </c>
      <c r="H417" s="64">
        <f t="shared" si="51"/>
        <v>0.3</v>
      </c>
      <c r="I417" s="65">
        <f t="shared" si="52"/>
        <v>0.5</v>
      </c>
      <c r="J417" s="66">
        <v>0.3</v>
      </c>
      <c r="K417" s="65">
        <f t="shared" si="50"/>
        <v>0.7</v>
      </c>
      <c r="L417" s="28">
        <f t="shared" si="53"/>
        <v>-5.171236272371915E-3</v>
      </c>
      <c r="M417" s="71">
        <f t="shared" si="56"/>
        <v>2.3462485159807755E-3</v>
      </c>
      <c r="N417" s="51">
        <v>40610</v>
      </c>
      <c r="O417" s="77">
        <f t="shared" si="54"/>
        <v>0.28799083778848666</v>
      </c>
      <c r="P417" s="39">
        <f t="shared" si="55"/>
        <v>0.30075452519645007</v>
      </c>
    </row>
    <row r="418" spans="1:16" x14ac:dyDescent="0.3">
      <c r="A418" s="17">
        <v>40611</v>
      </c>
      <c r="B418" s="13">
        <v>26875</v>
      </c>
      <c r="C418" s="13">
        <v>52770</v>
      </c>
      <c r="D418" s="14">
        <v>2001.47</v>
      </c>
      <c r="E418" s="28">
        <f t="shared" si="49"/>
        <v>1.4905906465436658E-3</v>
      </c>
      <c r="F418" s="39">
        <f t="shared" si="49"/>
        <v>4.1864890580398662E-3</v>
      </c>
      <c r="H418" s="64">
        <f t="shared" si="51"/>
        <v>0.3</v>
      </c>
      <c r="I418" s="65">
        <f t="shared" si="52"/>
        <v>0.5</v>
      </c>
      <c r="J418" s="66">
        <v>0.5</v>
      </c>
      <c r="K418" s="65">
        <f t="shared" si="50"/>
        <v>0.5</v>
      </c>
      <c r="L418" s="28">
        <f t="shared" si="53"/>
        <v>4.7972759695587008E-3</v>
      </c>
      <c r="M418" s="71">
        <f t="shared" si="56"/>
        <v>2.838539852291766E-3</v>
      </c>
      <c r="N418" s="51">
        <v>40611</v>
      </c>
      <c r="O418" s="77">
        <f t="shared" si="54"/>
        <v>0.29082937764077843</v>
      </c>
      <c r="P418" s="39">
        <f t="shared" si="55"/>
        <v>0.30411014243454915</v>
      </c>
    </row>
    <row r="419" spans="1:16" x14ac:dyDescent="0.3">
      <c r="A419" s="18">
        <v>40612</v>
      </c>
      <c r="B419" s="15">
        <v>26635</v>
      </c>
      <c r="C419" s="15">
        <v>52915</v>
      </c>
      <c r="D419" s="70">
        <v>1981.58</v>
      </c>
      <c r="E419" s="71">
        <f t="shared" si="49"/>
        <v>-8.930232558139517E-3</v>
      </c>
      <c r="F419" s="39">
        <f t="shared" si="49"/>
        <v>2.7477733560734574E-3</v>
      </c>
      <c r="H419" s="64">
        <f t="shared" si="51"/>
        <v>0.2</v>
      </c>
      <c r="I419" s="65">
        <f t="shared" si="52"/>
        <v>0.3</v>
      </c>
      <c r="J419" s="66">
        <v>0.2</v>
      </c>
      <c r="K419" s="65">
        <f t="shared" si="50"/>
        <v>0.8</v>
      </c>
      <c r="L419" s="28">
        <f t="shared" si="53"/>
        <v>3.6473093757406266E-3</v>
      </c>
      <c r="M419" s="71">
        <f t="shared" si="56"/>
        <v>4.1217217323086253E-4</v>
      </c>
      <c r="N419" s="50">
        <v>40612</v>
      </c>
      <c r="O419" s="77">
        <f t="shared" si="54"/>
        <v>0.29124154981400929</v>
      </c>
      <c r="P419" s="39">
        <f t="shared" si="55"/>
        <v>0.29115029255769698</v>
      </c>
    </row>
    <row r="420" spans="1:16" x14ac:dyDescent="0.3">
      <c r="A420" s="17">
        <v>40613</v>
      </c>
      <c r="B420" s="13">
        <v>26190</v>
      </c>
      <c r="C420" s="13">
        <v>52680</v>
      </c>
      <c r="D420" s="14">
        <v>1955.54</v>
      </c>
      <c r="E420" s="28">
        <f t="shared" si="49"/>
        <v>-1.6707339966209878E-2</v>
      </c>
      <c r="F420" s="39">
        <f t="shared" si="49"/>
        <v>-4.4410847585750757E-3</v>
      </c>
      <c r="H420" s="64">
        <f t="shared" si="51"/>
        <v>0.3</v>
      </c>
      <c r="I420" s="65">
        <f t="shared" si="52"/>
        <v>0.5</v>
      </c>
      <c r="J420" s="66">
        <v>0.3</v>
      </c>
      <c r="K420" s="65">
        <f t="shared" si="50"/>
        <v>0.7</v>
      </c>
      <c r="L420" s="28">
        <f t="shared" si="53"/>
        <v>-7.5562841819043491E-4</v>
      </c>
      <c r="M420" s="71">
        <f t="shared" si="56"/>
        <v>-8.1209613208655159E-3</v>
      </c>
      <c r="N420" s="51">
        <v>40613</v>
      </c>
      <c r="O420" s="77">
        <f t="shared" si="54"/>
        <v>0.28312058849314375</v>
      </c>
      <c r="P420" s="39">
        <f t="shared" si="55"/>
        <v>0.27418324928000826</v>
      </c>
    </row>
    <row r="421" spans="1:16" x14ac:dyDescent="0.3">
      <c r="A421" s="18">
        <v>40616</v>
      </c>
      <c r="B421" s="15">
        <v>26540</v>
      </c>
      <c r="C421" s="15">
        <v>52735</v>
      </c>
      <c r="D421" s="16">
        <v>1971.23</v>
      </c>
      <c r="E421" s="28">
        <f t="shared" si="49"/>
        <v>1.3363879343260887E-2</v>
      </c>
      <c r="F421" s="39">
        <f t="shared" si="49"/>
        <v>1.0440394836750411E-3</v>
      </c>
      <c r="H421" s="64">
        <f t="shared" si="51"/>
        <v>0.3</v>
      </c>
      <c r="I421" s="65">
        <f t="shared" si="52"/>
        <v>0.5</v>
      </c>
      <c r="J421" s="66">
        <v>0.3</v>
      </c>
      <c r="K421" s="65">
        <f t="shared" si="50"/>
        <v>0.7</v>
      </c>
      <c r="L421" s="28">
        <f t="shared" si="53"/>
        <v>-8.1209613208655159E-3</v>
      </c>
      <c r="M421" s="71">
        <f t="shared" si="56"/>
        <v>4.7399914415507949E-3</v>
      </c>
      <c r="N421" s="50">
        <v>40616</v>
      </c>
      <c r="O421" s="77">
        <f t="shared" si="54"/>
        <v>0.28786057993469455</v>
      </c>
      <c r="P421" s="39">
        <f t="shared" si="55"/>
        <v>0.28440647927336227</v>
      </c>
    </row>
    <row r="422" spans="1:16" x14ac:dyDescent="0.3">
      <c r="A422" s="17">
        <v>40617</v>
      </c>
      <c r="B422" s="13">
        <v>25895</v>
      </c>
      <c r="C422" s="13">
        <v>52925</v>
      </c>
      <c r="D422" s="14">
        <v>1923.92</v>
      </c>
      <c r="E422" s="28">
        <f t="shared" si="49"/>
        <v>-2.4302938960060305E-2</v>
      </c>
      <c r="F422" s="39">
        <f t="shared" si="49"/>
        <v>3.6029202616858491E-3</v>
      </c>
      <c r="H422" s="64">
        <f t="shared" si="51"/>
        <v>0.3</v>
      </c>
      <c r="I422" s="65">
        <f t="shared" si="52"/>
        <v>0.5</v>
      </c>
      <c r="J422" s="66">
        <v>0.5</v>
      </c>
      <c r="K422" s="65">
        <f t="shared" si="50"/>
        <v>0.5</v>
      </c>
      <c r="L422" s="28">
        <f t="shared" si="53"/>
        <v>7.2039594134679641E-3</v>
      </c>
      <c r="M422" s="71">
        <f t="shared" si="56"/>
        <v>-1.0350009349187228E-2</v>
      </c>
      <c r="N422" s="51">
        <v>40617</v>
      </c>
      <c r="O422" s="77">
        <f t="shared" si="54"/>
        <v>0.27751057058550732</v>
      </c>
      <c r="P422" s="39">
        <f t="shared" si="55"/>
        <v>0.25358041101424345</v>
      </c>
    </row>
    <row r="423" spans="1:16" x14ac:dyDescent="0.3">
      <c r="A423" s="17">
        <v>40618</v>
      </c>
      <c r="B423" s="13">
        <v>26490</v>
      </c>
      <c r="C423" s="13">
        <v>52820</v>
      </c>
      <c r="D423" s="14">
        <v>1957.97</v>
      </c>
      <c r="E423" s="28">
        <f t="shared" si="49"/>
        <v>2.2977408766171159E-2</v>
      </c>
      <c r="F423" s="39">
        <f t="shared" si="49"/>
        <v>-1.9839395370807589E-3</v>
      </c>
      <c r="H423" s="64">
        <f t="shared" si="51"/>
        <v>0.5</v>
      </c>
      <c r="I423" s="65">
        <f t="shared" si="52"/>
        <v>0.7</v>
      </c>
      <c r="J423" s="66">
        <v>0.5</v>
      </c>
      <c r="K423" s="65">
        <f t="shared" si="50"/>
        <v>0.5</v>
      </c>
      <c r="L423" s="28">
        <f t="shared" si="53"/>
        <v>-1.0350009349187228E-2</v>
      </c>
      <c r="M423" s="71">
        <f t="shared" si="56"/>
        <v>1.04967346145452E-2</v>
      </c>
      <c r="N423" s="51">
        <v>40618</v>
      </c>
      <c r="O423" s="77">
        <f t="shared" si="54"/>
        <v>0.28800730520005252</v>
      </c>
      <c r="P423" s="39">
        <f t="shared" si="55"/>
        <v>0.27576657935546089</v>
      </c>
    </row>
    <row r="424" spans="1:16" x14ac:dyDescent="0.3">
      <c r="A424" s="18">
        <v>40619</v>
      </c>
      <c r="B424" s="15">
        <v>26475</v>
      </c>
      <c r="C424" s="15">
        <v>52690</v>
      </c>
      <c r="D424" s="70">
        <v>1959.03</v>
      </c>
      <c r="E424" s="71">
        <f t="shared" si="49"/>
        <v>-5.6625141562849368E-4</v>
      </c>
      <c r="F424" s="39">
        <f t="shared" si="49"/>
        <v>-2.4611889435819378E-3</v>
      </c>
      <c r="H424" s="64">
        <f t="shared" si="51"/>
        <v>0.3</v>
      </c>
      <c r="I424" s="65">
        <f t="shared" si="52"/>
        <v>0.5</v>
      </c>
      <c r="J424" s="66">
        <v>0.5</v>
      </c>
      <c r="K424" s="65">
        <f t="shared" si="50"/>
        <v>0.5</v>
      </c>
      <c r="L424" s="28">
        <f t="shared" si="53"/>
        <v>1.04967346145452E-2</v>
      </c>
      <c r="M424" s="71">
        <f t="shared" si="56"/>
        <v>-1.5137201796052158E-3</v>
      </c>
      <c r="N424" s="50">
        <v>40619</v>
      </c>
      <c r="O424" s="77">
        <f t="shared" si="54"/>
        <v>0.28649358502044731</v>
      </c>
      <c r="P424" s="39">
        <f t="shared" si="55"/>
        <v>0.27645725008796274</v>
      </c>
    </row>
    <row r="425" spans="1:16" x14ac:dyDescent="0.3">
      <c r="A425" s="17">
        <v>40620</v>
      </c>
      <c r="B425" s="13">
        <v>26720</v>
      </c>
      <c r="C425" s="13">
        <v>52760</v>
      </c>
      <c r="D425" s="14">
        <v>1981.13</v>
      </c>
      <c r="E425" s="28">
        <f t="shared" si="49"/>
        <v>9.2540132200189529E-3</v>
      </c>
      <c r="F425" s="39">
        <f t="shared" si="49"/>
        <v>1.3285253368759964E-3</v>
      </c>
      <c r="H425" s="64">
        <f t="shared" si="51"/>
        <v>0.3</v>
      </c>
      <c r="I425" s="65">
        <f t="shared" si="52"/>
        <v>0.5</v>
      </c>
      <c r="J425" s="66">
        <v>0.5</v>
      </c>
      <c r="K425" s="65">
        <f t="shared" si="50"/>
        <v>0.5</v>
      </c>
      <c r="L425" s="28">
        <f t="shared" si="53"/>
        <v>-1.5137201796052158E-3</v>
      </c>
      <c r="M425" s="71">
        <f t="shared" si="56"/>
        <v>5.2912692784474746E-3</v>
      </c>
      <c r="N425" s="51">
        <v>40620</v>
      </c>
      <c r="O425" s="77">
        <f t="shared" si="54"/>
        <v>0.29178485429889478</v>
      </c>
      <c r="P425" s="39">
        <f t="shared" si="55"/>
        <v>0.29085708328446525</v>
      </c>
    </row>
    <row r="426" spans="1:16" x14ac:dyDescent="0.3">
      <c r="A426" s="18">
        <v>40623</v>
      </c>
      <c r="B426" s="15">
        <v>26955</v>
      </c>
      <c r="C426" s="15">
        <v>52695</v>
      </c>
      <c r="D426" s="16">
        <v>2003.42</v>
      </c>
      <c r="E426" s="28">
        <f t="shared" si="49"/>
        <v>8.7949101796407358E-3</v>
      </c>
      <c r="F426" s="39">
        <f t="shared" si="49"/>
        <v>-1.2319939347991138E-3</v>
      </c>
      <c r="H426" s="64">
        <f t="shared" si="51"/>
        <v>0.3</v>
      </c>
      <c r="I426" s="65">
        <f t="shared" si="52"/>
        <v>0.5</v>
      </c>
      <c r="J426" s="66">
        <v>0.5</v>
      </c>
      <c r="K426" s="65">
        <f t="shared" si="50"/>
        <v>0.5</v>
      </c>
      <c r="L426" s="28">
        <f t="shared" si="53"/>
        <v>5.2912692784474746E-3</v>
      </c>
      <c r="M426" s="71">
        <f t="shared" si="56"/>
        <v>3.781458122420811E-3</v>
      </c>
      <c r="N426" s="50">
        <v>40623</v>
      </c>
      <c r="O426" s="77">
        <f t="shared" si="54"/>
        <v>0.29556631242131559</v>
      </c>
      <c r="P426" s="39">
        <f t="shared" si="55"/>
        <v>0.30538071595188776</v>
      </c>
    </row>
    <row r="427" spans="1:16" x14ac:dyDescent="0.3">
      <c r="A427" s="17">
        <v>40624</v>
      </c>
      <c r="B427" s="13">
        <v>27075</v>
      </c>
      <c r="C427" s="13">
        <v>52710</v>
      </c>
      <c r="D427" s="14">
        <v>2013.66</v>
      </c>
      <c r="E427" s="28">
        <f t="shared" si="49"/>
        <v>4.4518642181412549E-3</v>
      </c>
      <c r="F427" s="39">
        <f t="shared" si="49"/>
        <v>2.8465698832902397E-4</v>
      </c>
      <c r="H427" s="64">
        <f t="shared" si="51"/>
        <v>0.2</v>
      </c>
      <c r="I427" s="65">
        <f t="shared" si="52"/>
        <v>0.3</v>
      </c>
      <c r="J427" s="66">
        <v>0.3</v>
      </c>
      <c r="K427" s="65">
        <f t="shared" si="50"/>
        <v>0.7</v>
      </c>
      <c r="L427" s="28">
        <f t="shared" si="53"/>
        <v>1.7760772995328411E-3</v>
      </c>
      <c r="M427" s="71">
        <f t="shared" si="56"/>
        <v>1.5348191572726933E-3</v>
      </c>
      <c r="N427" s="51">
        <v>40624</v>
      </c>
      <c r="O427" s="77">
        <f t="shared" si="54"/>
        <v>0.29710113157858831</v>
      </c>
      <c r="P427" s="39">
        <f t="shared" si="55"/>
        <v>0.31205285585832132</v>
      </c>
    </row>
    <row r="428" spans="1:16" x14ac:dyDescent="0.3">
      <c r="A428" s="17">
        <v>40625</v>
      </c>
      <c r="B428" s="13">
        <v>27055</v>
      </c>
      <c r="C428" s="13">
        <v>52725</v>
      </c>
      <c r="D428" s="14">
        <v>2012.18</v>
      </c>
      <c r="E428" s="28">
        <f t="shared" si="49"/>
        <v>-7.3868882733152397E-4</v>
      </c>
      <c r="F428" s="39">
        <f t="shared" si="49"/>
        <v>2.8457598178710519E-4</v>
      </c>
      <c r="H428" s="64">
        <f t="shared" si="51"/>
        <v>0.2</v>
      </c>
      <c r="I428" s="65">
        <f t="shared" si="52"/>
        <v>0.3</v>
      </c>
      <c r="J428" s="66">
        <v>0.3</v>
      </c>
      <c r="K428" s="65">
        <f t="shared" si="50"/>
        <v>0.7</v>
      </c>
      <c r="L428" s="28">
        <f t="shared" si="53"/>
        <v>1.5348191572726933E-3</v>
      </c>
      <c r="M428" s="71">
        <f t="shared" si="56"/>
        <v>-2.2403460948483534E-5</v>
      </c>
      <c r="N428" s="51">
        <v>40625</v>
      </c>
      <c r="O428" s="77">
        <f t="shared" si="54"/>
        <v>0.2970787281176398</v>
      </c>
      <c r="P428" s="39">
        <f t="shared" si="55"/>
        <v>0.3110885231374696</v>
      </c>
    </row>
    <row r="429" spans="1:16" x14ac:dyDescent="0.3">
      <c r="A429" s="18">
        <v>40626</v>
      </c>
      <c r="B429" s="15">
        <v>27405</v>
      </c>
      <c r="C429" s="15">
        <v>52780</v>
      </c>
      <c r="D429" s="70">
        <v>2036.78</v>
      </c>
      <c r="E429" s="71">
        <f t="shared" si="49"/>
        <v>1.2936610608020649E-2</v>
      </c>
      <c r="F429" s="39">
        <f t="shared" si="49"/>
        <v>1.0431484115693834E-3</v>
      </c>
      <c r="H429" s="64">
        <f t="shared" si="51"/>
        <v>0.2</v>
      </c>
      <c r="I429" s="65">
        <f t="shared" si="52"/>
        <v>0.3</v>
      </c>
      <c r="J429" s="66">
        <v>0.2</v>
      </c>
      <c r="K429" s="65">
        <f t="shared" si="50"/>
        <v>0.8</v>
      </c>
      <c r="L429" s="28">
        <f t="shared" si="53"/>
        <v>7.9923019963379339E-5</v>
      </c>
      <c r="M429" s="71">
        <f t="shared" si="56"/>
        <v>3.4218408508596369E-3</v>
      </c>
      <c r="N429" s="50">
        <v>40626</v>
      </c>
      <c r="O429" s="77">
        <f t="shared" si="54"/>
        <v>0.30050056896849942</v>
      </c>
      <c r="P429" s="39">
        <f t="shared" si="55"/>
        <v>0.32711729674081602</v>
      </c>
    </row>
    <row r="430" spans="1:16" x14ac:dyDescent="0.3">
      <c r="A430" s="17">
        <v>40627</v>
      </c>
      <c r="B430" s="13">
        <v>27690</v>
      </c>
      <c r="C430" s="13">
        <v>52720</v>
      </c>
      <c r="D430" s="14">
        <v>2054.04</v>
      </c>
      <c r="E430" s="28">
        <f t="shared" si="49"/>
        <v>1.0399562123700079E-2</v>
      </c>
      <c r="F430" s="39">
        <f t="shared" si="49"/>
        <v>-1.1367942402424891E-3</v>
      </c>
      <c r="H430" s="64">
        <f t="shared" si="51"/>
        <v>0.2</v>
      </c>
      <c r="I430" s="65">
        <f t="shared" si="52"/>
        <v>0.3</v>
      </c>
      <c r="J430" s="66">
        <v>0.3</v>
      </c>
      <c r="K430" s="65">
        <f t="shared" si="50"/>
        <v>0.7</v>
      </c>
      <c r="L430" s="28">
        <f t="shared" si="53"/>
        <v>4.6111870705047627E-3</v>
      </c>
      <c r="M430" s="71">
        <f t="shared" si="56"/>
        <v>2.3241126689402813E-3</v>
      </c>
      <c r="N430" s="51">
        <v>40627</v>
      </c>
      <c r="O430" s="77">
        <f t="shared" si="54"/>
        <v>0.3028246816374397</v>
      </c>
      <c r="P430" s="39">
        <f t="shared" si="55"/>
        <v>0.33836350130966797</v>
      </c>
    </row>
    <row r="431" spans="1:16" x14ac:dyDescent="0.3">
      <c r="A431" s="18">
        <v>40630</v>
      </c>
      <c r="B431" s="15">
        <v>27740</v>
      </c>
      <c r="C431" s="15">
        <v>52700</v>
      </c>
      <c r="D431" s="16">
        <v>2056.39</v>
      </c>
      <c r="E431" s="28">
        <f t="shared" si="49"/>
        <v>1.8057060310581186E-3</v>
      </c>
      <c r="F431" s="39">
        <f t="shared" si="49"/>
        <v>-3.7936267071325691E-4</v>
      </c>
      <c r="H431" s="64">
        <f t="shared" si="51"/>
        <v>0.2</v>
      </c>
      <c r="I431" s="65">
        <f t="shared" si="52"/>
        <v>0.3</v>
      </c>
      <c r="J431" s="66">
        <v>0.3</v>
      </c>
      <c r="K431" s="65">
        <f t="shared" si="50"/>
        <v>0.7</v>
      </c>
      <c r="L431" s="28">
        <f t="shared" si="53"/>
        <v>2.3241126689402813E-3</v>
      </c>
      <c r="M431" s="71">
        <f t="shared" si="56"/>
        <v>2.7615793981815566E-4</v>
      </c>
      <c r="N431" s="50">
        <v>40630</v>
      </c>
      <c r="O431" s="77">
        <f t="shared" si="54"/>
        <v>0.30310083957725786</v>
      </c>
      <c r="P431" s="39">
        <f t="shared" si="55"/>
        <v>0.33989470529210153</v>
      </c>
    </row>
    <row r="432" spans="1:16" x14ac:dyDescent="0.3">
      <c r="A432" s="17">
        <v>40631</v>
      </c>
      <c r="B432" s="13">
        <v>27950</v>
      </c>
      <c r="C432" s="13">
        <v>52720</v>
      </c>
      <c r="D432" s="14">
        <v>2072.13</v>
      </c>
      <c r="E432" s="28">
        <f t="shared" si="49"/>
        <v>7.5702956020187173E-3</v>
      </c>
      <c r="F432" s="39">
        <f t="shared" si="49"/>
        <v>3.7950664136632284E-4</v>
      </c>
      <c r="H432" s="64">
        <f t="shared" si="51"/>
        <v>0.2</v>
      </c>
      <c r="I432" s="65">
        <f t="shared" si="52"/>
        <v>0.3</v>
      </c>
      <c r="J432" s="66">
        <v>0.3</v>
      </c>
      <c r="K432" s="65">
        <f t="shared" si="50"/>
        <v>0.7</v>
      </c>
      <c r="L432" s="28">
        <f t="shared" si="53"/>
        <v>2.7615793981815566E-4</v>
      </c>
      <c r="M432" s="71">
        <f t="shared" si="56"/>
        <v>2.536743329562041E-3</v>
      </c>
      <c r="N432" s="51">
        <v>40631</v>
      </c>
      <c r="O432" s="77">
        <f t="shared" si="54"/>
        <v>0.30563758290681992</v>
      </c>
      <c r="P432" s="39">
        <f t="shared" si="55"/>
        <v>0.35015051409359255</v>
      </c>
    </row>
    <row r="433" spans="1:16" x14ac:dyDescent="0.3">
      <c r="A433" s="17">
        <v>40632</v>
      </c>
      <c r="B433" s="13">
        <v>28275</v>
      </c>
      <c r="C433" s="13">
        <v>52685</v>
      </c>
      <c r="D433" s="14">
        <v>2091.38</v>
      </c>
      <c r="E433" s="28">
        <f t="shared" si="49"/>
        <v>1.1627906976744207E-2</v>
      </c>
      <c r="F433" s="39">
        <f t="shared" si="49"/>
        <v>-6.6388467374811633E-4</v>
      </c>
      <c r="H433" s="64">
        <f t="shared" si="51"/>
        <v>0.2</v>
      </c>
      <c r="I433" s="65">
        <f t="shared" si="52"/>
        <v>0.3</v>
      </c>
      <c r="J433" s="66">
        <v>0.3</v>
      </c>
      <c r="K433" s="65">
        <f t="shared" si="50"/>
        <v>0.7</v>
      </c>
      <c r="L433" s="28">
        <f t="shared" si="53"/>
        <v>2.536743329562041E-3</v>
      </c>
      <c r="M433" s="71">
        <f t="shared" si="56"/>
        <v>3.0236528213995802E-3</v>
      </c>
      <c r="N433" s="51">
        <v>40632</v>
      </c>
      <c r="O433" s="77">
        <f t="shared" si="54"/>
        <v>0.30866123572821952</v>
      </c>
      <c r="P433" s="39">
        <f t="shared" si="55"/>
        <v>0.36269335522629254</v>
      </c>
    </row>
    <row r="434" spans="1:16" x14ac:dyDescent="0.3">
      <c r="A434" s="18">
        <v>40633</v>
      </c>
      <c r="B434" s="15">
        <v>28380</v>
      </c>
      <c r="C434" s="15">
        <v>52730</v>
      </c>
      <c r="D434" s="70">
        <v>2106.6999999999998</v>
      </c>
      <c r="E434" s="71">
        <f t="shared" si="49"/>
        <v>3.7135278514588421E-3</v>
      </c>
      <c r="F434" s="39">
        <f t="shared" si="49"/>
        <v>8.5413305494919101E-4</v>
      </c>
      <c r="H434" s="64">
        <f t="shared" si="51"/>
        <v>0.2</v>
      </c>
      <c r="I434" s="65">
        <f t="shared" si="52"/>
        <v>0.3</v>
      </c>
      <c r="J434" s="66">
        <v>0.3</v>
      </c>
      <c r="K434" s="65">
        <f t="shared" si="50"/>
        <v>0.7</v>
      </c>
      <c r="L434" s="28">
        <f t="shared" si="53"/>
        <v>3.0236528213995802E-3</v>
      </c>
      <c r="M434" s="71">
        <f t="shared" si="56"/>
        <v>1.7119514939020863E-3</v>
      </c>
      <c r="N434" s="50">
        <v>40633</v>
      </c>
      <c r="O434" s="77">
        <f t="shared" si="54"/>
        <v>0.31037318722212159</v>
      </c>
      <c r="P434" s="39">
        <f t="shared" si="55"/>
        <v>0.37267550203943323</v>
      </c>
    </row>
    <row r="435" spans="1:16" x14ac:dyDescent="0.3">
      <c r="A435" s="17">
        <v>40634</v>
      </c>
      <c r="B435" s="13">
        <v>28615</v>
      </c>
      <c r="C435" s="13">
        <v>52840</v>
      </c>
      <c r="D435" s="14">
        <v>2121.0100000000002</v>
      </c>
      <c r="E435" s="28">
        <f t="shared" si="49"/>
        <v>8.2804792107118441E-3</v>
      </c>
      <c r="F435" s="39">
        <f t="shared" si="49"/>
        <v>2.0860989948796593E-3</v>
      </c>
      <c r="H435" s="64">
        <f t="shared" si="51"/>
        <v>0.2</v>
      </c>
      <c r="I435" s="65">
        <f t="shared" si="52"/>
        <v>0.3</v>
      </c>
      <c r="J435" s="66">
        <v>0.3</v>
      </c>
      <c r="K435" s="65">
        <f t="shared" si="50"/>
        <v>0.7</v>
      </c>
      <c r="L435" s="28">
        <f t="shared" si="53"/>
        <v>1.7119514939020863E-3</v>
      </c>
      <c r="M435" s="71">
        <f t="shared" si="56"/>
        <v>3.9444130596293144E-3</v>
      </c>
      <c r="N435" s="51">
        <v>40634</v>
      </c>
      <c r="O435" s="77">
        <f t="shared" si="54"/>
        <v>0.31431760028175093</v>
      </c>
      <c r="P435" s="39">
        <f t="shared" si="55"/>
        <v>0.38199955692820953</v>
      </c>
    </row>
    <row r="436" spans="1:16" x14ac:dyDescent="0.3">
      <c r="A436" s="18">
        <v>40637</v>
      </c>
      <c r="B436" s="15">
        <v>28540</v>
      </c>
      <c r="C436" s="15">
        <v>52855</v>
      </c>
      <c r="D436" s="16">
        <v>2115.87</v>
      </c>
      <c r="E436" s="28">
        <f t="shared" si="49"/>
        <v>-2.6210029704700766E-3</v>
      </c>
      <c r="F436" s="39">
        <f t="shared" si="49"/>
        <v>2.8387585162747975E-4</v>
      </c>
      <c r="H436" s="64">
        <f t="shared" si="51"/>
        <v>0.2</v>
      </c>
      <c r="I436" s="65">
        <f t="shared" si="52"/>
        <v>0.3</v>
      </c>
      <c r="J436" s="66">
        <v>0.3</v>
      </c>
      <c r="K436" s="65">
        <f t="shared" si="50"/>
        <v>0.7</v>
      </c>
      <c r="L436" s="28">
        <f t="shared" si="53"/>
        <v>3.9444130596293144E-3</v>
      </c>
      <c r="M436" s="71">
        <f t="shared" si="56"/>
        <v>-5.8758779500178715E-4</v>
      </c>
      <c r="N436" s="50">
        <v>40637</v>
      </c>
      <c r="O436" s="77">
        <f t="shared" si="54"/>
        <v>0.31373001248674914</v>
      </c>
      <c r="P436" s="39">
        <f t="shared" si="55"/>
        <v>0.37865045545173759</v>
      </c>
    </row>
    <row r="437" spans="1:16" x14ac:dyDescent="0.3">
      <c r="A437" s="17">
        <v>40638</v>
      </c>
      <c r="B437" s="13">
        <v>28720</v>
      </c>
      <c r="C437" s="13">
        <v>52800</v>
      </c>
      <c r="D437" s="14">
        <v>2130.4299999999998</v>
      </c>
      <c r="E437" s="28">
        <f t="shared" si="49"/>
        <v>6.3069376313944492E-3</v>
      </c>
      <c r="F437" s="39">
        <f t="shared" si="49"/>
        <v>-1.0405827263267886E-3</v>
      </c>
      <c r="H437" s="64">
        <f t="shared" si="51"/>
        <v>0.2</v>
      </c>
      <c r="I437" s="65">
        <f t="shared" si="52"/>
        <v>0.3</v>
      </c>
      <c r="J437" s="66">
        <v>0.2</v>
      </c>
      <c r="K437" s="65">
        <f t="shared" si="50"/>
        <v>0.8</v>
      </c>
      <c r="L437" s="28">
        <f t="shared" si="53"/>
        <v>-2.9709991279203152E-4</v>
      </c>
      <c r="M437" s="71">
        <f t="shared" si="56"/>
        <v>4.2892134521745897E-4</v>
      </c>
      <c r="N437" s="51">
        <v>40638</v>
      </c>
      <c r="O437" s="77">
        <f t="shared" si="54"/>
        <v>0.31415893383196658</v>
      </c>
      <c r="P437" s="39">
        <f t="shared" si="55"/>
        <v>0.38813740438119804</v>
      </c>
    </row>
    <row r="438" spans="1:16" x14ac:dyDescent="0.3">
      <c r="A438" s="17">
        <v>40639</v>
      </c>
      <c r="B438" s="13">
        <v>28655</v>
      </c>
      <c r="C438" s="13">
        <v>52810</v>
      </c>
      <c r="D438" s="14">
        <v>2126.71</v>
      </c>
      <c r="E438" s="28">
        <f t="shared" si="49"/>
        <v>-2.2632311977716091E-3</v>
      </c>
      <c r="F438" s="39">
        <f t="shared" si="49"/>
        <v>1.8939393939398919E-4</v>
      </c>
      <c r="H438" s="64">
        <f t="shared" si="51"/>
        <v>0.2</v>
      </c>
      <c r="I438" s="65">
        <f t="shared" si="52"/>
        <v>0.3</v>
      </c>
      <c r="J438" s="66">
        <v>0.3</v>
      </c>
      <c r="K438" s="65">
        <f t="shared" si="50"/>
        <v>0.7</v>
      </c>
      <c r="L438" s="28">
        <f t="shared" si="53"/>
        <v>1.1636733809895828E-3</v>
      </c>
      <c r="M438" s="71">
        <f t="shared" si="56"/>
        <v>-5.4639360175569025E-4</v>
      </c>
      <c r="N438" s="51">
        <v>40639</v>
      </c>
      <c r="O438" s="77">
        <f t="shared" si="54"/>
        <v>0.3136125402302109</v>
      </c>
      <c r="P438" s="39">
        <f t="shared" si="55"/>
        <v>0.38571354105581412</v>
      </c>
    </row>
    <row r="439" spans="1:16" x14ac:dyDescent="0.3">
      <c r="A439" s="18">
        <v>40640</v>
      </c>
      <c r="B439" s="15">
        <v>28540</v>
      </c>
      <c r="C439" s="15">
        <v>52780</v>
      </c>
      <c r="D439" s="70">
        <v>2122.14</v>
      </c>
      <c r="E439" s="71">
        <f t="shared" si="49"/>
        <v>-4.013261210957908E-3</v>
      </c>
      <c r="F439" s="39">
        <f t="shared" si="49"/>
        <v>-5.6807422836580024E-4</v>
      </c>
      <c r="H439" s="64">
        <f t="shared" si="51"/>
        <v>0.2</v>
      </c>
      <c r="I439" s="65">
        <f t="shared" si="52"/>
        <v>0.3</v>
      </c>
      <c r="J439" s="66">
        <v>0.2</v>
      </c>
      <c r="K439" s="65">
        <f t="shared" si="50"/>
        <v>0.8</v>
      </c>
      <c r="L439" s="28">
        <f t="shared" si="53"/>
        <v>-3.0113108803913046E-4</v>
      </c>
      <c r="M439" s="71">
        <f t="shared" si="56"/>
        <v>-1.2571116248842218E-3</v>
      </c>
      <c r="N439" s="50">
        <v>40640</v>
      </c>
      <c r="O439" s="77">
        <f t="shared" si="54"/>
        <v>0.31235542860532667</v>
      </c>
      <c r="P439" s="39">
        <f t="shared" si="55"/>
        <v>0.38273583799210287</v>
      </c>
    </row>
    <row r="440" spans="1:16" x14ac:dyDescent="0.3">
      <c r="A440" s="17">
        <v>40641</v>
      </c>
      <c r="B440" s="13">
        <v>28605</v>
      </c>
      <c r="C440" s="13">
        <v>52750</v>
      </c>
      <c r="D440" s="14">
        <v>2127.9699999999998</v>
      </c>
      <c r="E440" s="28">
        <f t="shared" si="49"/>
        <v>2.277505255781298E-3</v>
      </c>
      <c r="F440" s="39">
        <f t="shared" si="49"/>
        <v>-5.6839712012124455E-4</v>
      </c>
      <c r="H440" s="64">
        <f t="shared" si="51"/>
        <v>0.2</v>
      </c>
      <c r="I440" s="65">
        <f t="shared" si="52"/>
        <v>0.3</v>
      </c>
      <c r="J440" s="66">
        <v>0.2</v>
      </c>
      <c r="K440" s="65">
        <f t="shared" si="50"/>
        <v>0.8</v>
      </c>
      <c r="L440" s="28">
        <f t="shared" si="53"/>
        <v>-1.2571116248842218E-3</v>
      </c>
      <c r="M440" s="71">
        <f t="shared" si="56"/>
        <v>7.833550592639682E-7</v>
      </c>
      <c r="N440" s="51">
        <v>40641</v>
      </c>
      <c r="O440" s="77">
        <f t="shared" si="54"/>
        <v>0.31235621196038593</v>
      </c>
      <c r="P440" s="39">
        <f t="shared" si="55"/>
        <v>0.38653452702086333</v>
      </c>
    </row>
    <row r="441" spans="1:16" x14ac:dyDescent="0.3">
      <c r="A441" s="18">
        <v>40644</v>
      </c>
      <c r="B441" s="15">
        <v>28535</v>
      </c>
      <c r="C441" s="15">
        <v>52675</v>
      </c>
      <c r="D441" s="16">
        <v>2122.39</v>
      </c>
      <c r="E441" s="28">
        <f t="shared" si="49"/>
        <v>-2.4471246285614479E-3</v>
      </c>
      <c r="F441" s="39">
        <f t="shared" si="49"/>
        <v>-1.4218009478672577E-3</v>
      </c>
      <c r="H441" s="64">
        <f t="shared" si="51"/>
        <v>0.2</v>
      </c>
      <c r="I441" s="65">
        <f t="shared" si="52"/>
        <v>0.3</v>
      </c>
      <c r="J441" s="66">
        <v>0.3</v>
      </c>
      <c r="K441" s="65">
        <f t="shared" si="50"/>
        <v>0.7</v>
      </c>
      <c r="L441" s="28">
        <f t="shared" si="53"/>
        <v>2.8537359264951823E-4</v>
      </c>
      <c r="M441" s="71">
        <f t="shared" si="56"/>
        <v>-1.7293980520755147E-3</v>
      </c>
      <c r="N441" s="50">
        <v>40644</v>
      </c>
      <c r="O441" s="77">
        <f t="shared" si="54"/>
        <v>0.31062681390831043</v>
      </c>
      <c r="P441" s="39">
        <f t="shared" si="55"/>
        <v>0.38289873203278724</v>
      </c>
    </row>
    <row r="442" spans="1:16" x14ac:dyDescent="0.3">
      <c r="A442" s="17">
        <v>40645</v>
      </c>
      <c r="B442" s="13">
        <v>28115</v>
      </c>
      <c r="C442" s="13">
        <v>52720</v>
      </c>
      <c r="D442" s="14">
        <v>2089.4</v>
      </c>
      <c r="E442" s="28">
        <f t="shared" si="49"/>
        <v>-1.4718766427194718E-2</v>
      </c>
      <c r="F442" s="39">
        <f t="shared" si="49"/>
        <v>8.542952064547471E-4</v>
      </c>
      <c r="H442" s="64">
        <f t="shared" si="51"/>
        <v>0.2</v>
      </c>
      <c r="I442" s="65">
        <f t="shared" si="52"/>
        <v>0.3</v>
      </c>
      <c r="J442" s="66">
        <v>0.2</v>
      </c>
      <c r="K442" s="65">
        <f t="shared" si="50"/>
        <v>0.8</v>
      </c>
      <c r="L442" s="28">
        <f t="shared" si="53"/>
        <v>-1.6268656840060958E-3</v>
      </c>
      <c r="M442" s="71">
        <f t="shared" si="56"/>
        <v>-2.2603171202751461E-3</v>
      </c>
      <c r="N442" s="51">
        <v>40645</v>
      </c>
      <c r="O442" s="77">
        <f t="shared" si="54"/>
        <v>0.30836649678803529</v>
      </c>
      <c r="P442" s="39">
        <f t="shared" si="55"/>
        <v>0.36140323442407185</v>
      </c>
    </row>
    <row r="443" spans="1:16" x14ac:dyDescent="0.3">
      <c r="A443" s="17">
        <v>40646</v>
      </c>
      <c r="B443" s="13">
        <v>28595</v>
      </c>
      <c r="C443" s="13">
        <v>52740</v>
      </c>
      <c r="D443" s="14">
        <v>2121.92</v>
      </c>
      <c r="E443" s="28">
        <f t="shared" si="49"/>
        <v>1.7072736973146041E-2</v>
      </c>
      <c r="F443" s="39">
        <f t="shared" si="49"/>
        <v>3.7936267071314589E-4</v>
      </c>
      <c r="H443" s="64">
        <f t="shared" si="51"/>
        <v>0.2</v>
      </c>
      <c r="I443" s="65">
        <f t="shared" si="52"/>
        <v>0.3</v>
      </c>
      <c r="J443" s="66">
        <v>0.2</v>
      </c>
      <c r="K443" s="65">
        <f t="shared" si="50"/>
        <v>0.8</v>
      </c>
      <c r="L443" s="28">
        <f t="shared" si="53"/>
        <v>-2.2603171202751461E-3</v>
      </c>
      <c r="M443" s="71">
        <f t="shared" si="56"/>
        <v>3.7180375311997248E-3</v>
      </c>
      <c r="N443" s="51">
        <v>40646</v>
      </c>
      <c r="O443" s="77">
        <f t="shared" si="54"/>
        <v>0.312084534319235</v>
      </c>
      <c r="P443" s="39">
        <f t="shared" si="55"/>
        <v>0.38259249123630057</v>
      </c>
    </row>
    <row r="444" spans="1:16" x14ac:dyDescent="0.3">
      <c r="A444" s="18">
        <v>40647</v>
      </c>
      <c r="B444" s="15">
        <v>28850</v>
      </c>
      <c r="C444" s="15">
        <v>52760</v>
      </c>
      <c r="D444" s="70">
        <v>2141.06</v>
      </c>
      <c r="E444" s="71">
        <f t="shared" si="49"/>
        <v>8.9176429445707583E-3</v>
      </c>
      <c r="F444" s="39">
        <f t="shared" si="49"/>
        <v>3.792188092528459E-4</v>
      </c>
      <c r="H444" s="64">
        <f t="shared" si="51"/>
        <v>0.2</v>
      </c>
      <c r="I444" s="65">
        <f t="shared" si="52"/>
        <v>0.3</v>
      </c>
      <c r="J444" s="66">
        <v>0.3</v>
      </c>
      <c r="K444" s="65">
        <f t="shared" si="50"/>
        <v>0.7</v>
      </c>
      <c r="L444" s="28">
        <f t="shared" si="53"/>
        <v>5.3873749614430141E-3</v>
      </c>
      <c r="M444" s="71">
        <f t="shared" si="56"/>
        <v>2.9407460498482195E-3</v>
      </c>
      <c r="N444" s="50">
        <v>40647</v>
      </c>
      <c r="O444" s="77">
        <f t="shared" si="54"/>
        <v>0.31502528036908323</v>
      </c>
      <c r="P444" s="39">
        <f t="shared" si="55"/>
        <v>0.39506365899109941</v>
      </c>
    </row>
    <row r="445" spans="1:16" x14ac:dyDescent="0.3">
      <c r="A445" s="17">
        <v>40648</v>
      </c>
      <c r="B445" s="13">
        <v>28825</v>
      </c>
      <c r="C445" s="13">
        <v>52760</v>
      </c>
      <c r="D445" s="14">
        <v>2140.5</v>
      </c>
      <c r="E445" s="28">
        <f t="shared" si="49"/>
        <v>-8.6655112651645716E-4</v>
      </c>
      <c r="F445" s="39">
        <f t="shared" si="49"/>
        <v>0</v>
      </c>
      <c r="H445" s="64">
        <f t="shared" si="51"/>
        <v>0.2</v>
      </c>
      <c r="I445" s="65">
        <f t="shared" si="52"/>
        <v>0.3</v>
      </c>
      <c r="J445" s="66">
        <v>0.3</v>
      </c>
      <c r="K445" s="65">
        <f t="shared" si="50"/>
        <v>0.7</v>
      </c>
      <c r="L445" s="28">
        <f t="shared" si="53"/>
        <v>2.9407460498482195E-3</v>
      </c>
      <c r="M445" s="71">
        <f t="shared" si="56"/>
        <v>-2.5996533795493712E-4</v>
      </c>
      <c r="N445" s="51">
        <v>40648</v>
      </c>
      <c r="O445" s="77">
        <f t="shared" si="54"/>
        <v>0.31476531503112831</v>
      </c>
      <c r="P445" s="39">
        <f t="shared" si="55"/>
        <v>0.39469877633996631</v>
      </c>
    </row>
    <row r="446" spans="1:16" x14ac:dyDescent="0.3">
      <c r="A446" s="18">
        <v>40651</v>
      </c>
      <c r="B446" s="15">
        <v>28720</v>
      </c>
      <c r="C446" s="15">
        <v>52790</v>
      </c>
      <c r="D446" s="16">
        <v>2137.7199999999998</v>
      </c>
      <c r="E446" s="28">
        <f t="shared" si="49"/>
        <v>-3.6426712922810189E-3</v>
      </c>
      <c r="F446" s="39">
        <f t="shared" si="49"/>
        <v>5.6861258529194991E-4</v>
      </c>
      <c r="H446" s="64">
        <f t="shared" si="51"/>
        <v>0.2</v>
      </c>
      <c r="I446" s="65">
        <f t="shared" si="52"/>
        <v>0.3</v>
      </c>
      <c r="J446" s="66">
        <v>0.2</v>
      </c>
      <c r="K446" s="65">
        <f t="shared" si="50"/>
        <v>0.8</v>
      </c>
      <c r="L446" s="28">
        <f t="shared" si="53"/>
        <v>-1.7331022530329144E-4</v>
      </c>
      <c r="M446" s="71">
        <f t="shared" si="56"/>
        <v>-2.7364419022264381E-4</v>
      </c>
      <c r="N446" s="50">
        <v>40651</v>
      </c>
      <c r="O446" s="77">
        <f t="shared" si="54"/>
        <v>0.31449167084090568</v>
      </c>
      <c r="P446" s="39">
        <f t="shared" si="55"/>
        <v>0.39288739460755551</v>
      </c>
    </row>
    <row r="447" spans="1:16" x14ac:dyDescent="0.3">
      <c r="A447" s="17">
        <v>40652</v>
      </c>
      <c r="B447" s="13">
        <v>28520</v>
      </c>
      <c r="C447" s="13">
        <v>52825</v>
      </c>
      <c r="D447" s="14">
        <v>2122.6799999999998</v>
      </c>
      <c r="E447" s="28">
        <f t="shared" si="49"/>
        <v>-6.9637883008356605E-3</v>
      </c>
      <c r="F447" s="39">
        <f t="shared" si="49"/>
        <v>6.6300435688582127E-4</v>
      </c>
      <c r="H447" s="64">
        <f t="shared" si="51"/>
        <v>0.2</v>
      </c>
      <c r="I447" s="65">
        <f t="shared" si="52"/>
        <v>0.3</v>
      </c>
      <c r="J447" s="66">
        <v>0.2</v>
      </c>
      <c r="K447" s="65">
        <f t="shared" si="50"/>
        <v>0.8</v>
      </c>
      <c r="L447" s="28">
        <f t="shared" si="53"/>
        <v>-2.7364419022264381E-4</v>
      </c>
      <c r="M447" s="71">
        <f t="shared" si="56"/>
        <v>-8.6235417465847515E-4</v>
      </c>
      <c r="N447" s="51">
        <v>40652</v>
      </c>
      <c r="O447" s="77">
        <f t="shared" si="54"/>
        <v>0.31362931666624722</v>
      </c>
      <c r="P447" s="39">
        <f t="shared" si="55"/>
        <v>0.38308768911998103</v>
      </c>
    </row>
    <row r="448" spans="1:16" x14ac:dyDescent="0.3">
      <c r="A448" s="17">
        <v>40653</v>
      </c>
      <c r="B448" s="13">
        <v>29220</v>
      </c>
      <c r="C448" s="13">
        <v>52795</v>
      </c>
      <c r="D448" s="14">
        <v>2169.91</v>
      </c>
      <c r="E448" s="28">
        <f t="shared" si="49"/>
        <v>2.4544179523141585E-2</v>
      </c>
      <c r="F448" s="39">
        <f t="shared" si="49"/>
        <v>-5.6791292001889815E-4</v>
      </c>
      <c r="H448" s="64">
        <f t="shared" si="51"/>
        <v>0.2</v>
      </c>
      <c r="I448" s="65">
        <f t="shared" si="52"/>
        <v>0.3</v>
      </c>
      <c r="J448" s="66">
        <v>0.2</v>
      </c>
      <c r="K448" s="65">
        <f t="shared" si="50"/>
        <v>0.8</v>
      </c>
      <c r="L448" s="28">
        <f t="shared" si="53"/>
        <v>-8.6235417465847515E-4</v>
      </c>
      <c r="M448" s="71">
        <f t="shared" si="56"/>
        <v>4.4545055686131983E-3</v>
      </c>
      <c r="N448" s="51">
        <v>40653</v>
      </c>
      <c r="O448" s="77">
        <f t="shared" si="54"/>
        <v>0.31808382223486042</v>
      </c>
      <c r="P448" s="39">
        <f t="shared" si="55"/>
        <v>0.413861631286081</v>
      </c>
    </row>
    <row r="449" spans="1:16" x14ac:dyDescent="0.3">
      <c r="A449" s="18">
        <v>40654</v>
      </c>
      <c r="B449" s="15">
        <v>29700</v>
      </c>
      <c r="C449" s="15">
        <v>52765</v>
      </c>
      <c r="D449" s="70">
        <v>2198.54</v>
      </c>
      <c r="E449" s="71">
        <f t="shared" si="49"/>
        <v>1.6427104722792629E-2</v>
      </c>
      <c r="F449" s="39">
        <f t="shared" si="49"/>
        <v>-5.6823562837393649E-4</v>
      </c>
      <c r="H449" s="64">
        <f t="shared" si="51"/>
        <v>0.2</v>
      </c>
      <c r="I449" s="65">
        <f t="shared" si="52"/>
        <v>0.3</v>
      </c>
      <c r="J449" s="66">
        <v>0.3</v>
      </c>
      <c r="K449" s="65">
        <f t="shared" si="50"/>
        <v>0.7</v>
      </c>
      <c r="L449" s="28">
        <f t="shared" si="53"/>
        <v>6.9657148129292469E-3</v>
      </c>
      <c r="M449" s="71">
        <f t="shared" si="56"/>
        <v>4.5303664769760334E-3</v>
      </c>
      <c r="N449" s="50">
        <v>40654</v>
      </c>
      <c r="O449" s="77">
        <f t="shared" si="54"/>
        <v>0.32261418871183645</v>
      </c>
      <c r="P449" s="39">
        <f t="shared" si="55"/>
        <v>0.43251625682526029</v>
      </c>
    </row>
    <row r="450" spans="1:16" x14ac:dyDescent="0.3">
      <c r="A450" s="17">
        <v>40655</v>
      </c>
      <c r="B450" s="13">
        <v>29685</v>
      </c>
      <c r="C450" s="13">
        <v>52755</v>
      </c>
      <c r="D450" s="14">
        <v>2197.8200000000002</v>
      </c>
      <c r="E450" s="28">
        <f t="shared" si="49"/>
        <v>-5.0505050505045279E-4</v>
      </c>
      <c r="F450" s="39">
        <f t="shared" si="49"/>
        <v>-1.8951956789536872E-4</v>
      </c>
      <c r="H450" s="64">
        <f t="shared" si="51"/>
        <v>0.2</v>
      </c>
      <c r="I450" s="65">
        <f t="shared" si="52"/>
        <v>0.3</v>
      </c>
      <c r="J450" s="66">
        <v>0.3</v>
      </c>
      <c r="K450" s="65">
        <f t="shared" si="50"/>
        <v>0.7</v>
      </c>
      <c r="L450" s="28">
        <f t="shared" si="53"/>
        <v>4.5303664769760334E-3</v>
      </c>
      <c r="M450" s="71">
        <f t="shared" si="56"/>
        <v>-2.8417884904189392E-4</v>
      </c>
      <c r="N450" s="51">
        <v>40655</v>
      </c>
      <c r="O450" s="77">
        <f t="shared" si="54"/>
        <v>0.32233000986279453</v>
      </c>
      <c r="P450" s="39">
        <f t="shared" si="55"/>
        <v>0.43204712198808926</v>
      </c>
    </row>
    <row r="451" spans="1:16" x14ac:dyDescent="0.3">
      <c r="A451" s="18">
        <v>40658</v>
      </c>
      <c r="B451" s="15">
        <v>29860</v>
      </c>
      <c r="C451" s="15">
        <v>52635</v>
      </c>
      <c r="D451" s="16">
        <v>2216</v>
      </c>
      <c r="E451" s="28">
        <f t="shared" si="49"/>
        <v>5.8952332828028364E-3</v>
      </c>
      <c r="F451" s="39">
        <f t="shared" si="49"/>
        <v>-2.2746659084447174E-3</v>
      </c>
      <c r="H451" s="64">
        <f t="shared" si="51"/>
        <v>0.2</v>
      </c>
      <c r="I451" s="65">
        <f t="shared" si="52"/>
        <v>0.3</v>
      </c>
      <c r="J451" s="66">
        <v>0.2</v>
      </c>
      <c r="K451" s="65">
        <f t="shared" si="50"/>
        <v>0.8</v>
      </c>
      <c r="L451" s="28">
        <f t="shared" si="53"/>
        <v>-2.5262575532638556E-4</v>
      </c>
      <c r="M451" s="71">
        <f t="shared" si="56"/>
        <v>-6.4068607019520654E-4</v>
      </c>
      <c r="N451" s="50">
        <v>40658</v>
      </c>
      <c r="O451" s="77">
        <f t="shared" si="54"/>
        <v>0.32168932379259935</v>
      </c>
      <c r="P451" s="39">
        <f t="shared" si="55"/>
        <v>0.44389277662665982</v>
      </c>
    </row>
    <row r="452" spans="1:16" x14ac:dyDescent="0.3">
      <c r="A452" s="17">
        <v>40659</v>
      </c>
      <c r="B452" s="13">
        <v>29730</v>
      </c>
      <c r="C452" s="13">
        <v>52700</v>
      </c>
      <c r="D452" s="14">
        <v>2206.3000000000002</v>
      </c>
      <c r="E452" s="28">
        <f t="shared" si="49"/>
        <v>-4.353650368385753E-3</v>
      </c>
      <c r="F452" s="39">
        <f t="shared" si="49"/>
        <v>1.2349197302174986E-3</v>
      </c>
      <c r="H452" s="64">
        <f t="shared" si="51"/>
        <v>0.2</v>
      </c>
      <c r="I452" s="65">
        <f t="shared" si="52"/>
        <v>0.3</v>
      </c>
      <c r="J452" s="66">
        <v>0.3</v>
      </c>
      <c r="K452" s="65">
        <f t="shared" si="50"/>
        <v>0.7</v>
      </c>
      <c r="L452" s="28">
        <f t="shared" si="53"/>
        <v>1.7630384892954867E-4</v>
      </c>
      <c r="M452" s="71">
        <f t="shared" si="56"/>
        <v>-4.4165129936347698E-4</v>
      </c>
      <c r="N452" s="51">
        <v>40659</v>
      </c>
      <c r="O452" s="77">
        <f t="shared" si="54"/>
        <v>0.32124767249323588</v>
      </c>
      <c r="P452" s="39">
        <f t="shared" si="55"/>
        <v>0.43757248784810465</v>
      </c>
    </row>
    <row r="453" spans="1:16" x14ac:dyDescent="0.3">
      <c r="A453" s="17">
        <v>40660</v>
      </c>
      <c r="B453" s="13">
        <v>29770</v>
      </c>
      <c r="C453" s="13">
        <v>52650</v>
      </c>
      <c r="D453" s="14">
        <v>2206.6999999999998</v>
      </c>
      <c r="E453" s="28">
        <f t="shared" si="49"/>
        <v>1.345442314160783E-3</v>
      </c>
      <c r="F453" s="39">
        <f t="shared" si="49"/>
        <v>-9.4876660341558505E-4</v>
      </c>
      <c r="H453" s="64">
        <f t="shared" si="51"/>
        <v>0.2</v>
      </c>
      <c r="I453" s="65">
        <f t="shared" si="52"/>
        <v>0.3</v>
      </c>
      <c r="J453" s="66">
        <v>0.2</v>
      </c>
      <c r="K453" s="65">
        <f t="shared" si="50"/>
        <v>0.8</v>
      </c>
      <c r="L453" s="28">
        <f t="shared" si="53"/>
        <v>1.172057104968482E-4</v>
      </c>
      <c r="M453" s="71">
        <f t="shared" si="56"/>
        <v>-4.8992481990031147E-4</v>
      </c>
      <c r="N453" s="51">
        <v>40660</v>
      </c>
      <c r="O453" s="77">
        <f t="shared" si="54"/>
        <v>0.32075774767333559</v>
      </c>
      <c r="P453" s="39">
        <f t="shared" si="55"/>
        <v>0.4378331183131996</v>
      </c>
    </row>
    <row r="454" spans="1:16" x14ac:dyDescent="0.3">
      <c r="A454" s="18">
        <v>40661</v>
      </c>
      <c r="B454" s="15">
        <v>29360</v>
      </c>
      <c r="C454" s="15">
        <v>52670</v>
      </c>
      <c r="D454" s="70">
        <v>2208.35</v>
      </c>
      <c r="E454" s="71">
        <f t="shared" si="49"/>
        <v>-1.3772253946926383E-2</v>
      </c>
      <c r="F454" s="39">
        <f t="shared" si="49"/>
        <v>3.7986704653381054E-4</v>
      </c>
      <c r="H454" s="64">
        <f t="shared" si="51"/>
        <v>0.2</v>
      </c>
      <c r="I454" s="65">
        <f t="shared" si="52"/>
        <v>0.3</v>
      </c>
      <c r="J454" s="66">
        <v>0.3</v>
      </c>
      <c r="K454" s="65">
        <f t="shared" si="50"/>
        <v>0.7</v>
      </c>
      <c r="L454" s="28">
        <f t="shared" si="53"/>
        <v>-2.6050392814267462E-4</v>
      </c>
      <c r="M454" s="71">
        <f t="shared" si="56"/>
        <v>-3.8657692515042469E-3</v>
      </c>
      <c r="N454" s="50">
        <v>40661</v>
      </c>
      <c r="O454" s="77">
        <f t="shared" si="54"/>
        <v>0.31689197842183137</v>
      </c>
      <c r="P454" s="39">
        <f t="shared" si="55"/>
        <v>0.43890821898171661</v>
      </c>
    </row>
    <row r="455" spans="1:16" x14ac:dyDescent="0.3">
      <c r="A455" s="17">
        <v>40662</v>
      </c>
      <c r="B455" s="13">
        <v>29195</v>
      </c>
      <c r="C455" s="13">
        <v>52805</v>
      </c>
      <c r="D455" s="14">
        <v>2192.36</v>
      </c>
      <c r="E455" s="28">
        <f t="shared" si="49"/>
        <v>-5.6198910081743936E-3</v>
      </c>
      <c r="F455" s="39">
        <f t="shared" si="49"/>
        <v>2.5631289158913884E-3</v>
      </c>
      <c r="H455" s="64">
        <f t="shared" si="51"/>
        <v>0.2</v>
      </c>
      <c r="I455" s="65">
        <f t="shared" si="52"/>
        <v>0.3</v>
      </c>
      <c r="J455" s="66">
        <v>0.2</v>
      </c>
      <c r="K455" s="65">
        <f t="shared" si="50"/>
        <v>0.8</v>
      </c>
      <c r="L455" s="28">
        <f t="shared" si="53"/>
        <v>-2.4505571521582282E-3</v>
      </c>
      <c r="M455" s="71">
        <f t="shared" si="56"/>
        <v>9.2652493107823206E-4</v>
      </c>
      <c r="N455" s="51">
        <v>40662</v>
      </c>
      <c r="O455" s="77">
        <f t="shared" si="54"/>
        <v>0.31781850335290962</v>
      </c>
      <c r="P455" s="39">
        <f t="shared" si="55"/>
        <v>0.42848951613954167</v>
      </c>
    </row>
    <row r="456" spans="1:16" x14ac:dyDescent="0.3">
      <c r="A456" s="18">
        <v>40665</v>
      </c>
      <c r="B456" s="15">
        <v>29735</v>
      </c>
      <c r="C456" s="15">
        <v>52810</v>
      </c>
      <c r="D456" s="16">
        <v>2228.96</v>
      </c>
      <c r="E456" s="28">
        <f t="shared" si="49"/>
        <v>1.8496317862647604E-2</v>
      </c>
      <c r="F456" s="39">
        <f t="shared" si="49"/>
        <v>9.4688003029919088E-5</v>
      </c>
      <c r="H456" s="64">
        <f t="shared" si="51"/>
        <v>0.2</v>
      </c>
      <c r="I456" s="65">
        <f t="shared" si="52"/>
        <v>0.3</v>
      </c>
      <c r="J456" s="66">
        <v>0.2</v>
      </c>
      <c r="K456" s="65">
        <f t="shared" si="50"/>
        <v>0.8</v>
      </c>
      <c r="L456" s="28">
        <f t="shared" si="53"/>
        <v>9.2652493107823206E-4</v>
      </c>
      <c r="M456" s="71">
        <f t="shared" si="56"/>
        <v>3.7750139749534563E-3</v>
      </c>
      <c r="N456" s="50">
        <v>40665</v>
      </c>
      <c r="O456" s="77">
        <f t="shared" si="54"/>
        <v>0.32159351732786307</v>
      </c>
      <c r="P456" s="39">
        <f t="shared" si="55"/>
        <v>0.45233720369574004</v>
      </c>
    </row>
    <row r="457" spans="1:16" x14ac:dyDescent="0.3">
      <c r="A457" s="17">
        <v>40666</v>
      </c>
      <c r="B457" s="13">
        <v>29315</v>
      </c>
      <c r="C457" s="13">
        <v>52790</v>
      </c>
      <c r="D457" s="14">
        <v>2200.73</v>
      </c>
      <c r="E457" s="28">
        <f t="shared" si="49"/>
        <v>-1.4124768790987008E-2</v>
      </c>
      <c r="F457" s="39">
        <f t="shared" si="49"/>
        <v>-3.7871615224394084E-4</v>
      </c>
      <c r="H457" s="64">
        <f t="shared" si="51"/>
        <v>0.2</v>
      </c>
      <c r="I457" s="65">
        <f t="shared" si="52"/>
        <v>0.3</v>
      </c>
      <c r="J457" s="66">
        <v>0.3</v>
      </c>
      <c r="K457" s="65">
        <f t="shared" si="50"/>
        <v>0.7</v>
      </c>
      <c r="L457" s="28">
        <f t="shared" si="53"/>
        <v>5.6151769609152245E-3</v>
      </c>
      <c r="M457" s="71">
        <f t="shared" si="56"/>
        <v>-4.5025319438668611E-3</v>
      </c>
      <c r="N457" s="51">
        <v>40666</v>
      </c>
      <c r="O457" s="77">
        <f t="shared" si="54"/>
        <v>0.31709098538399622</v>
      </c>
      <c r="P457" s="39">
        <f t="shared" si="55"/>
        <v>0.4339432086216557</v>
      </c>
    </row>
    <row r="458" spans="1:16" x14ac:dyDescent="0.3">
      <c r="A458" s="17">
        <v>40667</v>
      </c>
      <c r="B458" s="13">
        <v>28990</v>
      </c>
      <c r="C458" s="13">
        <v>52790</v>
      </c>
      <c r="D458" s="14">
        <v>2180.64</v>
      </c>
      <c r="E458" s="28">
        <f t="shared" si="49"/>
        <v>-1.1086474501108667E-2</v>
      </c>
      <c r="F458" s="39">
        <f t="shared" si="49"/>
        <v>0</v>
      </c>
      <c r="H458" s="64">
        <f t="shared" si="51"/>
        <v>0.2</v>
      </c>
      <c r="I458" s="65">
        <f t="shared" si="52"/>
        <v>0.3</v>
      </c>
      <c r="J458" s="66">
        <v>0.2</v>
      </c>
      <c r="K458" s="65">
        <f t="shared" si="50"/>
        <v>0.8</v>
      </c>
      <c r="L458" s="28">
        <f t="shared" si="53"/>
        <v>-3.1279266799925545E-3</v>
      </c>
      <c r="M458" s="71">
        <f t="shared" si="56"/>
        <v>-2.2172949002217334E-3</v>
      </c>
      <c r="N458" s="51">
        <v>40667</v>
      </c>
      <c r="O458" s="77">
        <f t="shared" si="54"/>
        <v>0.3148736904837745</v>
      </c>
      <c r="P458" s="39">
        <f t="shared" si="55"/>
        <v>0.42085304351225616</v>
      </c>
    </row>
    <row r="459" spans="1:16" x14ac:dyDescent="0.3">
      <c r="A459" s="18">
        <v>40669</v>
      </c>
      <c r="B459" s="15">
        <v>28530</v>
      </c>
      <c r="C459" s="15">
        <v>52790</v>
      </c>
      <c r="D459" s="70">
        <v>2147.4499999999998</v>
      </c>
      <c r="E459" s="71">
        <f t="shared" si="49"/>
        <v>-1.5867540531217639E-2</v>
      </c>
      <c r="F459" s="39">
        <f t="shared" si="49"/>
        <v>0</v>
      </c>
      <c r="H459" s="64">
        <f t="shared" si="51"/>
        <v>0.2</v>
      </c>
      <c r="I459" s="65">
        <f t="shared" si="52"/>
        <v>0.3</v>
      </c>
      <c r="J459" s="66">
        <v>0.2</v>
      </c>
      <c r="K459" s="65">
        <f t="shared" si="50"/>
        <v>0.8</v>
      </c>
      <c r="L459" s="28">
        <f t="shared" si="53"/>
        <v>-2.2172949002217334E-3</v>
      </c>
      <c r="M459" s="71">
        <f t="shared" si="56"/>
        <v>-3.1735081062435281E-3</v>
      </c>
      <c r="N459" s="50">
        <v>40669</v>
      </c>
      <c r="O459" s="77">
        <f t="shared" si="54"/>
        <v>0.311700182377531</v>
      </c>
      <c r="P459" s="39">
        <f t="shared" si="55"/>
        <v>0.39922723067099297</v>
      </c>
    </row>
    <row r="460" spans="1:16" x14ac:dyDescent="0.3">
      <c r="A460" s="17">
        <v>40672</v>
      </c>
      <c r="B460" s="13">
        <v>28370</v>
      </c>
      <c r="C460" s="13">
        <v>52840</v>
      </c>
      <c r="D460" s="14">
        <v>2139.17</v>
      </c>
      <c r="E460" s="28">
        <f t="shared" si="49"/>
        <v>-5.6081317910970929E-3</v>
      </c>
      <c r="F460" s="39">
        <f t="shared" si="49"/>
        <v>9.4714908126536379E-4</v>
      </c>
      <c r="H460" s="64">
        <f t="shared" si="51"/>
        <v>0.2</v>
      </c>
      <c r="I460" s="65">
        <f t="shared" si="52"/>
        <v>0.3</v>
      </c>
      <c r="J460" s="66">
        <v>0.2</v>
      </c>
      <c r="K460" s="65">
        <f t="shared" si="50"/>
        <v>0.8</v>
      </c>
      <c r="L460" s="28">
        <f t="shared" si="53"/>
        <v>-3.1735081062435281E-3</v>
      </c>
      <c r="M460" s="71">
        <f t="shared" si="56"/>
        <v>-3.6390709320712757E-4</v>
      </c>
      <c r="N460" s="51">
        <v>40672</v>
      </c>
      <c r="O460" s="77">
        <f t="shared" si="54"/>
        <v>0.31133627528432389</v>
      </c>
      <c r="P460" s="39">
        <f t="shared" si="55"/>
        <v>0.39383218004352538</v>
      </c>
    </row>
    <row r="461" spans="1:16" x14ac:dyDescent="0.3">
      <c r="A461" s="18">
        <v>40674</v>
      </c>
      <c r="B461" s="15">
        <v>28705</v>
      </c>
      <c r="C461" s="15">
        <v>52840</v>
      </c>
      <c r="D461" s="16">
        <v>2166.63</v>
      </c>
      <c r="E461" s="28">
        <f t="shared" si="49"/>
        <v>1.1808248149453693E-2</v>
      </c>
      <c r="F461" s="39">
        <f t="shared" si="49"/>
        <v>0</v>
      </c>
      <c r="H461" s="64">
        <f t="shared" si="51"/>
        <v>0.2</v>
      </c>
      <c r="I461" s="65">
        <f t="shared" si="52"/>
        <v>0.3</v>
      </c>
      <c r="J461" s="66">
        <v>0.2</v>
      </c>
      <c r="K461" s="65">
        <f t="shared" si="50"/>
        <v>0.8</v>
      </c>
      <c r="L461" s="28">
        <f t="shared" si="53"/>
        <v>-3.6390709320712757E-4</v>
      </c>
      <c r="M461" s="71">
        <f t="shared" si="56"/>
        <v>2.3616496298907389E-3</v>
      </c>
      <c r="N461" s="50">
        <v>40674</v>
      </c>
      <c r="O461" s="77">
        <f t="shared" si="54"/>
        <v>0.31369792491421461</v>
      </c>
      <c r="P461" s="39">
        <f t="shared" si="55"/>
        <v>0.41172446147230146</v>
      </c>
    </row>
    <row r="462" spans="1:16" x14ac:dyDescent="0.3">
      <c r="A462" s="17">
        <v>40675</v>
      </c>
      <c r="B462" s="13">
        <v>28200</v>
      </c>
      <c r="C462" s="13">
        <v>52990</v>
      </c>
      <c r="D462" s="14">
        <v>2122.65</v>
      </c>
      <c r="E462" s="28">
        <f t="shared" si="49"/>
        <v>-1.7592753875631417E-2</v>
      </c>
      <c r="F462" s="39">
        <f t="shared" si="49"/>
        <v>2.8387585162754636E-3</v>
      </c>
      <c r="H462" s="64">
        <f t="shared" si="51"/>
        <v>0.2</v>
      </c>
      <c r="I462" s="65">
        <f t="shared" si="52"/>
        <v>0.3</v>
      </c>
      <c r="J462" s="66">
        <v>0.3</v>
      </c>
      <c r="K462" s="65">
        <f t="shared" si="50"/>
        <v>0.7</v>
      </c>
      <c r="L462" s="28">
        <f t="shared" si="53"/>
        <v>3.5424744448361075E-3</v>
      </c>
      <c r="M462" s="71">
        <f t="shared" si="56"/>
        <v>-3.2906952012966002E-3</v>
      </c>
      <c r="N462" s="51">
        <v>40675</v>
      </c>
      <c r="O462" s="77">
        <f t="shared" si="54"/>
        <v>0.31040722971291801</v>
      </c>
      <c r="P462" s="39">
        <f t="shared" si="55"/>
        <v>0.38306814183509919</v>
      </c>
    </row>
    <row r="463" spans="1:16" x14ac:dyDescent="0.3">
      <c r="A463" s="17">
        <v>40676</v>
      </c>
      <c r="B463" s="13">
        <v>28155</v>
      </c>
      <c r="C463" s="13">
        <v>52900</v>
      </c>
      <c r="D463" s="14">
        <v>2120.08</v>
      </c>
      <c r="E463" s="28">
        <f t="shared" si="49"/>
        <v>-1.5957446808511078E-3</v>
      </c>
      <c r="F463" s="39">
        <f t="shared" si="49"/>
        <v>-1.6984336667296152E-3</v>
      </c>
      <c r="H463" s="64">
        <f t="shared" si="51"/>
        <v>0.2</v>
      </c>
      <c r="I463" s="65">
        <f t="shared" si="52"/>
        <v>0.3</v>
      </c>
      <c r="J463" s="66">
        <v>0.2</v>
      </c>
      <c r="K463" s="65">
        <f t="shared" si="50"/>
        <v>0.8</v>
      </c>
      <c r="L463" s="28">
        <f t="shared" si="53"/>
        <v>-1.2475439621059126E-3</v>
      </c>
      <c r="M463" s="71">
        <f t="shared" si="56"/>
        <v>-1.6778958695539139E-3</v>
      </c>
      <c r="N463" s="51">
        <v>40676</v>
      </c>
      <c r="O463" s="77">
        <f t="shared" si="54"/>
        <v>0.3087293338433641</v>
      </c>
      <c r="P463" s="39">
        <f t="shared" si="55"/>
        <v>0.38139359109686333</v>
      </c>
    </row>
    <row r="464" spans="1:16" x14ac:dyDescent="0.3">
      <c r="A464" s="18">
        <v>40679</v>
      </c>
      <c r="B464" s="15">
        <v>27910</v>
      </c>
      <c r="C464" s="15">
        <v>52920</v>
      </c>
      <c r="D464" s="70">
        <v>2104.1799999999998</v>
      </c>
      <c r="E464" s="71">
        <f t="shared" si="49"/>
        <v>-8.7018291600070574E-3</v>
      </c>
      <c r="F464" s="39">
        <f t="shared" si="49"/>
        <v>3.780718336483524E-4</v>
      </c>
      <c r="H464" s="64">
        <f t="shared" si="51"/>
        <v>0.2</v>
      </c>
      <c r="I464" s="65">
        <f t="shared" si="52"/>
        <v>0.3</v>
      </c>
      <c r="J464" s="66">
        <v>0.3</v>
      </c>
      <c r="K464" s="65">
        <f t="shared" si="50"/>
        <v>0.7</v>
      </c>
      <c r="L464" s="28">
        <f t="shared" si="53"/>
        <v>-1.6676269709660627E-3</v>
      </c>
      <c r="M464" s="71">
        <f t="shared" si="56"/>
        <v>-2.3458984644482705E-3</v>
      </c>
      <c r="N464" s="50">
        <v>40679</v>
      </c>
      <c r="O464" s="77">
        <f t="shared" si="54"/>
        <v>0.30638343537891582</v>
      </c>
      <c r="P464" s="39">
        <f t="shared" si="55"/>
        <v>0.37103353010933438</v>
      </c>
    </row>
    <row r="465" spans="1:16" x14ac:dyDescent="0.3">
      <c r="A465" s="17">
        <v>40680</v>
      </c>
      <c r="B465" s="13">
        <v>27880</v>
      </c>
      <c r="C465" s="13">
        <v>52950</v>
      </c>
      <c r="D465" s="14">
        <v>2102.41</v>
      </c>
      <c r="E465" s="28">
        <f t="shared" ref="E465:F528" si="57">B465/B464-1</f>
        <v>-1.0748835542816471E-3</v>
      </c>
      <c r="F465" s="39">
        <f t="shared" si="57"/>
        <v>5.6689342403637433E-4</v>
      </c>
      <c r="H465" s="64">
        <f t="shared" si="51"/>
        <v>0.2</v>
      </c>
      <c r="I465" s="65">
        <f t="shared" si="52"/>
        <v>0.3</v>
      </c>
      <c r="J465" s="66">
        <v>0.2</v>
      </c>
      <c r="K465" s="65">
        <f t="shared" ref="K465:K528" si="58">1-J465</f>
        <v>0.8</v>
      </c>
      <c r="L465" s="28">
        <f t="shared" si="53"/>
        <v>-1.4379083650827296E-3</v>
      </c>
      <c r="M465" s="71">
        <f t="shared" si="56"/>
        <v>2.3853802837277009E-4</v>
      </c>
      <c r="N465" s="51">
        <v>40680</v>
      </c>
      <c r="O465" s="77">
        <f t="shared" si="54"/>
        <v>0.30662197340728858</v>
      </c>
      <c r="P465" s="39">
        <f t="shared" si="55"/>
        <v>0.36988024030128863</v>
      </c>
    </row>
    <row r="466" spans="1:16" x14ac:dyDescent="0.3">
      <c r="A466" s="18">
        <v>40681</v>
      </c>
      <c r="B466" s="15">
        <v>28350</v>
      </c>
      <c r="C466" s="15">
        <v>52940</v>
      </c>
      <c r="D466" s="16">
        <v>2135.7800000000002</v>
      </c>
      <c r="E466" s="28">
        <f t="shared" si="57"/>
        <v>1.685796269727402E-2</v>
      </c>
      <c r="F466" s="39">
        <f t="shared" si="57"/>
        <v>-1.8885741265339817E-4</v>
      </c>
      <c r="H466" s="64">
        <f t="shared" ref="H466:H529" si="59">IF($D465&lt;=1850,0.9,IF(AND($D465&lt;=1900,$D465&gt;1850),0.7,IF(AND($D465&lt;=1950,$D465&gt;1900),0.5,IF(AND($D465&lt;=2000,$D465&gt;1950),0.3,IF($D465&gt;2000,0.2,0)))))</f>
        <v>0.2</v>
      </c>
      <c r="I466" s="65">
        <f t="shared" ref="I466:I529" si="60">IF($D465&lt;=1850,1,IF(AND($D465&lt;=1900,$D465&gt;1850),0.9,IF(AND($D465&lt;=1950,$D465&gt;1900),0.7,IF(AND($D465&lt;=2000,$D465&gt;1950),0.5,IF($D465&gt;2000,0.3,0)))))</f>
        <v>0.3</v>
      </c>
      <c r="J466" s="66">
        <v>0.2</v>
      </c>
      <c r="K466" s="65">
        <f t="shared" si="58"/>
        <v>0.8</v>
      </c>
      <c r="L466" s="28">
        <f t="shared" ref="L466:L529" si="61">E465*J466+F465*K466</f>
        <v>2.3853802837277009E-4</v>
      </c>
      <c r="M466" s="71">
        <f t="shared" si="56"/>
        <v>3.2205066093320858E-3</v>
      </c>
      <c r="N466" s="50">
        <v>40681</v>
      </c>
      <c r="O466" s="77">
        <f t="shared" ref="O466:O529" si="62">O465+M466</f>
        <v>0.30984248001662068</v>
      </c>
      <c r="P466" s="39">
        <f t="shared" ref="P466:P529" si="63">D466/$D$16-1</f>
        <v>0.39162333685184469</v>
      </c>
    </row>
    <row r="467" spans="1:16" x14ac:dyDescent="0.3">
      <c r="A467" s="17">
        <v>40682</v>
      </c>
      <c r="B467" s="13">
        <v>27825</v>
      </c>
      <c r="C467" s="13">
        <v>52980</v>
      </c>
      <c r="D467" s="14">
        <v>2095.5100000000002</v>
      </c>
      <c r="E467" s="28">
        <f t="shared" si="57"/>
        <v>-1.851851851851849E-2</v>
      </c>
      <c r="F467" s="39">
        <f t="shared" si="57"/>
        <v>7.5557234605216905E-4</v>
      </c>
      <c r="H467" s="64">
        <f t="shared" si="59"/>
        <v>0.2</v>
      </c>
      <c r="I467" s="65">
        <f t="shared" si="60"/>
        <v>0.3</v>
      </c>
      <c r="J467" s="66">
        <v>0.3</v>
      </c>
      <c r="K467" s="65">
        <f t="shared" si="58"/>
        <v>0.7</v>
      </c>
      <c r="L467" s="28">
        <f t="shared" si="61"/>
        <v>4.9251886203248276E-3</v>
      </c>
      <c r="M467" s="71">
        <f t="shared" si="56"/>
        <v>-5.0266549133190291E-3</v>
      </c>
      <c r="N467" s="51">
        <v>40682</v>
      </c>
      <c r="O467" s="77">
        <f t="shared" si="62"/>
        <v>0.30481582510330163</v>
      </c>
      <c r="P467" s="39">
        <f t="shared" si="63"/>
        <v>0.36538436477839897</v>
      </c>
    </row>
    <row r="468" spans="1:16" x14ac:dyDescent="0.3">
      <c r="A468" s="17">
        <v>40683</v>
      </c>
      <c r="B468" s="13">
        <v>28025</v>
      </c>
      <c r="C468" s="13">
        <v>52980</v>
      </c>
      <c r="D468" s="14">
        <v>2111.5</v>
      </c>
      <c r="E468" s="28">
        <f t="shared" si="57"/>
        <v>7.1877807726863363E-3</v>
      </c>
      <c r="F468" s="39">
        <f t="shared" si="57"/>
        <v>0</v>
      </c>
      <c r="H468" s="64">
        <f t="shared" si="59"/>
        <v>0.2</v>
      </c>
      <c r="I468" s="65">
        <f t="shared" si="60"/>
        <v>0.3</v>
      </c>
      <c r="J468" s="66">
        <v>0.2</v>
      </c>
      <c r="K468" s="65">
        <f t="shared" si="58"/>
        <v>0.8</v>
      </c>
      <c r="L468" s="28">
        <f t="shared" si="61"/>
        <v>-3.0992458268619631E-3</v>
      </c>
      <c r="M468" s="71">
        <f t="shared" ref="M468:M531" si="64">E468*J468+F468*K468</f>
        <v>1.4375561545372673E-3</v>
      </c>
      <c r="N468" s="51">
        <v>40683</v>
      </c>
      <c r="O468" s="77">
        <f t="shared" si="62"/>
        <v>0.30625338125783891</v>
      </c>
      <c r="P468" s="39">
        <f t="shared" si="63"/>
        <v>0.37580306762057414</v>
      </c>
    </row>
    <row r="469" spans="1:16" x14ac:dyDescent="0.3">
      <c r="A469" s="18">
        <v>40686</v>
      </c>
      <c r="B469" s="15">
        <v>27365</v>
      </c>
      <c r="C469" s="15">
        <v>53035</v>
      </c>
      <c r="D469" s="70">
        <v>2055.71</v>
      </c>
      <c r="E469" s="71">
        <f t="shared" si="57"/>
        <v>-2.355040142729703E-2</v>
      </c>
      <c r="F469" s="39">
        <f t="shared" si="57"/>
        <v>1.0381275953190716E-3</v>
      </c>
      <c r="H469" s="64">
        <f t="shared" si="59"/>
        <v>0.2</v>
      </c>
      <c r="I469" s="65">
        <f t="shared" si="60"/>
        <v>0.3</v>
      </c>
      <c r="J469" s="66">
        <v>0.3</v>
      </c>
      <c r="K469" s="65">
        <f t="shared" si="58"/>
        <v>0.7</v>
      </c>
      <c r="L469" s="28">
        <f t="shared" si="61"/>
        <v>2.1563342318059006E-3</v>
      </c>
      <c r="M469" s="71">
        <f t="shared" si="64"/>
        <v>-6.3384311114657588E-3</v>
      </c>
      <c r="N469" s="50">
        <v>40686</v>
      </c>
      <c r="O469" s="77">
        <f t="shared" si="62"/>
        <v>0.29991495014637315</v>
      </c>
      <c r="P469" s="39">
        <f t="shared" si="63"/>
        <v>0.33945163350143992</v>
      </c>
    </row>
    <row r="470" spans="1:16" x14ac:dyDescent="0.3">
      <c r="A470" s="17">
        <v>40687</v>
      </c>
      <c r="B470" s="13">
        <v>27380</v>
      </c>
      <c r="C470" s="13">
        <v>53065</v>
      </c>
      <c r="D470" s="14">
        <v>2061.7600000000002</v>
      </c>
      <c r="E470" s="28">
        <f t="shared" si="57"/>
        <v>5.481454412570308E-4</v>
      </c>
      <c r="F470" s="39">
        <f t="shared" si="57"/>
        <v>5.656641840294796E-4</v>
      </c>
      <c r="H470" s="64">
        <f t="shared" si="59"/>
        <v>0.2</v>
      </c>
      <c r="I470" s="65">
        <f t="shared" si="60"/>
        <v>0.3</v>
      </c>
      <c r="J470" s="66">
        <v>0.2</v>
      </c>
      <c r="K470" s="65">
        <f t="shared" si="58"/>
        <v>0.8</v>
      </c>
      <c r="L470" s="28">
        <f t="shared" si="61"/>
        <v>-3.8795782092041491E-3</v>
      </c>
      <c r="M470" s="71">
        <f t="shared" si="64"/>
        <v>5.6216043547498986E-4</v>
      </c>
      <c r="N470" s="51">
        <v>40687</v>
      </c>
      <c r="O470" s="77">
        <f t="shared" si="62"/>
        <v>0.30047711058184812</v>
      </c>
      <c r="P470" s="39">
        <f t="shared" si="63"/>
        <v>0.3433936692860029</v>
      </c>
    </row>
    <row r="471" spans="1:16" x14ac:dyDescent="0.3">
      <c r="A471" s="18">
        <v>40688</v>
      </c>
      <c r="B471" s="15">
        <v>27065</v>
      </c>
      <c r="C471" s="15">
        <v>53100</v>
      </c>
      <c r="D471" s="16">
        <v>2035.87</v>
      </c>
      <c r="E471" s="28">
        <f t="shared" si="57"/>
        <v>-1.1504747991234465E-2</v>
      </c>
      <c r="F471" s="39">
        <f t="shared" si="57"/>
        <v>6.5956845378312146E-4</v>
      </c>
      <c r="H471" s="64">
        <f t="shared" si="59"/>
        <v>0.2</v>
      </c>
      <c r="I471" s="65">
        <f t="shared" si="60"/>
        <v>0.3</v>
      </c>
      <c r="J471" s="66">
        <v>0.2</v>
      </c>
      <c r="K471" s="65">
        <f t="shared" si="58"/>
        <v>0.8</v>
      </c>
      <c r="L471" s="28">
        <f t="shared" si="61"/>
        <v>5.6216043547498986E-4</v>
      </c>
      <c r="M471" s="71">
        <f t="shared" si="64"/>
        <v>-1.7732948352203958E-3</v>
      </c>
      <c r="N471" s="50">
        <v>40688</v>
      </c>
      <c r="O471" s="77">
        <f t="shared" si="62"/>
        <v>0.29870381574662774</v>
      </c>
      <c r="P471" s="39">
        <f t="shared" si="63"/>
        <v>0.32652436243272476</v>
      </c>
    </row>
    <row r="472" spans="1:16" x14ac:dyDescent="0.3">
      <c r="A472" s="17">
        <v>40689</v>
      </c>
      <c r="B472" s="13">
        <v>27900</v>
      </c>
      <c r="C472" s="13">
        <v>53110</v>
      </c>
      <c r="D472" s="14">
        <v>2091.91</v>
      </c>
      <c r="E472" s="28">
        <f t="shared" si="57"/>
        <v>3.0851653426935188E-2</v>
      </c>
      <c r="F472" s="39">
        <f t="shared" si="57"/>
        <v>1.8832391713741181E-4</v>
      </c>
      <c r="H472" s="64">
        <f t="shared" si="59"/>
        <v>0.2</v>
      </c>
      <c r="I472" s="65">
        <f t="shared" si="60"/>
        <v>0.3</v>
      </c>
      <c r="J472" s="66">
        <v>0.2</v>
      </c>
      <c r="K472" s="65">
        <f t="shared" si="58"/>
        <v>0.8</v>
      </c>
      <c r="L472" s="28">
        <f t="shared" si="61"/>
        <v>-1.7732948352203958E-3</v>
      </c>
      <c r="M472" s="71">
        <f t="shared" si="64"/>
        <v>6.3209898190969673E-3</v>
      </c>
      <c r="N472" s="51">
        <v>40689</v>
      </c>
      <c r="O472" s="77">
        <f t="shared" si="62"/>
        <v>0.3050248055657247</v>
      </c>
      <c r="P472" s="39">
        <f t="shared" si="63"/>
        <v>0.36303869059254334</v>
      </c>
    </row>
    <row r="473" spans="1:16" x14ac:dyDescent="0.3">
      <c r="A473" s="17">
        <v>40690</v>
      </c>
      <c r="B473" s="13">
        <v>27990</v>
      </c>
      <c r="C473" s="13">
        <v>53080</v>
      </c>
      <c r="D473" s="14">
        <v>2100.2399999999998</v>
      </c>
      <c r="E473" s="28">
        <f t="shared" si="57"/>
        <v>3.225806451612856E-3</v>
      </c>
      <c r="F473" s="39">
        <f t="shared" si="57"/>
        <v>-5.6486537375255441E-4</v>
      </c>
      <c r="H473" s="64">
        <f t="shared" si="59"/>
        <v>0.2</v>
      </c>
      <c r="I473" s="65">
        <f t="shared" si="60"/>
        <v>0.3</v>
      </c>
      <c r="J473" s="66">
        <v>0.3</v>
      </c>
      <c r="K473" s="65">
        <f t="shared" si="58"/>
        <v>0.7</v>
      </c>
      <c r="L473" s="28">
        <f t="shared" si="61"/>
        <v>9.3873227700767437E-3</v>
      </c>
      <c r="M473" s="71">
        <f t="shared" si="64"/>
        <v>5.7233617385706872E-4</v>
      </c>
      <c r="N473" s="51">
        <v>40690</v>
      </c>
      <c r="O473" s="77">
        <f t="shared" si="62"/>
        <v>0.30559714173958175</v>
      </c>
      <c r="P473" s="39">
        <f t="shared" si="63"/>
        <v>0.36846632002814794</v>
      </c>
    </row>
    <row r="474" spans="1:16" x14ac:dyDescent="0.3">
      <c r="A474" s="18">
        <v>40693</v>
      </c>
      <c r="B474" s="15">
        <v>27840</v>
      </c>
      <c r="C474" s="15">
        <v>53110</v>
      </c>
      <c r="D474" s="70">
        <v>2093.79</v>
      </c>
      <c r="E474" s="71">
        <f t="shared" si="57"/>
        <v>-5.3590568060021271E-3</v>
      </c>
      <c r="F474" s="39">
        <f t="shared" si="57"/>
        <v>5.6518462697807692E-4</v>
      </c>
      <c r="H474" s="64">
        <f t="shared" si="59"/>
        <v>0.2</v>
      </c>
      <c r="I474" s="65">
        <f t="shared" si="60"/>
        <v>0.3</v>
      </c>
      <c r="J474" s="66">
        <v>0.3</v>
      </c>
      <c r="K474" s="65">
        <f t="shared" si="58"/>
        <v>0.7</v>
      </c>
      <c r="L474" s="28">
        <f t="shared" si="61"/>
        <v>5.7233617385706872E-4</v>
      </c>
      <c r="M474" s="71">
        <f t="shared" si="64"/>
        <v>-1.2120878029159843E-3</v>
      </c>
      <c r="N474" s="50">
        <v>40693</v>
      </c>
      <c r="O474" s="77">
        <f t="shared" si="62"/>
        <v>0.30438505393666576</v>
      </c>
      <c r="P474" s="39">
        <f t="shared" si="63"/>
        <v>0.36426365377849024</v>
      </c>
    </row>
    <row r="475" spans="1:16" x14ac:dyDescent="0.3">
      <c r="A475" s="17">
        <v>40694</v>
      </c>
      <c r="B475" s="13">
        <v>28555</v>
      </c>
      <c r="C475" s="13">
        <v>53115</v>
      </c>
      <c r="D475" s="14">
        <v>2142.4699999999998</v>
      </c>
      <c r="E475" s="28">
        <f t="shared" si="57"/>
        <v>2.5682471264367734E-2</v>
      </c>
      <c r="F475" s="39">
        <f t="shared" si="57"/>
        <v>9.414422895881458E-5</v>
      </c>
      <c r="H475" s="64">
        <f t="shared" si="59"/>
        <v>0.2</v>
      </c>
      <c r="I475" s="65">
        <f t="shared" si="60"/>
        <v>0.3</v>
      </c>
      <c r="J475" s="66">
        <v>0.2</v>
      </c>
      <c r="K475" s="65">
        <f t="shared" si="58"/>
        <v>0.8</v>
      </c>
      <c r="L475" s="28">
        <f t="shared" si="61"/>
        <v>-6.1966365961796388E-4</v>
      </c>
      <c r="M475" s="71">
        <f t="shared" si="64"/>
        <v>5.2118096360405982E-3</v>
      </c>
      <c r="N475" s="51">
        <v>40694</v>
      </c>
      <c r="O475" s="77">
        <f t="shared" si="62"/>
        <v>0.30959686357270638</v>
      </c>
      <c r="P475" s="39">
        <f t="shared" si="63"/>
        <v>0.39598238138055941</v>
      </c>
    </row>
    <row r="476" spans="1:16" x14ac:dyDescent="0.3">
      <c r="A476" s="18">
        <v>40695</v>
      </c>
      <c r="B476" s="15">
        <v>28520</v>
      </c>
      <c r="C476" s="15">
        <v>53115</v>
      </c>
      <c r="D476" s="16">
        <v>2141.34</v>
      </c>
      <c r="E476" s="28">
        <f t="shared" si="57"/>
        <v>-1.2257047802486376E-3</v>
      </c>
      <c r="F476" s="39">
        <f t="shared" si="57"/>
        <v>0</v>
      </c>
      <c r="H476" s="64">
        <f t="shared" si="59"/>
        <v>0.2</v>
      </c>
      <c r="I476" s="65">
        <f t="shared" si="60"/>
        <v>0.3</v>
      </c>
      <c r="J476" s="66">
        <v>0.3</v>
      </c>
      <c r="K476" s="65">
        <f t="shared" si="58"/>
        <v>0.7</v>
      </c>
      <c r="L476" s="28">
        <f t="shared" si="61"/>
        <v>7.7706423395814909E-3</v>
      </c>
      <c r="M476" s="71">
        <f t="shared" si="64"/>
        <v>-3.6771143407459127E-4</v>
      </c>
      <c r="N476" s="50">
        <v>40695</v>
      </c>
      <c r="O476" s="77">
        <f t="shared" si="62"/>
        <v>0.30922915213863178</v>
      </c>
      <c r="P476" s="39">
        <f t="shared" si="63"/>
        <v>0.39524610031666607</v>
      </c>
    </row>
    <row r="477" spans="1:16" x14ac:dyDescent="0.3">
      <c r="A477" s="17">
        <v>40696</v>
      </c>
      <c r="B477" s="13">
        <v>28105</v>
      </c>
      <c r="C477" s="13">
        <v>53160</v>
      </c>
      <c r="D477" s="14">
        <v>2114.1999999999998</v>
      </c>
      <c r="E477" s="28">
        <f t="shared" si="57"/>
        <v>-1.4551192145862535E-2</v>
      </c>
      <c r="F477" s="39">
        <f t="shared" si="57"/>
        <v>8.4721829991529773E-4</v>
      </c>
      <c r="H477" s="64">
        <f t="shared" si="59"/>
        <v>0.2</v>
      </c>
      <c r="I477" s="65">
        <f t="shared" si="60"/>
        <v>0.3</v>
      </c>
      <c r="J477" s="66">
        <v>0.2</v>
      </c>
      <c r="K477" s="65">
        <f t="shared" si="58"/>
        <v>0.8</v>
      </c>
      <c r="L477" s="28">
        <f t="shared" si="61"/>
        <v>-2.4514095604972753E-4</v>
      </c>
      <c r="M477" s="71">
        <f t="shared" si="64"/>
        <v>-2.2324637892402691E-3</v>
      </c>
      <c r="N477" s="51">
        <v>40696</v>
      </c>
      <c r="O477" s="77">
        <f t="shared" si="62"/>
        <v>0.30699668834939153</v>
      </c>
      <c r="P477" s="39">
        <f t="shared" si="63"/>
        <v>0.37756232325996564</v>
      </c>
    </row>
    <row r="478" spans="1:16" x14ac:dyDescent="0.3">
      <c r="A478" s="17">
        <v>40697</v>
      </c>
      <c r="B478" s="13">
        <v>28100</v>
      </c>
      <c r="C478" s="13">
        <v>53160</v>
      </c>
      <c r="D478" s="14">
        <v>2113.4699999999998</v>
      </c>
      <c r="E478" s="28">
        <f t="shared" si="57"/>
        <v>-1.7790428749331344E-4</v>
      </c>
      <c r="F478" s="39">
        <f t="shared" si="57"/>
        <v>0</v>
      </c>
      <c r="H478" s="64">
        <f t="shared" si="59"/>
        <v>0.2</v>
      </c>
      <c r="I478" s="65">
        <f t="shared" si="60"/>
        <v>0.3</v>
      </c>
      <c r="J478" s="66">
        <v>0.2</v>
      </c>
      <c r="K478" s="65">
        <f t="shared" si="58"/>
        <v>0.8</v>
      </c>
      <c r="L478" s="28">
        <f t="shared" si="61"/>
        <v>-2.2324637892402691E-3</v>
      </c>
      <c r="M478" s="71">
        <f t="shared" si="64"/>
        <v>-3.5580857498662688E-5</v>
      </c>
      <c r="N478" s="51">
        <v>40697</v>
      </c>
      <c r="O478" s="77">
        <f t="shared" si="62"/>
        <v>0.30696110749189287</v>
      </c>
      <c r="P478" s="39">
        <f t="shared" si="63"/>
        <v>0.37708667266116724</v>
      </c>
    </row>
    <row r="479" spans="1:16" x14ac:dyDescent="0.3">
      <c r="A479" s="18">
        <v>40701</v>
      </c>
      <c r="B479" s="15">
        <v>27950</v>
      </c>
      <c r="C479" s="15">
        <v>53225</v>
      </c>
      <c r="D479" s="70">
        <v>2099.71</v>
      </c>
      <c r="E479" s="71">
        <f t="shared" si="57"/>
        <v>-5.3380782918149849E-3</v>
      </c>
      <c r="F479" s="39">
        <f t="shared" si="57"/>
        <v>1.2227238525206463E-3</v>
      </c>
      <c r="H479" s="64">
        <f t="shared" si="59"/>
        <v>0.2</v>
      </c>
      <c r="I479" s="65">
        <f t="shared" si="60"/>
        <v>0.3</v>
      </c>
      <c r="J479" s="66">
        <v>0.2</v>
      </c>
      <c r="K479" s="65">
        <f t="shared" si="58"/>
        <v>0.8</v>
      </c>
      <c r="L479" s="28">
        <f t="shared" si="61"/>
        <v>-3.5580857498662688E-5</v>
      </c>
      <c r="M479" s="71">
        <f t="shared" si="64"/>
        <v>-8.9436576346479902E-5</v>
      </c>
      <c r="N479" s="50">
        <v>40701</v>
      </c>
      <c r="O479" s="77">
        <f t="shared" si="62"/>
        <v>0.3068716709155464</v>
      </c>
      <c r="P479" s="39">
        <f t="shared" si="63"/>
        <v>0.36812098466189713</v>
      </c>
    </row>
    <row r="480" spans="1:16" x14ac:dyDescent="0.3">
      <c r="A480" s="17">
        <v>40702</v>
      </c>
      <c r="B480" s="13">
        <v>27650</v>
      </c>
      <c r="C480" s="13">
        <v>53230</v>
      </c>
      <c r="D480" s="14">
        <v>2083.35</v>
      </c>
      <c r="E480" s="28">
        <f t="shared" si="57"/>
        <v>-1.0733452593917669E-2</v>
      </c>
      <c r="F480" s="39">
        <f t="shared" si="57"/>
        <v>9.3940817285087519E-5</v>
      </c>
      <c r="H480" s="64">
        <f t="shared" si="59"/>
        <v>0.2</v>
      </c>
      <c r="I480" s="65">
        <f t="shared" si="60"/>
        <v>0.3</v>
      </c>
      <c r="J480" s="66">
        <v>0.2</v>
      </c>
      <c r="K480" s="65">
        <f t="shared" si="58"/>
        <v>0.8</v>
      </c>
      <c r="L480" s="28">
        <f t="shared" si="61"/>
        <v>-8.9436576346479902E-5</v>
      </c>
      <c r="M480" s="71">
        <f t="shared" si="64"/>
        <v>-2.0715378649554641E-3</v>
      </c>
      <c r="N480" s="51">
        <v>40702</v>
      </c>
      <c r="O480" s="77">
        <f t="shared" si="62"/>
        <v>0.30480013305059095</v>
      </c>
      <c r="P480" s="39">
        <f t="shared" si="63"/>
        <v>0.35746119863950887</v>
      </c>
    </row>
    <row r="481" spans="1:16" x14ac:dyDescent="0.3">
      <c r="A481" s="18">
        <v>40703</v>
      </c>
      <c r="B481" s="15">
        <v>27470</v>
      </c>
      <c r="C481" s="15">
        <v>53285</v>
      </c>
      <c r="D481" s="16">
        <v>2071.42</v>
      </c>
      <c r="E481" s="28">
        <f t="shared" si="57"/>
        <v>-6.5099457504520508E-3</v>
      </c>
      <c r="F481" s="39">
        <f t="shared" si="57"/>
        <v>1.0332519256057715E-3</v>
      </c>
      <c r="H481" s="64">
        <f t="shared" si="59"/>
        <v>0.2</v>
      </c>
      <c r="I481" s="65">
        <f t="shared" si="60"/>
        <v>0.3</v>
      </c>
      <c r="J481" s="66">
        <v>0.2</v>
      </c>
      <c r="K481" s="65">
        <f t="shared" si="58"/>
        <v>0.8</v>
      </c>
      <c r="L481" s="28">
        <f t="shared" si="61"/>
        <v>-2.0715378649554641E-3</v>
      </c>
      <c r="M481" s="71">
        <f t="shared" si="64"/>
        <v>-4.75387609605793E-4</v>
      </c>
      <c r="N481" s="50">
        <v>40703</v>
      </c>
      <c r="O481" s="77">
        <f t="shared" si="62"/>
        <v>0.30432474544098514</v>
      </c>
      <c r="P481" s="39">
        <f t="shared" si="63"/>
        <v>0.34968789501804864</v>
      </c>
    </row>
    <row r="482" spans="1:16" x14ac:dyDescent="0.3">
      <c r="A482" s="17">
        <v>40704</v>
      </c>
      <c r="B482" s="13">
        <v>27100</v>
      </c>
      <c r="C482" s="13">
        <v>53085</v>
      </c>
      <c r="D482" s="14">
        <v>2046.67</v>
      </c>
      <c r="E482" s="28">
        <f t="shared" si="57"/>
        <v>-1.3469239170003644E-2</v>
      </c>
      <c r="F482" s="39">
        <f t="shared" si="57"/>
        <v>-3.7534015201275972E-3</v>
      </c>
      <c r="H482" s="64">
        <f t="shared" si="59"/>
        <v>0.2</v>
      </c>
      <c r="I482" s="65">
        <f t="shared" si="60"/>
        <v>0.3</v>
      </c>
      <c r="J482" s="66">
        <v>0.2</v>
      </c>
      <c r="K482" s="65">
        <f t="shared" si="58"/>
        <v>0.8</v>
      </c>
      <c r="L482" s="28">
        <f t="shared" si="61"/>
        <v>-4.75387609605793E-4</v>
      </c>
      <c r="M482" s="71">
        <f t="shared" si="64"/>
        <v>-5.6965690501028067E-3</v>
      </c>
      <c r="N482" s="51">
        <v>40704</v>
      </c>
      <c r="O482" s="77">
        <f t="shared" si="62"/>
        <v>0.29862817639088235</v>
      </c>
      <c r="P482" s="39">
        <f t="shared" si="63"/>
        <v>0.33356138499029164</v>
      </c>
    </row>
    <row r="483" spans="1:16" x14ac:dyDescent="0.3">
      <c r="A483" s="17">
        <v>40707</v>
      </c>
      <c r="B483" s="13">
        <v>27175</v>
      </c>
      <c r="C483" s="13">
        <v>52495</v>
      </c>
      <c r="D483" s="14">
        <v>2048.7399999999998</v>
      </c>
      <c r="E483" s="28">
        <f t="shared" si="57"/>
        <v>2.7675276752767708E-3</v>
      </c>
      <c r="F483" s="39">
        <f t="shared" si="57"/>
        <v>-1.1114250729961417E-2</v>
      </c>
      <c r="H483" s="64">
        <f t="shared" si="59"/>
        <v>0.2</v>
      </c>
      <c r="I483" s="65">
        <f t="shared" si="60"/>
        <v>0.3</v>
      </c>
      <c r="J483" s="66">
        <v>0.2</v>
      </c>
      <c r="K483" s="65">
        <f t="shared" si="58"/>
        <v>0.8</v>
      </c>
      <c r="L483" s="28">
        <f t="shared" si="61"/>
        <v>-5.6965690501028067E-3</v>
      </c>
      <c r="M483" s="71">
        <f t="shared" si="64"/>
        <v>-8.3378950489137807E-3</v>
      </c>
      <c r="N483" s="51">
        <v>40707</v>
      </c>
      <c r="O483" s="77">
        <f t="shared" si="62"/>
        <v>0.29029028134196855</v>
      </c>
      <c r="P483" s="39">
        <f t="shared" si="63"/>
        <v>0.33491014764715832</v>
      </c>
    </row>
    <row r="484" spans="1:16" x14ac:dyDescent="0.3">
      <c r="A484" s="18">
        <v>40708</v>
      </c>
      <c r="B484" s="15">
        <v>27575</v>
      </c>
      <c r="C484" s="15">
        <v>52525</v>
      </c>
      <c r="D484" s="70">
        <v>2076.83</v>
      </c>
      <c r="E484" s="71">
        <f t="shared" si="57"/>
        <v>1.4719411223551138E-2</v>
      </c>
      <c r="F484" s="39">
        <f t="shared" si="57"/>
        <v>5.7148299838072347E-4</v>
      </c>
      <c r="H484" s="64">
        <f t="shared" si="59"/>
        <v>0.2</v>
      </c>
      <c r="I484" s="65">
        <f t="shared" si="60"/>
        <v>0.3</v>
      </c>
      <c r="J484" s="66">
        <v>0.3</v>
      </c>
      <c r="K484" s="65">
        <f t="shared" si="58"/>
        <v>0.7</v>
      </c>
      <c r="L484" s="28">
        <f t="shared" si="61"/>
        <v>-6.94971720838996E-3</v>
      </c>
      <c r="M484" s="71">
        <f t="shared" si="64"/>
        <v>4.8158614659318472E-3</v>
      </c>
      <c r="N484" s="50">
        <v>40708</v>
      </c>
      <c r="O484" s="77">
        <f t="shared" si="62"/>
        <v>0.29510614280790037</v>
      </c>
      <c r="P484" s="39">
        <f t="shared" si="63"/>
        <v>0.35321292205845944</v>
      </c>
    </row>
    <row r="485" spans="1:16" x14ac:dyDescent="0.3">
      <c r="A485" s="17">
        <v>40709</v>
      </c>
      <c r="B485" s="13">
        <v>27695</v>
      </c>
      <c r="C485" s="13">
        <v>52490</v>
      </c>
      <c r="D485" s="14">
        <v>2086.5300000000002</v>
      </c>
      <c r="E485" s="28">
        <f t="shared" si="57"/>
        <v>4.3517679057116787E-3</v>
      </c>
      <c r="F485" s="39">
        <f t="shared" si="57"/>
        <v>-6.663493574488033E-4</v>
      </c>
      <c r="H485" s="64">
        <f t="shared" si="59"/>
        <v>0.2</v>
      </c>
      <c r="I485" s="65">
        <f t="shared" si="60"/>
        <v>0.3</v>
      </c>
      <c r="J485" s="66">
        <v>0.3</v>
      </c>
      <c r="K485" s="65">
        <f t="shared" si="58"/>
        <v>0.7</v>
      </c>
      <c r="L485" s="28">
        <f t="shared" si="61"/>
        <v>4.8158614659318472E-3</v>
      </c>
      <c r="M485" s="71">
        <f t="shared" si="64"/>
        <v>8.3908582149934126E-4</v>
      </c>
      <c r="N485" s="51">
        <v>40709</v>
      </c>
      <c r="O485" s="77">
        <f t="shared" si="62"/>
        <v>0.2959452286293997</v>
      </c>
      <c r="P485" s="39">
        <f t="shared" si="63"/>
        <v>0.35953321083701484</v>
      </c>
    </row>
    <row r="486" spans="1:16" x14ac:dyDescent="0.3">
      <c r="A486" s="18">
        <v>40710</v>
      </c>
      <c r="B486" s="15">
        <v>27085</v>
      </c>
      <c r="C486" s="15">
        <v>52620</v>
      </c>
      <c r="D486" s="16">
        <v>2046.63</v>
      </c>
      <c r="E486" s="28">
        <f t="shared" si="57"/>
        <v>-2.202563639646149E-2</v>
      </c>
      <c r="F486" s="39">
        <f t="shared" si="57"/>
        <v>2.4766622213754363E-3</v>
      </c>
      <c r="H486" s="64">
        <f t="shared" si="59"/>
        <v>0.2</v>
      </c>
      <c r="I486" s="65">
        <f t="shared" si="60"/>
        <v>0.3</v>
      </c>
      <c r="J486" s="66">
        <v>0.3</v>
      </c>
      <c r="K486" s="65">
        <f t="shared" si="58"/>
        <v>0.7</v>
      </c>
      <c r="L486" s="28">
        <f t="shared" si="61"/>
        <v>8.3908582149934126E-4</v>
      </c>
      <c r="M486" s="71">
        <f t="shared" si="64"/>
        <v>-4.8740273639756408E-3</v>
      </c>
      <c r="N486" s="50">
        <v>40710</v>
      </c>
      <c r="O486" s="77">
        <f t="shared" si="62"/>
        <v>0.29107120126542407</v>
      </c>
      <c r="P486" s="39">
        <f t="shared" si="63"/>
        <v>0.33353532194378199</v>
      </c>
    </row>
    <row r="487" spans="1:16" x14ac:dyDescent="0.3">
      <c r="A487" s="17">
        <v>40711</v>
      </c>
      <c r="B487" s="13">
        <v>26845</v>
      </c>
      <c r="C487" s="13">
        <v>52580</v>
      </c>
      <c r="D487" s="14">
        <v>2031.93</v>
      </c>
      <c r="E487" s="28">
        <f t="shared" si="57"/>
        <v>-8.8609931696510547E-3</v>
      </c>
      <c r="F487" s="39">
        <f t="shared" si="57"/>
        <v>-7.6016723679206422E-4</v>
      </c>
      <c r="H487" s="64">
        <f t="shared" si="59"/>
        <v>0.2</v>
      </c>
      <c r="I487" s="65">
        <f t="shared" si="60"/>
        <v>0.3</v>
      </c>
      <c r="J487" s="66">
        <v>0.2</v>
      </c>
      <c r="K487" s="65">
        <f t="shared" si="58"/>
        <v>0.8</v>
      </c>
      <c r="L487" s="28">
        <f t="shared" si="61"/>
        <v>-2.4237975021919492E-3</v>
      </c>
      <c r="M487" s="71">
        <f t="shared" si="64"/>
        <v>-2.3803324233638624E-3</v>
      </c>
      <c r="N487" s="51">
        <v>40711</v>
      </c>
      <c r="O487" s="77">
        <f t="shared" si="62"/>
        <v>0.28869086884206019</v>
      </c>
      <c r="P487" s="39">
        <f t="shared" si="63"/>
        <v>0.32395715235153832</v>
      </c>
    </row>
    <row r="488" spans="1:16" x14ac:dyDescent="0.3">
      <c r="A488" s="17">
        <v>40714</v>
      </c>
      <c r="B488" s="13">
        <v>26670</v>
      </c>
      <c r="C488" s="13">
        <v>52570</v>
      </c>
      <c r="D488" s="14">
        <v>2019.65</v>
      </c>
      <c r="E488" s="28">
        <f t="shared" si="57"/>
        <v>-6.5189048239895353E-3</v>
      </c>
      <c r="F488" s="39">
        <f t="shared" si="57"/>
        <v>-1.9018638265499987E-4</v>
      </c>
      <c r="H488" s="64">
        <f t="shared" si="59"/>
        <v>0.2</v>
      </c>
      <c r="I488" s="65">
        <f t="shared" si="60"/>
        <v>0.3</v>
      </c>
      <c r="J488" s="66">
        <v>0.2</v>
      </c>
      <c r="K488" s="65">
        <f t="shared" si="58"/>
        <v>0.8</v>
      </c>
      <c r="L488" s="28">
        <f t="shared" si="61"/>
        <v>-2.3803324233638624E-3</v>
      </c>
      <c r="M488" s="71">
        <f t="shared" si="64"/>
        <v>-1.455930070921907E-3</v>
      </c>
      <c r="N488" s="51">
        <v>40714</v>
      </c>
      <c r="O488" s="77">
        <f t="shared" si="62"/>
        <v>0.28723493877113826</v>
      </c>
      <c r="P488" s="39">
        <f t="shared" si="63"/>
        <v>0.31595579707311994</v>
      </c>
    </row>
    <row r="489" spans="1:16" x14ac:dyDescent="0.3">
      <c r="A489" s="18">
        <v>40715</v>
      </c>
      <c r="B489" s="15">
        <v>27075</v>
      </c>
      <c r="C489" s="15">
        <v>52595</v>
      </c>
      <c r="D489" s="70">
        <v>2048.17</v>
      </c>
      <c r="E489" s="71">
        <f t="shared" si="57"/>
        <v>1.5185601799775128E-2</v>
      </c>
      <c r="F489" s="39">
        <f t="shared" si="57"/>
        <v>4.7555640098906338E-4</v>
      </c>
      <c r="H489" s="64">
        <f t="shared" si="59"/>
        <v>0.2</v>
      </c>
      <c r="I489" s="65">
        <f t="shared" si="60"/>
        <v>0.3</v>
      </c>
      <c r="J489" s="66">
        <v>0.2</v>
      </c>
      <c r="K489" s="65">
        <f t="shared" si="58"/>
        <v>0.8</v>
      </c>
      <c r="L489" s="28">
        <f t="shared" si="61"/>
        <v>-1.455930070921907E-3</v>
      </c>
      <c r="M489" s="71">
        <f t="shared" si="64"/>
        <v>3.4175654807462766E-3</v>
      </c>
      <c r="N489" s="50">
        <v>40715</v>
      </c>
      <c r="O489" s="77">
        <f t="shared" si="62"/>
        <v>0.29065250425188455</v>
      </c>
      <c r="P489" s="39">
        <f t="shared" si="63"/>
        <v>0.33453874923439808</v>
      </c>
    </row>
    <row r="490" spans="1:16" x14ac:dyDescent="0.3">
      <c r="A490" s="17">
        <v>40716</v>
      </c>
      <c r="B490" s="13">
        <v>27310</v>
      </c>
      <c r="C490" s="13">
        <v>52615</v>
      </c>
      <c r="D490" s="14">
        <v>2063.9</v>
      </c>
      <c r="E490" s="28">
        <f t="shared" si="57"/>
        <v>8.679593721145018E-3</v>
      </c>
      <c r="F490" s="39">
        <f t="shared" si="57"/>
        <v>3.8026428367721188E-4</v>
      </c>
      <c r="H490" s="64">
        <f t="shared" si="59"/>
        <v>0.2</v>
      </c>
      <c r="I490" s="65">
        <f t="shared" si="60"/>
        <v>0.3</v>
      </c>
      <c r="J490" s="66">
        <v>0.3</v>
      </c>
      <c r="K490" s="65">
        <f t="shared" si="58"/>
        <v>0.7</v>
      </c>
      <c r="L490" s="28">
        <f t="shared" si="61"/>
        <v>4.8885700206248829E-3</v>
      </c>
      <c r="M490" s="71">
        <f t="shared" si="64"/>
        <v>2.8700631149175533E-3</v>
      </c>
      <c r="N490" s="51">
        <v>40716</v>
      </c>
      <c r="O490" s="77">
        <f t="shared" si="62"/>
        <v>0.2935225673668021</v>
      </c>
      <c r="P490" s="39">
        <f t="shared" si="63"/>
        <v>0.34478804227426152</v>
      </c>
    </row>
    <row r="491" spans="1:16" x14ac:dyDescent="0.3">
      <c r="A491" s="18">
        <v>40717</v>
      </c>
      <c r="B491" s="15">
        <v>27100</v>
      </c>
      <c r="C491" s="15">
        <v>52630</v>
      </c>
      <c r="D491" s="16">
        <v>2055.86</v>
      </c>
      <c r="E491" s="28">
        <f t="shared" si="57"/>
        <v>-7.6894910289271312E-3</v>
      </c>
      <c r="F491" s="39">
        <f t="shared" si="57"/>
        <v>2.8508980328800781E-4</v>
      </c>
      <c r="H491" s="64">
        <f t="shared" si="59"/>
        <v>0.2</v>
      </c>
      <c r="I491" s="65">
        <f t="shared" si="60"/>
        <v>0.3</v>
      </c>
      <c r="J491" s="66">
        <v>0.3</v>
      </c>
      <c r="K491" s="65">
        <f t="shared" si="58"/>
        <v>0.7</v>
      </c>
      <c r="L491" s="28">
        <f t="shared" si="61"/>
        <v>2.8700631149175533E-3</v>
      </c>
      <c r="M491" s="71">
        <f t="shared" si="64"/>
        <v>-2.1072844463765339E-3</v>
      </c>
      <c r="N491" s="50">
        <v>40717</v>
      </c>
      <c r="O491" s="77">
        <f t="shared" si="62"/>
        <v>0.29141528292042557</v>
      </c>
      <c r="P491" s="39">
        <f t="shared" si="63"/>
        <v>0.33954936992585072</v>
      </c>
    </row>
    <row r="492" spans="1:16" x14ac:dyDescent="0.3">
      <c r="A492" s="17">
        <v>40718</v>
      </c>
      <c r="B492" s="13">
        <v>27630</v>
      </c>
      <c r="C492" s="13">
        <v>52590</v>
      </c>
      <c r="D492" s="14">
        <v>2090.81</v>
      </c>
      <c r="E492" s="28">
        <f t="shared" si="57"/>
        <v>1.9557195571955788E-2</v>
      </c>
      <c r="F492" s="39">
        <f t="shared" si="57"/>
        <v>-7.6002280068399042E-4</v>
      </c>
      <c r="H492" s="64">
        <f t="shared" si="59"/>
        <v>0.2</v>
      </c>
      <c r="I492" s="65">
        <f t="shared" si="60"/>
        <v>0.3</v>
      </c>
      <c r="J492" s="66">
        <v>0.2</v>
      </c>
      <c r="K492" s="65">
        <f t="shared" si="58"/>
        <v>0.8</v>
      </c>
      <c r="L492" s="28">
        <f t="shared" si="61"/>
        <v>-1.30982636315502E-3</v>
      </c>
      <c r="M492" s="71">
        <f t="shared" si="64"/>
        <v>3.3034208738439656E-3</v>
      </c>
      <c r="N492" s="51">
        <v>40718</v>
      </c>
      <c r="O492" s="77">
        <f t="shared" si="62"/>
        <v>0.29471870379426951</v>
      </c>
      <c r="P492" s="39">
        <f t="shared" si="63"/>
        <v>0.36232195681353185</v>
      </c>
    </row>
    <row r="493" spans="1:16" x14ac:dyDescent="0.3">
      <c r="A493" s="17">
        <v>40721</v>
      </c>
      <c r="B493" s="13">
        <v>27300</v>
      </c>
      <c r="C493" s="13">
        <v>52595</v>
      </c>
      <c r="D493" s="14">
        <v>2070.29</v>
      </c>
      <c r="E493" s="28">
        <f t="shared" si="57"/>
        <v>-1.1943539630836053E-2</v>
      </c>
      <c r="F493" s="39">
        <f t="shared" si="57"/>
        <v>9.5075109336484331E-5</v>
      </c>
      <c r="H493" s="64">
        <f t="shared" si="59"/>
        <v>0.2</v>
      </c>
      <c r="I493" s="65">
        <f t="shared" si="60"/>
        <v>0.3</v>
      </c>
      <c r="J493" s="66">
        <v>0.3</v>
      </c>
      <c r="K493" s="65">
        <f t="shared" si="58"/>
        <v>0.7</v>
      </c>
      <c r="L493" s="28">
        <f t="shared" si="61"/>
        <v>5.3351427111079427E-3</v>
      </c>
      <c r="M493" s="71">
        <f t="shared" si="64"/>
        <v>-3.5165093127152765E-3</v>
      </c>
      <c r="N493" s="51">
        <v>40721</v>
      </c>
      <c r="O493" s="77">
        <f t="shared" si="62"/>
        <v>0.29120219448155421</v>
      </c>
      <c r="P493" s="39">
        <f t="shared" si="63"/>
        <v>0.34895161395415508</v>
      </c>
    </row>
    <row r="494" spans="1:16" x14ac:dyDescent="0.3">
      <c r="A494" s="18">
        <v>40722</v>
      </c>
      <c r="B494" s="15">
        <v>27255</v>
      </c>
      <c r="C494" s="15">
        <v>52590</v>
      </c>
      <c r="D494" s="70">
        <v>2062.91</v>
      </c>
      <c r="E494" s="71">
        <f t="shared" si="57"/>
        <v>-1.6483516483516425E-3</v>
      </c>
      <c r="F494" s="39">
        <f t="shared" si="57"/>
        <v>-9.5066070919247458E-5</v>
      </c>
      <c r="H494" s="64">
        <f t="shared" si="59"/>
        <v>0.2</v>
      </c>
      <c r="I494" s="65">
        <f t="shared" si="60"/>
        <v>0.3</v>
      </c>
      <c r="J494" s="66">
        <v>0.2</v>
      </c>
      <c r="K494" s="65">
        <f t="shared" si="58"/>
        <v>0.8</v>
      </c>
      <c r="L494" s="28">
        <f t="shared" si="61"/>
        <v>-2.3126478386980235E-3</v>
      </c>
      <c r="M494" s="71">
        <f t="shared" si="64"/>
        <v>-4.057231864057265E-4</v>
      </c>
      <c r="N494" s="50">
        <v>40722</v>
      </c>
      <c r="O494" s="77">
        <f t="shared" si="62"/>
        <v>0.29079647129514846</v>
      </c>
      <c r="P494" s="39">
        <f t="shared" si="63"/>
        <v>0.34414298187315095</v>
      </c>
    </row>
    <row r="495" spans="1:16" x14ac:dyDescent="0.3">
      <c r="A495" s="17">
        <v>40723</v>
      </c>
      <c r="B495" s="13">
        <v>27665</v>
      </c>
      <c r="C495" s="13">
        <v>52520</v>
      </c>
      <c r="D495" s="14">
        <v>2094.42</v>
      </c>
      <c r="E495" s="28">
        <f t="shared" si="57"/>
        <v>1.5043111355714567E-2</v>
      </c>
      <c r="F495" s="39">
        <f t="shared" si="57"/>
        <v>-1.3310515307092263E-3</v>
      </c>
      <c r="H495" s="64">
        <f t="shared" si="59"/>
        <v>0.2</v>
      </c>
      <c r="I495" s="65">
        <f t="shared" si="60"/>
        <v>0.3</v>
      </c>
      <c r="J495" s="66">
        <v>0.2</v>
      </c>
      <c r="K495" s="65">
        <f t="shared" si="58"/>
        <v>0.8</v>
      </c>
      <c r="L495" s="28">
        <f t="shared" si="61"/>
        <v>-4.057231864057265E-4</v>
      </c>
      <c r="M495" s="71">
        <f t="shared" si="64"/>
        <v>1.9437810465755324E-3</v>
      </c>
      <c r="N495" s="51">
        <v>40723</v>
      </c>
      <c r="O495" s="77">
        <f t="shared" si="62"/>
        <v>0.29274025234172402</v>
      </c>
      <c r="P495" s="39">
        <f t="shared" si="63"/>
        <v>0.36467414676101484</v>
      </c>
    </row>
    <row r="496" spans="1:16" x14ac:dyDescent="0.3">
      <c r="A496" s="18">
        <v>40724</v>
      </c>
      <c r="B496" s="15">
        <v>27745</v>
      </c>
      <c r="C496" s="15">
        <v>52500</v>
      </c>
      <c r="D496" s="16">
        <v>2100.69</v>
      </c>
      <c r="E496" s="28">
        <f t="shared" si="57"/>
        <v>2.8917404662931467E-3</v>
      </c>
      <c r="F496" s="39">
        <f t="shared" si="57"/>
        <v>-3.8080731150036407E-4</v>
      </c>
      <c r="H496" s="64">
        <f t="shared" si="59"/>
        <v>0.2</v>
      </c>
      <c r="I496" s="65">
        <f t="shared" si="60"/>
        <v>0.3</v>
      </c>
      <c r="J496" s="66">
        <v>0.3</v>
      </c>
      <c r="K496" s="65">
        <f t="shared" si="58"/>
        <v>0.7</v>
      </c>
      <c r="L496" s="28">
        <f t="shared" si="61"/>
        <v>3.5811973352179115E-3</v>
      </c>
      <c r="M496" s="71">
        <f t="shared" si="64"/>
        <v>6.0095702183768926E-4</v>
      </c>
      <c r="N496" s="50">
        <v>40724</v>
      </c>
      <c r="O496" s="77">
        <f t="shared" si="62"/>
        <v>0.29334120936356173</v>
      </c>
      <c r="P496" s="39">
        <f t="shared" si="63"/>
        <v>0.36875952930138012</v>
      </c>
    </row>
    <row r="497" spans="1:16" x14ac:dyDescent="0.3">
      <c r="A497" s="17">
        <v>40725</v>
      </c>
      <c r="B497" s="13">
        <v>28075</v>
      </c>
      <c r="C497" s="13">
        <v>52495</v>
      </c>
      <c r="D497" s="14">
        <v>2125.7399999999998</v>
      </c>
      <c r="E497" s="28">
        <f t="shared" si="57"/>
        <v>1.1894034961254185E-2</v>
      </c>
      <c r="F497" s="39">
        <f t="shared" si="57"/>
        <v>-9.523809523814819E-5</v>
      </c>
      <c r="H497" s="64">
        <f t="shared" si="59"/>
        <v>0.2</v>
      </c>
      <c r="I497" s="65">
        <f t="shared" si="60"/>
        <v>0.3</v>
      </c>
      <c r="J497" s="66">
        <v>0.3</v>
      </c>
      <c r="K497" s="65">
        <f t="shared" si="58"/>
        <v>0.7</v>
      </c>
      <c r="L497" s="28">
        <f t="shared" si="61"/>
        <v>6.0095702183768926E-4</v>
      </c>
      <c r="M497" s="71">
        <f t="shared" si="64"/>
        <v>3.5015438217095517E-3</v>
      </c>
      <c r="N497" s="51">
        <v>40725</v>
      </c>
      <c r="O497" s="77">
        <f t="shared" si="62"/>
        <v>0.29684275318527126</v>
      </c>
      <c r="P497" s="39">
        <f t="shared" si="63"/>
        <v>0.38508151217795827</v>
      </c>
    </row>
    <row r="498" spans="1:16" x14ac:dyDescent="0.3">
      <c r="A498" s="17">
        <v>40728</v>
      </c>
      <c r="B498" s="13">
        <v>28430</v>
      </c>
      <c r="C498" s="13">
        <v>52480</v>
      </c>
      <c r="D498" s="14">
        <v>2145.3000000000002</v>
      </c>
      <c r="E498" s="28">
        <f t="shared" si="57"/>
        <v>1.2644701691896687E-2</v>
      </c>
      <c r="F498" s="39">
        <f t="shared" si="57"/>
        <v>-2.8574149919036174E-4</v>
      </c>
      <c r="H498" s="64">
        <f t="shared" si="59"/>
        <v>0.2</v>
      </c>
      <c r="I498" s="65">
        <f t="shared" si="60"/>
        <v>0.3</v>
      </c>
      <c r="J498" s="66">
        <v>0.3</v>
      </c>
      <c r="K498" s="65">
        <f t="shared" si="58"/>
        <v>0.7</v>
      </c>
      <c r="L498" s="28">
        <f t="shared" si="61"/>
        <v>3.5015438217095517E-3</v>
      </c>
      <c r="M498" s="71">
        <f t="shared" si="64"/>
        <v>3.5933914581357529E-3</v>
      </c>
      <c r="N498" s="51">
        <v>40728</v>
      </c>
      <c r="O498" s="77">
        <f t="shared" si="62"/>
        <v>0.30043614464340701</v>
      </c>
      <c r="P498" s="39">
        <f t="shared" si="63"/>
        <v>0.39782634192110722</v>
      </c>
    </row>
    <row r="499" spans="1:16" x14ac:dyDescent="0.3">
      <c r="A499" s="18">
        <v>40729</v>
      </c>
      <c r="B499" s="15">
        <v>28605</v>
      </c>
      <c r="C499" s="15">
        <v>52485</v>
      </c>
      <c r="D499" s="70">
        <v>2161.75</v>
      </c>
      <c r="E499" s="71">
        <f t="shared" si="57"/>
        <v>6.1554695743932797E-3</v>
      </c>
      <c r="F499" s="39">
        <f t="shared" si="57"/>
        <v>9.5274390243815787E-5</v>
      </c>
      <c r="H499" s="64">
        <f t="shared" si="59"/>
        <v>0.2</v>
      </c>
      <c r="I499" s="65">
        <f t="shared" si="60"/>
        <v>0.3</v>
      </c>
      <c r="J499" s="66">
        <v>0.3</v>
      </c>
      <c r="K499" s="65">
        <f t="shared" si="58"/>
        <v>0.7</v>
      </c>
      <c r="L499" s="28">
        <f t="shared" si="61"/>
        <v>3.5933914581357529E-3</v>
      </c>
      <c r="M499" s="71">
        <f t="shared" si="64"/>
        <v>1.9133329454886548E-3</v>
      </c>
      <c r="N499" s="50">
        <v>40729</v>
      </c>
      <c r="O499" s="77">
        <f t="shared" si="62"/>
        <v>0.30234947758889569</v>
      </c>
      <c r="P499" s="39">
        <f t="shared" si="63"/>
        <v>0.40854476979814169</v>
      </c>
    </row>
    <row r="500" spans="1:16" x14ac:dyDescent="0.3">
      <c r="A500" s="17">
        <v>40730</v>
      </c>
      <c r="B500" s="13">
        <v>28700</v>
      </c>
      <c r="C500" s="13">
        <v>52515</v>
      </c>
      <c r="D500" s="14">
        <v>2171.19</v>
      </c>
      <c r="E500" s="28">
        <f t="shared" si="57"/>
        <v>3.3210977101905126E-3</v>
      </c>
      <c r="F500" s="39">
        <f t="shared" si="57"/>
        <v>5.7159188339528377E-4</v>
      </c>
      <c r="H500" s="64">
        <f t="shared" si="59"/>
        <v>0.2</v>
      </c>
      <c r="I500" s="65">
        <f t="shared" si="60"/>
        <v>0.3</v>
      </c>
      <c r="J500" s="66">
        <v>0.3</v>
      </c>
      <c r="K500" s="65">
        <f t="shared" si="58"/>
        <v>0.7</v>
      </c>
      <c r="L500" s="28">
        <f t="shared" si="61"/>
        <v>1.9133329454886548E-3</v>
      </c>
      <c r="M500" s="71">
        <f t="shared" si="64"/>
        <v>1.3964436314338525E-3</v>
      </c>
      <c r="N500" s="51">
        <v>40730</v>
      </c>
      <c r="O500" s="77">
        <f t="shared" si="62"/>
        <v>0.30374592122032956</v>
      </c>
      <c r="P500" s="39">
        <f t="shared" si="63"/>
        <v>0.41469564877438536</v>
      </c>
    </row>
    <row r="501" spans="1:16" x14ac:dyDescent="0.3">
      <c r="A501" s="18">
        <v>40731</v>
      </c>
      <c r="B501" s="15">
        <v>28860</v>
      </c>
      <c r="C501" s="15">
        <v>52500</v>
      </c>
      <c r="D501" s="16">
        <v>2180.59</v>
      </c>
      <c r="E501" s="28">
        <f t="shared" si="57"/>
        <v>5.5749128919859725E-3</v>
      </c>
      <c r="F501" s="39">
        <f t="shared" si="57"/>
        <v>-2.8563267637815581E-4</v>
      </c>
      <c r="H501" s="64">
        <f t="shared" si="59"/>
        <v>0.2</v>
      </c>
      <c r="I501" s="65">
        <f t="shared" si="60"/>
        <v>0.3</v>
      </c>
      <c r="J501" s="66">
        <v>0.3</v>
      </c>
      <c r="K501" s="65">
        <f t="shared" si="58"/>
        <v>0.7</v>
      </c>
      <c r="L501" s="28">
        <f t="shared" si="61"/>
        <v>1.3964436314338525E-3</v>
      </c>
      <c r="M501" s="71">
        <f t="shared" si="64"/>
        <v>1.4725309941310827E-3</v>
      </c>
      <c r="N501" s="50">
        <v>40731</v>
      </c>
      <c r="O501" s="77">
        <f t="shared" si="62"/>
        <v>0.30521845221446064</v>
      </c>
      <c r="P501" s="39">
        <f t="shared" si="63"/>
        <v>0.42082046470411938</v>
      </c>
    </row>
    <row r="502" spans="1:16" x14ac:dyDescent="0.3">
      <c r="A502" s="17">
        <v>40732</v>
      </c>
      <c r="B502" s="13">
        <v>28815</v>
      </c>
      <c r="C502" s="13">
        <v>52490</v>
      </c>
      <c r="D502" s="14">
        <v>2180.35</v>
      </c>
      <c r="E502" s="28">
        <f t="shared" si="57"/>
        <v>-1.5592515592515177E-3</v>
      </c>
      <c r="F502" s="39">
        <f t="shared" si="57"/>
        <v>-1.9047619047618536E-4</v>
      </c>
      <c r="H502" s="64">
        <f t="shared" si="59"/>
        <v>0.2</v>
      </c>
      <c r="I502" s="65">
        <f t="shared" si="60"/>
        <v>0.3</v>
      </c>
      <c r="J502" s="66">
        <v>0.3</v>
      </c>
      <c r="K502" s="65">
        <f t="shared" si="58"/>
        <v>0.7</v>
      </c>
      <c r="L502" s="28">
        <f t="shared" si="61"/>
        <v>1.4725309941310827E-3</v>
      </c>
      <c r="M502" s="71">
        <f t="shared" si="64"/>
        <v>-6.0110880110878504E-4</v>
      </c>
      <c r="N502" s="51">
        <v>40732</v>
      </c>
      <c r="O502" s="77">
        <f t="shared" si="62"/>
        <v>0.30461734341335184</v>
      </c>
      <c r="P502" s="39">
        <f t="shared" si="63"/>
        <v>0.42066408642506214</v>
      </c>
    </row>
    <row r="503" spans="1:16" x14ac:dyDescent="0.3">
      <c r="A503" s="17">
        <v>40735</v>
      </c>
      <c r="B503" s="13">
        <v>28500</v>
      </c>
      <c r="C503" s="13">
        <v>52490</v>
      </c>
      <c r="D503" s="14">
        <v>2157.16</v>
      </c>
      <c r="E503" s="28">
        <f t="shared" si="57"/>
        <v>-1.0931806350858886E-2</v>
      </c>
      <c r="F503" s="39">
        <f t="shared" si="57"/>
        <v>0</v>
      </c>
      <c r="H503" s="64">
        <f t="shared" si="59"/>
        <v>0.2</v>
      </c>
      <c r="I503" s="65">
        <f t="shared" si="60"/>
        <v>0.3</v>
      </c>
      <c r="J503" s="66">
        <v>0.2</v>
      </c>
      <c r="K503" s="65">
        <f t="shared" si="58"/>
        <v>0.8</v>
      </c>
      <c r="L503" s="28">
        <f t="shared" si="61"/>
        <v>-4.6423126423125185E-4</v>
      </c>
      <c r="M503" s="71">
        <f t="shared" si="64"/>
        <v>-2.1863612701717773E-3</v>
      </c>
      <c r="N503" s="51">
        <v>40735</v>
      </c>
      <c r="O503" s="77">
        <f t="shared" si="62"/>
        <v>0.30243098214318004</v>
      </c>
      <c r="P503" s="39">
        <f t="shared" si="63"/>
        <v>0.40555403521117572</v>
      </c>
    </row>
    <row r="504" spans="1:16" x14ac:dyDescent="0.3">
      <c r="A504" s="18">
        <v>40736</v>
      </c>
      <c r="B504" s="15">
        <v>27900</v>
      </c>
      <c r="C504" s="15">
        <v>52620</v>
      </c>
      <c r="D504" s="70">
        <v>2109.73</v>
      </c>
      <c r="E504" s="71">
        <f t="shared" si="57"/>
        <v>-2.1052631578947323E-2</v>
      </c>
      <c r="F504" s="39">
        <f t="shared" si="57"/>
        <v>2.4766622213754363E-3</v>
      </c>
      <c r="H504" s="64">
        <f t="shared" si="59"/>
        <v>0.2</v>
      </c>
      <c r="I504" s="65">
        <f t="shared" si="60"/>
        <v>0.3</v>
      </c>
      <c r="J504" s="66">
        <v>0.2</v>
      </c>
      <c r="K504" s="65">
        <f t="shared" si="58"/>
        <v>0.8</v>
      </c>
      <c r="L504" s="28">
        <f t="shared" si="61"/>
        <v>-2.1863612701717773E-3</v>
      </c>
      <c r="M504" s="71">
        <f t="shared" si="64"/>
        <v>-2.2291965386891156E-3</v>
      </c>
      <c r="N504" s="50">
        <v>40736</v>
      </c>
      <c r="O504" s="77">
        <f t="shared" si="62"/>
        <v>0.3002017856044909</v>
      </c>
      <c r="P504" s="39">
        <f t="shared" si="63"/>
        <v>0.37464977781252862</v>
      </c>
    </row>
    <row r="505" spans="1:16" x14ac:dyDescent="0.3">
      <c r="A505" s="17">
        <v>40737</v>
      </c>
      <c r="B505" s="13">
        <v>28040</v>
      </c>
      <c r="C505" s="13">
        <v>52680</v>
      </c>
      <c r="D505" s="14">
        <v>2129.64</v>
      </c>
      <c r="E505" s="28">
        <f t="shared" si="57"/>
        <v>5.0179211469534302E-3</v>
      </c>
      <c r="F505" s="39">
        <f t="shared" si="57"/>
        <v>1.1402508551880963E-3</v>
      </c>
      <c r="H505" s="64">
        <f t="shared" si="59"/>
        <v>0.2</v>
      </c>
      <c r="I505" s="65">
        <f t="shared" si="60"/>
        <v>0.3</v>
      </c>
      <c r="J505" s="66">
        <v>0.2</v>
      </c>
      <c r="K505" s="65">
        <f t="shared" si="58"/>
        <v>0.8</v>
      </c>
      <c r="L505" s="28">
        <f t="shared" si="61"/>
        <v>-2.2291965386891156E-3</v>
      </c>
      <c r="M505" s="71">
        <f t="shared" si="64"/>
        <v>1.9157849135411631E-3</v>
      </c>
      <c r="N505" s="51">
        <v>40737</v>
      </c>
      <c r="O505" s="77">
        <f t="shared" si="62"/>
        <v>0.30211757051803206</v>
      </c>
      <c r="P505" s="39">
        <f t="shared" si="63"/>
        <v>0.38762265921263528</v>
      </c>
    </row>
    <row r="506" spans="1:16" x14ac:dyDescent="0.3">
      <c r="A506" s="18">
        <v>40738</v>
      </c>
      <c r="B506" s="15">
        <v>27965</v>
      </c>
      <c r="C506" s="15">
        <v>52665</v>
      </c>
      <c r="D506" s="16">
        <v>2130.0700000000002</v>
      </c>
      <c r="E506" s="28">
        <f t="shared" si="57"/>
        <v>-2.6747503566333375E-3</v>
      </c>
      <c r="F506" s="39">
        <f t="shared" si="57"/>
        <v>-2.8473804100226374E-4</v>
      </c>
      <c r="H506" s="64">
        <f t="shared" si="59"/>
        <v>0.2</v>
      </c>
      <c r="I506" s="65">
        <f t="shared" si="60"/>
        <v>0.3</v>
      </c>
      <c r="J506" s="66">
        <v>0.3</v>
      </c>
      <c r="K506" s="65">
        <f t="shared" si="58"/>
        <v>0.7</v>
      </c>
      <c r="L506" s="28">
        <f t="shared" si="61"/>
        <v>2.3035519427176965E-3</v>
      </c>
      <c r="M506" s="71">
        <f t="shared" si="64"/>
        <v>-1.0017417356915858E-3</v>
      </c>
      <c r="N506" s="50">
        <v>40738</v>
      </c>
      <c r="O506" s="77">
        <f t="shared" si="62"/>
        <v>0.3011158287823405</v>
      </c>
      <c r="P506" s="39">
        <f t="shared" si="63"/>
        <v>0.38790283696261274</v>
      </c>
    </row>
    <row r="507" spans="1:16" x14ac:dyDescent="0.3">
      <c r="A507" s="17">
        <v>40739</v>
      </c>
      <c r="B507" s="13">
        <v>28215</v>
      </c>
      <c r="C507" s="13">
        <v>52675</v>
      </c>
      <c r="D507" s="14">
        <v>2145.1999999999998</v>
      </c>
      <c r="E507" s="28">
        <f t="shared" si="57"/>
        <v>8.9397461112104004E-3</v>
      </c>
      <c r="F507" s="39">
        <f t="shared" si="57"/>
        <v>1.8987942656423229E-4</v>
      </c>
      <c r="H507" s="64">
        <f t="shared" si="59"/>
        <v>0.2</v>
      </c>
      <c r="I507" s="65">
        <f t="shared" si="60"/>
        <v>0.3</v>
      </c>
      <c r="J507" s="66">
        <v>0.2</v>
      </c>
      <c r="K507" s="65">
        <f t="shared" si="58"/>
        <v>0.8</v>
      </c>
      <c r="L507" s="28">
        <f t="shared" si="61"/>
        <v>-7.6274050412847858E-4</v>
      </c>
      <c r="M507" s="71">
        <f t="shared" si="64"/>
        <v>1.9398527634934661E-3</v>
      </c>
      <c r="N507" s="51">
        <v>40739</v>
      </c>
      <c r="O507" s="77">
        <f t="shared" si="62"/>
        <v>0.30305568154583395</v>
      </c>
      <c r="P507" s="39">
        <f t="shared" si="63"/>
        <v>0.3977611843048332</v>
      </c>
    </row>
    <row r="508" spans="1:16" x14ac:dyDescent="0.3">
      <c r="A508" s="17">
        <v>40742</v>
      </c>
      <c r="B508" s="13">
        <v>27860</v>
      </c>
      <c r="C508" s="13">
        <v>52770</v>
      </c>
      <c r="D508" s="14">
        <v>2130.48</v>
      </c>
      <c r="E508" s="28">
        <f t="shared" si="57"/>
        <v>-1.2581959950381028E-2</v>
      </c>
      <c r="F508" s="39">
        <f t="shared" si="57"/>
        <v>1.8035121025155032E-3</v>
      </c>
      <c r="H508" s="64">
        <f t="shared" si="59"/>
        <v>0.2</v>
      </c>
      <c r="I508" s="65">
        <f t="shared" si="60"/>
        <v>0.3</v>
      </c>
      <c r="J508" s="66">
        <v>0.3</v>
      </c>
      <c r="K508" s="65">
        <f t="shared" si="58"/>
        <v>0.7</v>
      </c>
      <c r="L508" s="28">
        <f t="shared" si="61"/>
        <v>2.8148394319580826E-3</v>
      </c>
      <c r="M508" s="71">
        <f t="shared" si="64"/>
        <v>-2.5121295133534562E-3</v>
      </c>
      <c r="N508" s="51">
        <v>40742</v>
      </c>
      <c r="O508" s="77">
        <f t="shared" si="62"/>
        <v>0.30054355203248051</v>
      </c>
      <c r="P508" s="39">
        <f t="shared" si="63"/>
        <v>0.38816998318933504</v>
      </c>
    </row>
    <row r="509" spans="1:16" x14ac:dyDescent="0.3">
      <c r="A509" s="18">
        <v>40743</v>
      </c>
      <c r="B509" s="15">
        <v>27880</v>
      </c>
      <c r="C509" s="15">
        <v>52730</v>
      </c>
      <c r="D509" s="70">
        <v>2130.21</v>
      </c>
      <c r="E509" s="71">
        <f t="shared" si="57"/>
        <v>7.1787508973431002E-4</v>
      </c>
      <c r="F509" s="39">
        <f t="shared" si="57"/>
        <v>-7.5800644305479281E-4</v>
      </c>
      <c r="H509" s="64">
        <f t="shared" si="59"/>
        <v>0.2</v>
      </c>
      <c r="I509" s="65">
        <f t="shared" si="60"/>
        <v>0.3</v>
      </c>
      <c r="J509" s="66">
        <v>0.2</v>
      </c>
      <c r="K509" s="65">
        <f t="shared" si="58"/>
        <v>0.8</v>
      </c>
      <c r="L509" s="28">
        <f t="shared" si="61"/>
        <v>-1.073582308063803E-3</v>
      </c>
      <c r="M509" s="71">
        <f t="shared" si="64"/>
        <v>-4.6283013649697227E-4</v>
      </c>
      <c r="N509" s="50">
        <v>40743</v>
      </c>
      <c r="O509" s="77">
        <f t="shared" si="62"/>
        <v>0.30008072189598356</v>
      </c>
      <c r="P509" s="39">
        <f t="shared" si="63"/>
        <v>0.38799405762539574</v>
      </c>
    </row>
    <row r="510" spans="1:16" x14ac:dyDescent="0.3">
      <c r="A510" s="17">
        <v>40744</v>
      </c>
      <c r="B510" s="13">
        <v>28350</v>
      </c>
      <c r="C510" s="13">
        <v>52710</v>
      </c>
      <c r="D510" s="14">
        <v>2154.9499999999998</v>
      </c>
      <c r="E510" s="28">
        <f t="shared" si="57"/>
        <v>1.685796269727402E-2</v>
      </c>
      <c r="F510" s="39">
        <f t="shared" si="57"/>
        <v>-3.7929072634168559E-4</v>
      </c>
      <c r="H510" s="64">
        <f t="shared" si="59"/>
        <v>0.2</v>
      </c>
      <c r="I510" s="65">
        <f t="shared" si="60"/>
        <v>0.3</v>
      </c>
      <c r="J510" s="66">
        <v>0.3</v>
      </c>
      <c r="K510" s="65">
        <f t="shared" si="58"/>
        <v>0.7</v>
      </c>
      <c r="L510" s="28">
        <f t="shared" si="61"/>
        <v>-3.1524198321806194E-4</v>
      </c>
      <c r="M510" s="71">
        <f t="shared" si="64"/>
        <v>4.791885300743026E-3</v>
      </c>
      <c r="N510" s="51">
        <v>40744</v>
      </c>
      <c r="O510" s="77">
        <f t="shared" si="62"/>
        <v>0.3048726071967266</v>
      </c>
      <c r="P510" s="39">
        <f t="shared" si="63"/>
        <v>0.40411405189152538</v>
      </c>
    </row>
    <row r="511" spans="1:16" x14ac:dyDescent="0.3">
      <c r="A511" s="18">
        <v>40745</v>
      </c>
      <c r="B511" s="15">
        <v>28185</v>
      </c>
      <c r="C511" s="15">
        <v>52645</v>
      </c>
      <c r="D511" s="16">
        <v>2145.04</v>
      </c>
      <c r="E511" s="28">
        <f t="shared" si="57"/>
        <v>-5.8201058201058364E-3</v>
      </c>
      <c r="F511" s="39">
        <f t="shared" si="57"/>
        <v>-1.2331625877443075E-3</v>
      </c>
      <c r="H511" s="64">
        <f t="shared" si="59"/>
        <v>0.2</v>
      </c>
      <c r="I511" s="65">
        <f t="shared" si="60"/>
        <v>0.3</v>
      </c>
      <c r="J511" s="66">
        <v>0.3</v>
      </c>
      <c r="K511" s="65">
        <f t="shared" si="58"/>
        <v>0.7</v>
      </c>
      <c r="L511" s="28">
        <f t="shared" si="61"/>
        <v>4.791885300743026E-3</v>
      </c>
      <c r="M511" s="71">
        <f t="shared" si="64"/>
        <v>-2.6092455574527659E-3</v>
      </c>
      <c r="N511" s="50">
        <v>40745</v>
      </c>
      <c r="O511" s="77">
        <f t="shared" si="62"/>
        <v>0.30226336163927381</v>
      </c>
      <c r="P511" s="39">
        <f t="shared" si="63"/>
        <v>0.39765693211879527</v>
      </c>
    </row>
    <row r="512" spans="1:16" x14ac:dyDescent="0.3">
      <c r="A512" s="17">
        <v>40746</v>
      </c>
      <c r="B512" s="13">
        <v>28520</v>
      </c>
      <c r="C512" s="13">
        <v>52600</v>
      </c>
      <c r="D512" s="14">
        <v>2171.23</v>
      </c>
      <c r="E512" s="28">
        <f t="shared" si="57"/>
        <v>1.1885754834131568E-2</v>
      </c>
      <c r="F512" s="39">
        <f t="shared" si="57"/>
        <v>-8.5478203058220181E-4</v>
      </c>
      <c r="H512" s="64">
        <f t="shared" si="59"/>
        <v>0.2</v>
      </c>
      <c r="I512" s="65">
        <f t="shared" si="60"/>
        <v>0.3</v>
      </c>
      <c r="J512" s="66">
        <v>0.2</v>
      </c>
      <c r="K512" s="65">
        <f t="shared" si="58"/>
        <v>0.8</v>
      </c>
      <c r="L512" s="28">
        <f t="shared" si="61"/>
        <v>-2.1505512342166137E-3</v>
      </c>
      <c r="M512" s="71">
        <f t="shared" si="64"/>
        <v>1.6933253423605521E-3</v>
      </c>
      <c r="N512" s="51">
        <v>40746</v>
      </c>
      <c r="O512" s="77">
        <f t="shared" si="62"/>
        <v>0.30395668698163436</v>
      </c>
      <c r="P512" s="39">
        <f t="shared" si="63"/>
        <v>0.41472171182089479</v>
      </c>
    </row>
    <row r="513" spans="1:16" x14ac:dyDescent="0.3">
      <c r="A513" s="17">
        <v>40749</v>
      </c>
      <c r="B513" s="13">
        <v>28255</v>
      </c>
      <c r="C513" s="13">
        <v>52650</v>
      </c>
      <c r="D513" s="14">
        <v>2150.48</v>
      </c>
      <c r="E513" s="28">
        <f t="shared" si="57"/>
        <v>-9.2917251051893857E-3</v>
      </c>
      <c r="F513" s="39">
        <f t="shared" si="57"/>
        <v>9.5057034220524805E-4</v>
      </c>
      <c r="H513" s="64">
        <f t="shared" si="59"/>
        <v>0.2</v>
      </c>
      <c r="I513" s="65">
        <f t="shared" si="60"/>
        <v>0.3</v>
      </c>
      <c r="J513" s="66">
        <v>0.3</v>
      </c>
      <c r="K513" s="65">
        <f t="shared" si="58"/>
        <v>0.7</v>
      </c>
      <c r="L513" s="28">
        <f t="shared" si="61"/>
        <v>2.9673790288319291E-3</v>
      </c>
      <c r="M513" s="71">
        <f t="shared" si="64"/>
        <v>-2.1221182920131421E-3</v>
      </c>
      <c r="N513" s="51">
        <v>40749</v>
      </c>
      <c r="O513" s="77">
        <f t="shared" si="62"/>
        <v>0.30183456868962122</v>
      </c>
      <c r="P513" s="39">
        <f t="shared" si="63"/>
        <v>0.40120150644408836</v>
      </c>
    </row>
    <row r="514" spans="1:16" x14ac:dyDescent="0.3">
      <c r="A514" s="18">
        <v>40750</v>
      </c>
      <c r="B514" s="15">
        <v>28435</v>
      </c>
      <c r="C514" s="15">
        <v>52570</v>
      </c>
      <c r="D514" s="70">
        <v>2168.6999999999998</v>
      </c>
      <c r="E514" s="71">
        <f t="shared" si="57"/>
        <v>6.3705538842682152E-3</v>
      </c>
      <c r="F514" s="39">
        <f t="shared" si="57"/>
        <v>-1.5194681861347981E-3</v>
      </c>
      <c r="H514" s="64">
        <f t="shared" si="59"/>
        <v>0.2</v>
      </c>
      <c r="I514" s="65">
        <f t="shared" si="60"/>
        <v>0.3</v>
      </c>
      <c r="J514" s="66">
        <v>0.2</v>
      </c>
      <c r="K514" s="65">
        <f t="shared" si="58"/>
        <v>0.8</v>
      </c>
      <c r="L514" s="28">
        <f t="shared" si="61"/>
        <v>-1.0978887472736787E-3</v>
      </c>
      <c r="M514" s="71">
        <f t="shared" si="64"/>
        <v>5.8536227945804684E-5</v>
      </c>
      <c r="N514" s="50">
        <v>40750</v>
      </c>
      <c r="O514" s="77">
        <f t="shared" si="62"/>
        <v>0.30189310491756705</v>
      </c>
      <c r="P514" s="39">
        <f t="shared" si="63"/>
        <v>0.41307322412916836</v>
      </c>
    </row>
    <row r="515" spans="1:16" x14ac:dyDescent="0.3">
      <c r="A515" s="17">
        <v>40751</v>
      </c>
      <c r="B515" s="13">
        <v>28530</v>
      </c>
      <c r="C515" s="13">
        <v>52545</v>
      </c>
      <c r="D515" s="14">
        <v>2174.31</v>
      </c>
      <c r="E515" s="28">
        <f t="shared" si="57"/>
        <v>3.3409530508177188E-3</v>
      </c>
      <c r="F515" s="39">
        <f t="shared" si="57"/>
        <v>-4.755564009891744E-4</v>
      </c>
      <c r="H515" s="64">
        <f t="shared" si="59"/>
        <v>0.2</v>
      </c>
      <c r="I515" s="65">
        <f t="shared" si="60"/>
        <v>0.3</v>
      </c>
      <c r="J515" s="66">
        <v>0.3</v>
      </c>
      <c r="K515" s="65">
        <f t="shared" si="58"/>
        <v>0.7</v>
      </c>
      <c r="L515" s="28">
        <f t="shared" si="61"/>
        <v>8.4753843498610584E-4</v>
      </c>
      <c r="M515" s="71">
        <f t="shared" si="64"/>
        <v>6.6939643455289351E-4</v>
      </c>
      <c r="N515" s="51">
        <v>40751</v>
      </c>
      <c r="O515" s="77">
        <f t="shared" si="62"/>
        <v>0.30256250135211993</v>
      </c>
      <c r="P515" s="39">
        <f t="shared" si="63"/>
        <v>0.41672856640212674</v>
      </c>
    </row>
    <row r="516" spans="1:16" x14ac:dyDescent="0.3">
      <c r="A516" s="18">
        <v>40752</v>
      </c>
      <c r="B516" s="15">
        <v>28210</v>
      </c>
      <c r="C516" s="15">
        <v>52615</v>
      </c>
      <c r="D516" s="16">
        <v>2155.85</v>
      </c>
      <c r="E516" s="28">
        <f t="shared" si="57"/>
        <v>-1.1216263582194186E-2</v>
      </c>
      <c r="F516" s="39">
        <f t="shared" si="57"/>
        <v>1.3321914549433433E-3</v>
      </c>
      <c r="H516" s="64">
        <f t="shared" si="59"/>
        <v>0.2</v>
      </c>
      <c r="I516" s="65">
        <f t="shared" si="60"/>
        <v>0.3</v>
      </c>
      <c r="J516" s="66">
        <v>0.3</v>
      </c>
      <c r="K516" s="65">
        <f t="shared" si="58"/>
        <v>0.7</v>
      </c>
      <c r="L516" s="28">
        <f t="shared" si="61"/>
        <v>6.6939643455289351E-4</v>
      </c>
      <c r="M516" s="71">
        <f t="shared" si="64"/>
        <v>-2.4323450561979151E-3</v>
      </c>
      <c r="N516" s="50">
        <v>40752</v>
      </c>
      <c r="O516" s="77">
        <f t="shared" si="62"/>
        <v>0.30013015629592199</v>
      </c>
      <c r="P516" s="39">
        <f t="shared" si="63"/>
        <v>0.40470047043798951</v>
      </c>
    </row>
    <row r="517" spans="1:16" x14ac:dyDescent="0.3">
      <c r="A517" s="17">
        <v>40753</v>
      </c>
      <c r="B517" s="13">
        <v>27865</v>
      </c>
      <c r="C517" s="13">
        <v>52595</v>
      </c>
      <c r="D517" s="14">
        <v>2133.21</v>
      </c>
      <c r="E517" s="28">
        <f t="shared" si="57"/>
        <v>-1.2229705778092903E-2</v>
      </c>
      <c r="F517" s="39">
        <f t="shared" si="57"/>
        <v>-3.8011973771734375E-4</v>
      </c>
      <c r="H517" s="64">
        <f t="shared" si="59"/>
        <v>0.2</v>
      </c>
      <c r="I517" s="65">
        <f t="shared" si="60"/>
        <v>0.3</v>
      </c>
      <c r="J517" s="66">
        <v>0.2</v>
      </c>
      <c r="K517" s="65">
        <f t="shared" si="58"/>
        <v>0.8</v>
      </c>
      <c r="L517" s="28">
        <f t="shared" si="61"/>
        <v>-1.1774995524841626E-3</v>
      </c>
      <c r="M517" s="71">
        <f t="shared" si="64"/>
        <v>-2.7500369457924556E-3</v>
      </c>
      <c r="N517" s="51">
        <v>40753</v>
      </c>
      <c r="O517" s="77">
        <f t="shared" si="62"/>
        <v>0.29738011935012953</v>
      </c>
      <c r="P517" s="39">
        <f t="shared" si="63"/>
        <v>0.38994878611360884</v>
      </c>
    </row>
    <row r="518" spans="1:16" x14ac:dyDescent="0.3">
      <c r="A518" s="17">
        <v>40756</v>
      </c>
      <c r="B518" s="13">
        <v>28415</v>
      </c>
      <c r="C518" s="13">
        <v>52570</v>
      </c>
      <c r="D518" s="14">
        <v>2172.31</v>
      </c>
      <c r="E518" s="28">
        <f t="shared" si="57"/>
        <v>1.973802260900781E-2</v>
      </c>
      <c r="F518" s="39">
        <f t="shared" si="57"/>
        <v>-4.7533035459645934E-4</v>
      </c>
      <c r="H518" s="64">
        <f t="shared" si="59"/>
        <v>0.2</v>
      </c>
      <c r="I518" s="65">
        <f t="shared" si="60"/>
        <v>0.3</v>
      </c>
      <c r="J518" s="66">
        <v>0.2</v>
      </c>
      <c r="K518" s="65">
        <f t="shared" si="58"/>
        <v>0.8</v>
      </c>
      <c r="L518" s="28">
        <f t="shared" si="61"/>
        <v>-2.7500369457924556E-3</v>
      </c>
      <c r="M518" s="71">
        <f t="shared" si="64"/>
        <v>3.5673402381243948E-3</v>
      </c>
      <c r="N518" s="51">
        <v>40756</v>
      </c>
      <c r="O518" s="77">
        <f t="shared" si="62"/>
        <v>0.30094745958825392</v>
      </c>
      <c r="P518" s="39">
        <f t="shared" si="63"/>
        <v>0.41542541407665134</v>
      </c>
    </row>
    <row r="519" spans="1:16" x14ac:dyDescent="0.3">
      <c r="A519" s="18">
        <v>40757</v>
      </c>
      <c r="B519" s="15">
        <v>27700</v>
      </c>
      <c r="C519" s="15">
        <v>52555</v>
      </c>
      <c r="D519" s="70">
        <v>2121.27</v>
      </c>
      <c r="E519" s="71">
        <f t="shared" si="57"/>
        <v>-2.5162766144641968E-2</v>
      </c>
      <c r="F519" s="39">
        <f t="shared" si="57"/>
        <v>-2.8533384059348244E-4</v>
      </c>
      <c r="H519" s="64">
        <f t="shared" si="59"/>
        <v>0.2</v>
      </c>
      <c r="I519" s="65">
        <f t="shared" si="60"/>
        <v>0.3</v>
      </c>
      <c r="J519" s="66">
        <v>0.3</v>
      </c>
      <c r="K519" s="65">
        <f t="shared" si="58"/>
        <v>0.7</v>
      </c>
      <c r="L519" s="28">
        <f t="shared" si="61"/>
        <v>5.5886755344848214E-3</v>
      </c>
      <c r="M519" s="71">
        <f t="shared" si="64"/>
        <v>-7.7485635318080281E-3</v>
      </c>
      <c r="N519" s="50">
        <v>40757</v>
      </c>
      <c r="O519" s="77">
        <f t="shared" si="62"/>
        <v>0.29319889605644589</v>
      </c>
      <c r="P519" s="39">
        <f t="shared" si="63"/>
        <v>0.38216896673052103</v>
      </c>
    </row>
    <row r="520" spans="1:16" x14ac:dyDescent="0.3">
      <c r="A520" s="17">
        <v>40758</v>
      </c>
      <c r="B520" s="13">
        <v>26875</v>
      </c>
      <c r="C520" s="13">
        <v>52665</v>
      </c>
      <c r="D520" s="14">
        <v>2066.2600000000002</v>
      </c>
      <c r="E520" s="28">
        <f t="shared" si="57"/>
        <v>-2.9783393501805033E-2</v>
      </c>
      <c r="F520" s="39">
        <f t="shared" si="57"/>
        <v>2.0930453810295013E-3</v>
      </c>
      <c r="H520" s="64">
        <f t="shared" si="59"/>
        <v>0.2</v>
      </c>
      <c r="I520" s="65">
        <f t="shared" si="60"/>
        <v>0.3</v>
      </c>
      <c r="J520" s="66">
        <v>0.2</v>
      </c>
      <c r="K520" s="65">
        <f t="shared" si="58"/>
        <v>0.8</v>
      </c>
      <c r="L520" s="28">
        <f t="shared" si="61"/>
        <v>-5.2608203014031796E-3</v>
      </c>
      <c r="M520" s="71">
        <f t="shared" si="64"/>
        <v>-4.2822423955374061E-3</v>
      </c>
      <c r="N520" s="51">
        <v>40758</v>
      </c>
      <c r="O520" s="77">
        <f t="shared" si="62"/>
        <v>0.28891665366090846</v>
      </c>
      <c r="P520" s="39">
        <f t="shared" si="63"/>
        <v>0.34632576201832244</v>
      </c>
    </row>
    <row r="521" spans="1:16" x14ac:dyDescent="0.3">
      <c r="A521" s="18">
        <v>40759</v>
      </c>
      <c r="B521" s="15">
        <v>26260</v>
      </c>
      <c r="C521" s="15">
        <v>52825</v>
      </c>
      <c r="D521" s="16">
        <v>2018.47</v>
      </c>
      <c r="E521" s="28">
        <f t="shared" si="57"/>
        <v>-2.2883720930232609E-2</v>
      </c>
      <c r="F521" s="39">
        <f t="shared" si="57"/>
        <v>3.0380708250261623E-3</v>
      </c>
      <c r="H521" s="64">
        <f t="shared" si="59"/>
        <v>0.2</v>
      </c>
      <c r="I521" s="65">
        <f t="shared" si="60"/>
        <v>0.3</v>
      </c>
      <c r="J521" s="66">
        <v>0.2</v>
      </c>
      <c r="K521" s="65">
        <f t="shared" si="58"/>
        <v>0.8</v>
      </c>
      <c r="L521" s="28">
        <f t="shared" si="61"/>
        <v>-4.2822423955374061E-3</v>
      </c>
      <c r="M521" s="71">
        <f t="shared" si="64"/>
        <v>-2.1462875260255918E-3</v>
      </c>
      <c r="N521" s="50">
        <v>40759</v>
      </c>
      <c r="O521" s="77">
        <f t="shared" si="62"/>
        <v>0.28677036613488288</v>
      </c>
      <c r="P521" s="39">
        <f t="shared" si="63"/>
        <v>0.31518693720108937</v>
      </c>
    </row>
    <row r="522" spans="1:16" x14ac:dyDescent="0.3">
      <c r="A522" s="17">
        <v>40760</v>
      </c>
      <c r="B522" s="13">
        <v>25325</v>
      </c>
      <c r="C522" s="13">
        <v>52925</v>
      </c>
      <c r="D522" s="14">
        <v>1943.75</v>
      </c>
      <c r="E522" s="28">
        <f t="shared" si="57"/>
        <v>-3.5605483625285594E-2</v>
      </c>
      <c r="F522" s="39">
        <f t="shared" si="57"/>
        <v>1.8930430667296605E-3</v>
      </c>
      <c r="H522" s="64">
        <f t="shared" si="59"/>
        <v>0.2</v>
      </c>
      <c r="I522" s="65">
        <f t="shared" si="60"/>
        <v>0.3</v>
      </c>
      <c r="J522" s="66">
        <v>0.2</v>
      </c>
      <c r="K522" s="65">
        <f t="shared" si="58"/>
        <v>0.8</v>
      </c>
      <c r="L522" s="28">
        <f t="shared" si="61"/>
        <v>-2.1462875260255918E-3</v>
      </c>
      <c r="M522" s="71">
        <f t="shared" si="64"/>
        <v>-5.6066622716733905E-3</v>
      </c>
      <c r="N522" s="51">
        <v>40760</v>
      </c>
      <c r="O522" s="77">
        <f t="shared" si="62"/>
        <v>0.28116370386320949</v>
      </c>
      <c r="P522" s="39">
        <f t="shared" si="63"/>
        <v>0.26650116632133125</v>
      </c>
    </row>
    <row r="523" spans="1:16" x14ac:dyDescent="0.3">
      <c r="A523" s="17">
        <v>40763</v>
      </c>
      <c r="B523" s="13">
        <v>24360</v>
      </c>
      <c r="C523" s="13">
        <v>52985</v>
      </c>
      <c r="D523" s="14">
        <v>1869.45</v>
      </c>
      <c r="E523" s="28">
        <f t="shared" si="57"/>
        <v>-3.81046396841066E-2</v>
      </c>
      <c r="F523" s="39">
        <f t="shared" si="57"/>
        <v>1.1336797354746242E-3</v>
      </c>
      <c r="H523" s="64">
        <f t="shared" si="59"/>
        <v>0.5</v>
      </c>
      <c r="I523" s="65">
        <f t="shared" si="60"/>
        <v>0.7</v>
      </c>
      <c r="J523" s="66">
        <v>0.5</v>
      </c>
      <c r="K523" s="65">
        <f t="shared" si="58"/>
        <v>0.5</v>
      </c>
      <c r="L523" s="28">
        <f t="shared" si="61"/>
        <v>-1.6856220279277967E-2</v>
      </c>
      <c r="M523" s="71">
        <f t="shared" si="64"/>
        <v>-1.8485479974315988E-2</v>
      </c>
      <c r="N523" s="51">
        <v>40763</v>
      </c>
      <c r="O523" s="77">
        <f t="shared" si="62"/>
        <v>0.2626782238888935</v>
      </c>
      <c r="P523" s="39">
        <f t="shared" si="63"/>
        <v>0.21808905742992302</v>
      </c>
    </row>
    <row r="524" spans="1:16" x14ac:dyDescent="0.3">
      <c r="A524" s="18">
        <v>40764</v>
      </c>
      <c r="B524" s="15">
        <v>23460</v>
      </c>
      <c r="C524" s="15">
        <v>52995</v>
      </c>
      <c r="D524" s="70">
        <v>1801.35</v>
      </c>
      <c r="E524" s="71">
        <f t="shared" si="57"/>
        <v>-3.6945812807881784E-2</v>
      </c>
      <c r="F524" s="39">
        <f t="shared" si="57"/>
        <v>1.8873266018681889E-4</v>
      </c>
      <c r="H524" s="64">
        <f t="shared" si="59"/>
        <v>0.7</v>
      </c>
      <c r="I524" s="65">
        <f t="shared" si="60"/>
        <v>0.9</v>
      </c>
      <c r="J524" s="66">
        <v>0.7</v>
      </c>
      <c r="K524" s="65">
        <f t="shared" si="58"/>
        <v>0.30000000000000004</v>
      </c>
      <c r="L524" s="28">
        <f t="shared" si="61"/>
        <v>-2.6333143858232232E-2</v>
      </c>
      <c r="M524" s="71">
        <f t="shared" si="64"/>
        <v>-2.5805449167461202E-2</v>
      </c>
      <c r="N524" s="50">
        <v>40764</v>
      </c>
      <c r="O524" s="77">
        <f t="shared" si="62"/>
        <v>0.23687277472143231</v>
      </c>
      <c r="P524" s="39">
        <f t="shared" si="63"/>
        <v>0.17371672074748812</v>
      </c>
    </row>
    <row r="525" spans="1:16" x14ac:dyDescent="0.3">
      <c r="A525" s="17">
        <v>40765</v>
      </c>
      <c r="B525" s="13">
        <v>23460</v>
      </c>
      <c r="C525" s="13">
        <v>53125</v>
      </c>
      <c r="D525" s="14">
        <v>1806.24</v>
      </c>
      <c r="E525" s="28">
        <f t="shared" si="57"/>
        <v>0</v>
      </c>
      <c r="F525" s="39">
        <f t="shared" si="57"/>
        <v>2.4530616095859159E-3</v>
      </c>
      <c r="H525" s="64">
        <f t="shared" si="59"/>
        <v>0.9</v>
      </c>
      <c r="I525" s="65">
        <f t="shared" si="60"/>
        <v>1</v>
      </c>
      <c r="J525" s="66">
        <v>0.9</v>
      </c>
      <c r="K525" s="65">
        <f t="shared" si="58"/>
        <v>9.9999999999999978E-2</v>
      </c>
      <c r="L525" s="28">
        <f t="shared" si="61"/>
        <v>-3.3232358261074922E-2</v>
      </c>
      <c r="M525" s="71">
        <f t="shared" si="64"/>
        <v>2.4530616095859155E-4</v>
      </c>
      <c r="N525" s="51">
        <v>40765</v>
      </c>
      <c r="O525" s="77">
        <f t="shared" si="62"/>
        <v>0.23711808088239089</v>
      </c>
      <c r="P525" s="39">
        <f t="shared" si="63"/>
        <v>0.17690292818327524</v>
      </c>
    </row>
    <row r="526" spans="1:16" x14ac:dyDescent="0.3">
      <c r="A526" s="18">
        <v>40766</v>
      </c>
      <c r="B526" s="15">
        <v>23490</v>
      </c>
      <c r="C526" s="15">
        <v>53140</v>
      </c>
      <c r="D526" s="16">
        <v>1817.44</v>
      </c>
      <c r="E526" s="28">
        <f t="shared" si="57"/>
        <v>1.2787723785165905E-3</v>
      </c>
      <c r="F526" s="39">
        <f t="shared" si="57"/>
        <v>2.8235294117640031E-4</v>
      </c>
      <c r="H526" s="64">
        <f t="shared" si="59"/>
        <v>0.9</v>
      </c>
      <c r="I526" s="65">
        <f t="shared" si="60"/>
        <v>1</v>
      </c>
      <c r="J526" s="66">
        <v>0.9</v>
      </c>
      <c r="K526" s="65">
        <f t="shared" si="58"/>
        <v>9.9999999999999978E-2</v>
      </c>
      <c r="L526" s="28">
        <f t="shared" si="61"/>
        <v>2.4530616095859155E-4</v>
      </c>
      <c r="M526" s="71">
        <f t="shared" si="64"/>
        <v>1.1791304347825717E-3</v>
      </c>
      <c r="N526" s="50">
        <v>40766</v>
      </c>
      <c r="O526" s="77">
        <f t="shared" si="62"/>
        <v>0.23829721131717346</v>
      </c>
      <c r="P526" s="39">
        <f t="shared" si="63"/>
        <v>0.1842005812059373</v>
      </c>
    </row>
    <row r="527" spans="1:16" x14ac:dyDescent="0.3">
      <c r="A527" s="17">
        <v>40767</v>
      </c>
      <c r="B527" s="13">
        <v>23200</v>
      </c>
      <c r="C527" s="13">
        <v>53195</v>
      </c>
      <c r="D527" s="14">
        <v>1793.31</v>
      </c>
      <c r="E527" s="28">
        <f t="shared" si="57"/>
        <v>-1.2345679012345734E-2</v>
      </c>
      <c r="F527" s="39">
        <f t="shared" si="57"/>
        <v>1.0350018818217066E-3</v>
      </c>
      <c r="H527" s="64">
        <f t="shared" si="59"/>
        <v>0.9</v>
      </c>
      <c r="I527" s="65">
        <f t="shared" si="60"/>
        <v>1</v>
      </c>
      <c r="J527" s="66">
        <v>1</v>
      </c>
      <c r="K527" s="65">
        <f t="shared" si="58"/>
        <v>0</v>
      </c>
      <c r="L527" s="28">
        <f t="shared" si="61"/>
        <v>1.2787723785165905E-3</v>
      </c>
      <c r="M527" s="71">
        <f t="shared" si="64"/>
        <v>-1.2345679012345734E-2</v>
      </c>
      <c r="N527" s="51">
        <v>40767</v>
      </c>
      <c r="O527" s="77">
        <f t="shared" si="62"/>
        <v>0.22595153230482773</v>
      </c>
      <c r="P527" s="39">
        <f t="shared" si="63"/>
        <v>0.16847804839907732</v>
      </c>
    </row>
    <row r="528" spans="1:16" x14ac:dyDescent="0.3">
      <c r="A528" s="17">
        <v>40771</v>
      </c>
      <c r="B528" s="13">
        <v>24280</v>
      </c>
      <c r="C528" s="13">
        <v>53155</v>
      </c>
      <c r="D528" s="14">
        <v>1879.87</v>
      </c>
      <c r="E528" s="28">
        <f t="shared" si="57"/>
        <v>4.6551724137930961E-2</v>
      </c>
      <c r="F528" s="39">
        <f t="shared" si="57"/>
        <v>-7.5195037127551156E-4</v>
      </c>
      <c r="H528" s="64">
        <f t="shared" si="59"/>
        <v>0.9</v>
      </c>
      <c r="I528" s="65">
        <f t="shared" si="60"/>
        <v>1</v>
      </c>
      <c r="J528" s="66">
        <v>0.9</v>
      </c>
      <c r="K528" s="65">
        <f t="shared" si="58"/>
        <v>9.9999999999999978E-2</v>
      </c>
      <c r="L528" s="28">
        <f t="shared" si="61"/>
        <v>-1.1007610922928989E-2</v>
      </c>
      <c r="M528" s="71">
        <f t="shared" si="64"/>
        <v>4.1821356687010314E-2</v>
      </c>
      <c r="N528" s="51">
        <v>40771</v>
      </c>
      <c r="O528" s="77">
        <f t="shared" si="62"/>
        <v>0.26777288899183804</v>
      </c>
      <c r="P528" s="39">
        <f t="shared" si="63"/>
        <v>0.22487848104564945</v>
      </c>
    </row>
    <row r="529" spans="1:16" x14ac:dyDescent="0.3">
      <c r="A529" s="18">
        <v>40772</v>
      </c>
      <c r="B529" s="15">
        <v>24435</v>
      </c>
      <c r="C529" s="15">
        <v>53110</v>
      </c>
      <c r="D529" s="70">
        <v>1892.67</v>
      </c>
      <c r="E529" s="71">
        <f t="shared" ref="E529:F592" si="65">B529/B528-1</f>
        <v>6.3838550247117265E-3</v>
      </c>
      <c r="F529" s="39">
        <f t="shared" si="65"/>
        <v>-8.465807543974746E-4</v>
      </c>
      <c r="H529" s="64">
        <f t="shared" si="59"/>
        <v>0.7</v>
      </c>
      <c r="I529" s="65">
        <f t="shared" si="60"/>
        <v>0.9</v>
      </c>
      <c r="J529" s="66">
        <v>0.9</v>
      </c>
      <c r="K529" s="65">
        <f t="shared" ref="K529:K592" si="66">1-J529</f>
        <v>9.9999999999999978E-2</v>
      </c>
      <c r="L529" s="28">
        <f t="shared" si="61"/>
        <v>4.1821356687010314E-2</v>
      </c>
      <c r="M529" s="71">
        <f t="shared" si="64"/>
        <v>5.6608114468008064E-3</v>
      </c>
      <c r="N529" s="50">
        <v>40772</v>
      </c>
      <c r="O529" s="77">
        <f t="shared" si="62"/>
        <v>0.27343370043863885</v>
      </c>
      <c r="P529" s="39">
        <f t="shared" si="63"/>
        <v>0.23321865592869151</v>
      </c>
    </row>
    <row r="530" spans="1:16" x14ac:dyDescent="0.3">
      <c r="A530" s="17">
        <v>40773</v>
      </c>
      <c r="B530" s="13">
        <v>23940</v>
      </c>
      <c r="C530" s="13">
        <v>53125</v>
      </c>
      <c r="D530" s="14">
        <v>1860.58</v>
      </c>
      <c r="E530" s="28">
        <f t="shared" si="65"/>
        <v>-2.025782688766109E-2</v>
      </c>
      <c r="F530" s="39">
        <f t="shared" si="65"/>
        <v>2.8243268687622169E-4</v>
      </c>
      <c r="H530" s="64">
        <f t="shared" ref="H530:H593" si="67">IF($D529&lt;=1850,0.9,IF(AND($D529&lt;=1900,$D529&gt;1850),0.7,IF(AND($D529&lt;=1950,$D529&gt;1900),0.5,IF(AND($D529&lt;=2000,$D529&gt;1950),0.3,IF($D529&gt;2000,0.2,0)))))</f>
        <v>0.7</v>
      </c>
      <c r="I530" s="65">
        <f t="shared" ref="I530:I593" si="68">IF($D529&lt;=1850,1,IF(AND($D529&lt;=1900,$D529&gt;1850),0.9,IF(AND($D529&lt;=1950,$D529&gt;1900),0.7,IF(AND($D529&lt;=2000,$D529&gt;1950),0.5,IF($D529&gt;2000,0.3,0)))))</f>
        <v>0.9</v>
      </c>
      <c r="J530" s="66">
        <v>0.9</v>
      </c>
      <c r="K530" s="65">
        <f t="shared" si="66"/>
        <v>9.9999999999999978E-2</v>
      </c>
      <c r="L530" s="28">
        <f t="shared" ref="L530:L593" si="69">E529*J530+F529*K530</f>
        <v>5.6608114468008064E-3</v>
      </c>
      <c r="M530" s="71">
        <f t="shared" si="64"/>
        <v>-1.8203800930207362E-2</v>
      </c>
      <c r="N530" s="51">
        <v>40773</v>
      </c>
      <c r="O530" s="77">
        <f t="shared" ref="O530:O593" si="70">O529+M530</f>
        <v>0.2552298995084315</v>
      </c>
      <c r="P530" s="39">
        <f t="shared" ref="P530:P593" si="71">D530/$D$16-1</f>
        <v>0.21230957686643981</v>
      </c>
    </row>
    <row r="531" spans="1:16" x14ac:dyDescent="0.3">
      <c r="A531" s="18">
        <v>40774</v>
      </c>
      <c r="B531" s="15">
        <v>22475</v>
      </c>
      <c r="C531" s="15">
        <v>53175</v>
      </c>
      <c r="D531" s="16">
        <v>1744.88</v>
      </c>
      <c r="E531" s="28">
        <f t="shared" si="65"/>
        <v>-6.1194653299916468E-2</v>
      </c>
      <c r="F531" s="39">
        <f t="shared" si="65"/>
        <v>9.4117647058822307E-4</v>
      </c>
      <c r="H531" s="64">
        <f t="shared" si="67"/>
        <v>0.7</v>
      </c>
      <c r="I531" s="65">
        <f t="shared" si="68"/>
        <v>0.9</v>
      </c>
      <c r="J531" s="66">
        <v>0.7</v>
      </c>
      <c r="K531" s="65">
        <f t="shared" si="66"/>
        <v>0.30000000000000004</v>
      </c>
      <c r="L531" s="28">
        <f t="shared" si="69"/>
        <v>-1.4095749015299896E-2</v>
      </c>
      <c r="M531" s="71">
        <f t="shared" si="64"/>
        <v>-4.2553904368765057E-2</v>
      </c>
      <c r="N531" s="50">
        <v>40774</v>
      </c>
      <c r="O531" s="77">
        <f t="shared" si="70"/>
        <v>0.21267599513966645</v>
      </c>
      <c r="P531" s="39">
        <f t="shared" si="71"/>
        <v>0.13692221483769251</v>
      </c>
    </row>
    <row r="532" spans="1:16" x14ac:dyDescent="0.3">
      <c r="A532" s="17">
        <v>40777</v>
      </c>
      <c r="B532" s="13">
        <v>22070</v>
      </c>
      <c r="C532" s="13">
        <v>53250</v>
      </c>
      <c r="D532" s="14">
        <v>1710.7</v>
      </c>
      <c r="E532" s="28">
        <f t="shared" si="65"/>
        <v>-1.8020022246940992E-2</v>
      </c>
      <c r="F532" s="39">
        <f t="shared" si="65"/>
        <v>1.4104372355430161E-3</v>
      </c>
      <c r="H532" s="64">
        <f t="shared" si="67"/>
        <v>0.9</v>
      </c>
      <c r="I532" s="65">
        <f t="shared" si="68"/>
        <v>1</v>
      </c>
      <c r="J532" s="66">
        <v>0.9</v>
      </c>
      <c r="K532" s="65">
        <f t="shared" si="66"/>
        <v>9.9999999999999978E-2</v>
      </c>
      <c r="L532" s="28">
        <f t="shared" si="69"/>
        <v>-5.4981070322866005E-2</v>
      </c>
      <c r="M532" s="71">
        <f t="shared" ref="M532:M595" si="72">E532*J532+F532*K532</f>
        <v>-1.6076976298692595E-2</v>
      </c>
      <c r="N532" s="51">
        <v>40777</v>
      </c>
      <c r="O532" s="77">
        <f t="shared" si="70"/>
        <v>0.19659901884097386</v>
      </c>
      <c r="P532" s="39">
        <f t="shared" si="71"/>
        <v>0.1146513415953192</v>
      </c>
    </row>
    <row r="533" spans="1:16" x14ac:dyDescent="0.3">
      <c r="A533" s="17">
        <v>40778</v>
      </c>
      <c r="B533" s="13">
        <v>22895</v>
      </c>
      <c r="C533" s="13">
        <v>53195</v>
      </c>
      <c r="D533" s="14">
        <v>1776.68</v>
      </c>
      <c r="E533" s="28">
        <f t="shared" si="65"/>
        <v>3.7381060262800192E-2</v>
      </c>
      <c r="F533" s="39">
        <f t="shared" si="65"/>
        <v>-1.0328638497653087E-3</v>
      </c>
      <c r="H533" s="64">
        <f t="shared" si="67"/>
        <v>0.9</v>
      </c>
      <c r="I533" s="65">
        <f t="shared" si="68"/>
        <v>1</v>
      </c>
      <c r="J533" s="66">
        <v>0.9</v>
      </c>
      <c r="K533" s="65">
        <f t="shared" si="66"/>
        <v>9.9999999999999978E-2</v>
      </c>
      <c r="L533" s="28">
        <f t="shared" si="69"/>
        <v>-1.6076976298692595E-2</v>
      </c>
      <c r="M533" s="71">
        <f t="shared" si="72"/>
        <v>3.3539667851543643E-2</v>
      </c>
      <c r="N533" s="51">
        <v>40778</v>
      </c>
      <c r="O533" s="77">
        <f t="shared" si="70"/>
        <v>0.2301386866925175</v>
      </c>
      <c r="P533" s="39">
        <f t="shared" si="71"/>
        <v>0.15764233681274997</v>
      </c>
    </row>
    <row r="534" spans="1:16" x14ac:dyDescent="0.3">
      <c r="A534" s="18">
        <v>40779</v>
      </c>
      <c r="B534" s="15">
        <v>22640</v>
      </c>
      <c r="C534" s="15">
        <v>53230</v>
      </c>
      <c r="D534" s="70">
        <v>1754.78</v>
      </c>
      <c r="E534" s="71">
        <f t="shared" si="65"/>
        <v>-1.1137803013758441E-2</v>
      </c>
      <c r="F534" s="39">
        <f t="shared" si="65"/>
        <v>6.5795657486611425E-4</v>
      </c>
      <c r="H534" s="64">
        <f t="shared" si="67"/>
        <v>0.9</v>
      </c>
      <c r="I534" s="65">
        <f t="shared" si="68"/>
        <v>1</v>
      </c>
      <c r="J534" s="66">
        <v>1</v>
      </c>
      <c r="K534" s="65">
        <f t="shared" si="66"/>
        <v>0</v>
      </c>
      <c r="L534" s="28">
        <f t="shared" si="69"/>
        <v>3.7381060262800192E-2</v>
      </c>
      <c r="M534" s="71">
        <f t="shared" si="72"/>
        <v>-1.1137803013758441E-2</v>
      </c>
      <c r="N534" s="50">
        <v>40779</v>
      </c>
      <c r="O534" s="77">
        <f t="shared" si="70"/>
        <v>0.21900088367875906</v>
      </c>
      <c r="P534" s="39">
        <f t="shared" si="71"/>
        <v>0.14337281884879527</v>
      </c>
    </row>
    <row r="535" spans="1:16" x14ac:dyDescent="0.3">
      <c r="A535" s="17">
        <v>40780</v>
      </c>
      <c r="B535" s="13">
        <v>22810</v>
      </c>
      <c r="C535" s="13">
        <v>53265</v>
      </c>
      <c r="D535" s="14">
        <v>1764.58</v>
      </c>
      <c r="E535" s="28">
        <f t="shared" si="65"/>
        <v>7.5088339222615375E-3</v>
      </c>
      <c r="F535" s="39">
        <f t="shared" si="65"/>
        <v>6.5752395265827879E-4</v>
      </c>
      <c r="H535" s="64">
        <f t="shared" si="67"/>
        <v>0.9</v>
      </c>
      <c r="I535" s="65">
        <f t="shared" si="68"/>
        <v>1</v>
      </c>
      <c r="J535" s="66">
        <v>0.9</v>
      </c>
      <c r="K535" s="65">
        <f t="shared" si="66"/>
        <v>9.9999999999999978E-2</v>
      </c>
      <c r="L535" s="28">
        <f t="shared" si="69"/>
        <v>-9.9582270548959854E-3</v>
      </c>
      <c r="M535" s="71">
        <f t="shared" si="72"/>
        <v>6.8237029253012116E-3</v>
      </c>
      <c r="N535" s="51">
        <v>40780</v>
      </c>
      <c r="O535" s="77">
        <f t="shared" si="70"/>
        <v>0.22582458660406027</v>
      </c>
      <c r="P535" s="39">
        <f t="shared" si="71"/>
        <v>0.14975826524362423</v>
      </c>
    </row>
    <row r="536" spans="1:16" x14ac:dyDescent="0.3">
      <c r="A536" s="18">
        <v>40781</v>
      </c>
      <c r="B536" s="15">
        <v>23000</v>
      </c>
      <c r="C536" s="15">
        <v>53260</v>
      </c>
      <c r="D536" s="16">
        <v>1778.95</v>
      </c>
      <c r="E536" s="28">
        <f t="shared" si="65"/>
        <v>8.3296799649277276E-3</v>
      </c>
      <c r="F536" s="39">
        <f t="shared" si="65"/>
        <v>-9.3870271285045881E-5</v>
      </c>
      <c r="H536" s="64">
        <f t="shared" si="67"/>
        <v>0.9</v>
      </c>
      <c r="I536" s="65">
        <f t="shared" si="68"/>
        <v>1</v>
      </c>
      <c r="J536" s="66">
        <v>1</v>
      </c>
      <c r="K536" s="65">
        <f t="shared" si="66"/>
        <v>0</v>
      </c>
      <c r="L536" s="28">
        <f t="shared" si="69"/>
        <v>7.5088339222615375E-3</v>
      </c>
      <c r="M536" s="71">
        <f t="shared" si="72"/>
        <v>8.3296799649277276E-3</v>
      </c>
      <c r="N536" s="50">
        <v>40781</v>
      </c>
      <c r="O536" s="77">
        <f t="shared" si="70"/>
        <v>0.234154266568988</v>
      </c>
      <c r="P536" s="39">
        <f t="shared" si="71"/>
        <v>0.15912141470216445</v>
      </c>
    </row>
    <row r="537" spans="1:16" x14ac:dyDescent="0.3">
      <c r="A537" s="17">
        <v>40784</v>
      </c>
      <c r="B537" s="13">
        <v>23655</v>
      </c>
      <c r="C537" s="13">
        <v>53240</v>
      </c>
      <c r="D537" s="14">
        <v>1829.5</v>
      </c>
      <c r="E537" s="28">
        <f t="shared" si="65"/>
        <v>2.8478260869565286E-2</v>
      </c>
      <c r="F537" s="39">
        <f t="shared" si="65"/>
        <v>-3.7551633496057946E-4</v>
      </c>
      <c r="H537" s="64">
        <f t="shared" si="67"/>
        <v>0.9</v>
      </c>
      <c r="I537" s="65">
        <f t="shared" si="68"/>
        <v>1</v>
      </c>
      <c r="J537" s="66">
        <v>1</v>
      </c>
      <c r="K537" s="65">
        <f t="shared" si="66"/>
        <v>0</v>
      </c>
      <c r="L537" s="28">
        <f t="shared" si="69"/>
        <v>8.3296799649277276E-3</v>
      </c>
      <c r="M537" s="71">
        <f t="shared" si="72"/>
        <v>2.8478260869565286E-2</v>
      </c>
      <c r="N537" s="51">
        <v>40784</v>
      </c>
      <c r="O537" s="77">
        <f t="shared" si="70"/>
        <v>0.26263252743855325</v>
      </c>
      <c r="P537" s="39">
        <f t="shared" si="71"/>
        <v>0.19205858972855339</v>
      </c>
    </row>
    <row r="538" spans="1:16" x14ac:dyDescent="0.3">
      <c r="A538" s="17">
        <v>40785</v>
      </c>
      <c r="B538" s="13">
        <v>23905</v>
      </c>
      <c r="C538" s="13">
        <v>53250</v>
      </c>
      <c r="D538" s="14">
        <v>1843.82</v>
      </c>
      <c r="E538" s="28">
        <f t="shared" si="65"/>
        <v>1.0568590150074053E-2</v>
      </c>
      <c r="F538" s="39">
        <f t="shared" si="65"/>
        <v>1.878287002254897E-4</v>
      </c>
      <c r="H538" s="64">
        <f t="shared" si="67"/>
        <v>0.9</v>
      </c>
      <c r="I538" s="65">
        <f t="shared" si="68"/>
        <v>1</v>
      </c>
      <c r="J538" s="66">
        <v>1</v>
      </c>
      <c r="K538" s="65">
        <f t="shared" si="66"/>
        <v>0</v>
      </c>
      <c r="L538" s="28">
        <f t="shared" si="69"/>
        <v>2.8478260869565286E-2</v>
      </c>
      <c r="M538" s="71">
        <f t="shared" si="72"/>
        <v>1.0568590150074053E-2</v>
      </c>
      <c r="N538" s="51">
        <v>40785</v>
      </c>
      <c r="O538" s="77">
        <f t="shared" si="70"/>
        <v>0.27320111758862731</v>
      </c>
      <c r="P538" s="39">
        <f t="shared" si="71"/>
        <v>0.2013891603789566</v>
      </c>
    </row>
    <row r="539" spans="1:16" x14ac:dyDescent="0.3">
      <c r="A539" s="18">
        <v>40786</v>
      </c>
      <c r="B539" s="15">
        <v>24335</v>
      </c>
      <c r="C539" s="15">
        <v>53295</v>
      </c>
      <c r="D539" s="70">
        <v>1880.11</v>
      </c>
      <c r="E539" s="71">
        <f t="shared" si="65"/>
        <v>1.7987868646726524E-2</v>
      </c>
      <c r="F539" s="39">
        <f t="shared" si="65"/>
        <v>8.4507042253512132E-4</v>
      </c>
      <c r="H539" s="64">
        <f t="shared" si="67"/>
        <v>0.9</v>
      </c>
      <c r="I539" s="65">
        <f t="shared" si="68"/>
        <v>1</v>
      </c>
      <c r="J539" s="66">
        <v>1</v>
      </c>
      <c r="K539" s="65">
        <f t="shared" si="66"/>
        <v>0</v>
      </c>
      <c r="L539" s="28">
        <f t="shared" si="69"/>
        <v>1.0568590150074053E-2</v>
      </c>
      <c r="M539" s="71">
        <f t="shared" si="72"/>
        <v>1.7987868646726524E-2</v>
      </c>
      <c r="N539" s="50">
        <v>40786</v>
      </c>
      <c r="O539" s="77">
        <f t="shared" si="70"/>
        <v>0.29118898623535383</v>
      </c>
      <c r="P539" s="39">
        <f t="shared" si="71"/>
        <v>0.22503485932470646</v>
      </c>
    </row>
    <row r="540" spans="1:16" x14ac:dyDescent="0.3">
      <c r="A540" s="17">
        <v>40787</v>
      </c>
      <c r="B540" s="13">
        <v>24310</v>
      </c>
      <c r="C540" s="13">
        <v>53295</v>
      </c>
      <c r="D540" s="14">
        <v>1880.7</v>
      </c>
      <c r="E540" s="28">
        <f t="shared" si="65"/>
        <v>-1.0273268954180681E-3</v>
      </c>
      <c r="F540" s="39">
        <f t="shared" si="65"/>
        <v>0</v>
      </c>
      <c r="H540" s="64">
        <f t="shared" si="67"/>
        <v>0.7</v>
      </c>
      <c r="I540" s="65">
        <f t="shared" si="68"/>
        <v>0.9</v>
      </c>
      <c r="J540" s="66">
        <v>0.9</v>
      </c>
      <c r="K540" s="65">
        <f t="shared" si="66"/>
        <v>9.9999999999999978E-2</v>
      </c>
      <c r="L540" s="28">
        <f t="shared" si="69"/>
        <v>1.6273588824307381E-2</v>
      </c>
      <c r="M540" s="71">
        <f t="shared" si="72"/>
        <v>-9.2459420587626129E-4</v>
      </c>
      <c r="N540" s="51">
        <v>40787</v>
      </c>
      <c r="O540" s="77">
        <f t="shared" si="70"/>
        <v>0.29026439202947757</v>
      </c>
      <c r="P540" s="39">
        <f t="shared" si="71"/>
        <v>0.22541928926072163</v>
      </c>
    </row>
    <row r="541" spans="1:16" x14ac:dyDescent="0.3">
      <c r="A541" s="18">
        <v>40788</v>
      </c>
      <c r="B541" s="15">
        <v>24065</v>
      </c>
      <c r="C541" s="15">
        <v>53320</v>
      </c>
      <c r="D541" s="16">
        <v>1867.75</v>
      </c>
      <c r="E541" s="28">
        <f t="shared" si="65"/>
        <v>-1.0078157136980681E-2</v>
      </c>
      <c r="F541" s="39">
        <f t="shared" si="65"/>
        <v>4.6908715639371046E-4</v>
      </c>
      <c r="H541" s="64">
        <f t="shared" si="67"/>
        <v>0.7</v>
      </c>
      <c r="I541" s="65">
        <f t="shared" si="68"/>
        <v>0.9</v>
      </c>
      <c r="J541" s="66">
        <v>0.7</v>
      </c>
      <c r="K541" s="65">
        <f t="shared" si="66"/>
        <v>0.30000000000000004</v>
      </c>
      <c r="L541" s="28">
        <f t="shared" si="69"/>
        <v>-7.1912882679264767E-4</v>
      </c>
      <c r="M541" s="71">
        <f t="shared" si="72"/>
        <v>-6.9139838489683629E-3</v>
      </c>
      <c r="N541" s="50">
        <v>40788</v>
      </c>
      <c r="O541" s="77">
        <f t="shared" si="70"/>
        <v>0.28335040818050922</v>
      </c>
      <c r="P541" s="39">
        <f t="shared" si="71"/>
        <v>0.21698137795326899</v>
      </c>
    </row>
    <row r="542" spans="1:16" x14ac:dyDescent="0.3">
      <c r="A542" s="17">
        <v>40791</v>
      </c>
      <c r="B542" s="13">
        <v>23010</v>
      </c>
      <c r="C542" s="13">
        <v>53470</v>
      </c>
      <c r="D542" s="14">
        <v>1785.83</v>
      </c>
      <c r="E542" s="28">
        <f t="shared" si="65"/>
        <v>-4.3839601080407187E-2</v>
      </c>
      <c r="F542" s="39">
        <f t="shared" si="65"/>
        <v>2.8132033008252399E-3</v>
      </c>
      <c r="H542" s="64">
        <f t="shared" si="67"/>
        <v>0.7</v>
      </c>
      <c r="I542" s="65">
        <f t="shared" si="68"/>
        <v>0.9</v>
      </c>
      <c r="J542" s="66">
        <v>0.7</v>
      </c>
      <c r="K542" s="65">
        <f t="shared" si="66"/>
        <v>0.30000000000000004</v>
      </c>
      <c r="L542" s="28">
        <f t="shared" si="69"/>
        <v>-6.9139838489683629E-3</v>
      </c>
      <c r="M542" s="71">
        <f t="shared" si="72"/>
        <v>-2.9843759766037457E-2</v>
      </c>
      <c r="N542" s="51">
        <v>40791</v>
      </c>
      <c r="O542" s="77">
        <f t="shared" si="70"/>
        <v>0.25350664841447174</v>
      </c>
      <c r="P542" s="39">
        <f t="shared" si="71"/>
        <v>0.16360425870179962</v>
      </c>
    </row>
    <row r="543" spans="1:16" x14ac:dyDescent="0.3">
      <c r="A543" s="17">
        <v>40792</v>
      </c>
      <c r="B543" s="13">
        <v>22825</v>
      </c>
      <c r="C543" s="13">
        <v>53505</v>
      </c>
      <c r="D543" s="14">
        <v>1766.71</v>
      </c>
      <c r="E543" s="28">
        <f t="shared" si="65"/>
        <v>-8.0399826162538268E-3</v>
      </c>
      <c r="F543" s="39">
        <f t="shared" si="65"/>
        <v>6.5457265756507788E-4</v>
      </c>
      <c r="H543" s="64">
        <f t="shared" si="67"/>
        <v>0.9</v>
      </c>
      <c r="I543" s="65">
        <f t="shared" si="68"/>
        <v>1</v>
      </c>
      <c r="J543" s="66">
        <v>0.9</v>
      </c>
      <c r="K543" s="65">
        <f t="shared" si="66"/>
        <v>9.9999999999999978E-2</v>
      </c>
      <c r="L543" s="28">
        <f t="shared" si="69"/>
        <v>-3.9174320642283947E-2</v>
      </c>
      <c r="M543" s="71">
        <f t="shared" si="72"/>
        <v>-7.170527088871937E-3</v>
      </c>
      <c r="N543" s="51">
        <v>40792</v>
      </c>
      <c r="O543" s="77">
        <f t="shared" si="70"/>
        <v>0.24633612132559979</v>
      </c>
      <c r="P543" s="39">
        <f t="shared" si="71"/>
        <v>0.1511461224702555</v>
      </c>
    </row>
    <row r="544" spans="1:16" x14ac:dyDescent="0.3">
      <c r="A544" s="18">
        <v>40793</v>
      </c>
      <c r="B544" s="15">
        <v>23750</v>
      </c>
      <c r="C544" s="15">
        <v>53450</v>
      </c>
      <c r="D544" s="70">
        <v>1833.46</v>
      </c>
      <c r="E544" s="71">
        <f t="shared" si="65"/>
        <v>4.0525739320919962E-2</v>
      </c>
      <c r="F544" s="39">
        <f t="shared" si="65"/>
        <v>-1.0279413138959415E-3</v>
      </c>
      <c r="H544" s="64">
        <f t="shared" si="67"/>
        <v>0.9</v>
      </c>
      <c r="I544" s="65">
        <f t="shared" si="68"/>
        <v>1</v>
      </c>
      <c r="J544" s="66">
        <v>0.9</v>
      </c>
      <c r="K544" s="65">
        <f t="shared" si="66"/>
        <v>9.9999999999999978E-2</v>
      </c>
      <c r="L544" s="28">
        <f t="shared" si="69"/>
        <v>-7.170527088871937E-3</v>
      </c>
      <c r="M544" s="71">
        <f t="shared" si="72"/>
        <v>3.6370371257438368E-2</v>
      </c>
      <c r="N544" s="50">
        <v>40793</v>
      </c>
      <c r="O544" s="77">
        <f t="shared" si="70"/>
        <v>0.28270649258303815</v>
      </c>
      <c r="P544" s="39">
        <f t="shared" si="71"/>
        <v>0.19463883133299453</v>
      </c>
    </row>
    <row r="545" spans="1:16" x14ac:dyDescent="0.3">
      <c r="A545" s="17">
        <v>40794</v>
      </c>
      <c r="B545" s="13">
        <v>23865</v>
      </c>
      <c r="C545" s="13">
        <v>53490</v>
      </c>
      <c r="D545" s="14">
        <v>1846.64</v>
      </c>
      <c r="E545" s="28">
        <f t="shared" si="65"/>
        <v>4.8421052631579808E-3</v>
      </c>
      <c r="F545" s="39">
        <f t="shared" si="65"/>
        <v>7.4836295603364356E-4</v>
      </c>
      <c r="H545" s="64">
        <f t="shared" si="67"/>
        <v>0.9</v>
      </c>
      <c r="I545" s="65">
        <f t="shared" si="68"/>
        <v>1</v>
      </c>
      <c r="J545" s="66">
        <v>1</v>
      </c>
      <c r="K545" s="65">
        <f t="shared" si="66"/>
        <v>0</v>
      </c>
      <c r="L545" s="28">
        <f t="shared" si="69"/>
        <v>4.0525739320919962E-2</v>
      </c>
      <c r="M545" s="71">
        <f t="shared" si="72"/>
        <v>4.8421052631579808E-3</v>
      </c>
      <c r="N545" s="51">
        <v>40794</v>
      </c>
      <c r="O545" s="77">
        <f t="shared" si="70"/>
        <v>0.28754859784619613</v>
      </c>
      <c r="P545" s="39">
        <f t="shared" si="71"/>
        <v>0.20322660515787705</v>
      </c>
    </row>
    <row r="546" spans="1:16" x14ac:dyDescent="0.3">
      <c r="A546" s="18">
        <v>40795</v>
      </c>
      <c r="B546" s="15">
        <v>23400</v>
      </c>
      <c r="C546" s="15">
        <v>53515</v>
      </c>
      <c r="D546" s="16">
        <v>1812.93</v>
      </c>
      <c r="E546" s="28">
        <f t="shared" si="65"/>
        <v>-1.9484600879949743E-2</v>
      </c>
      <c r="F546" s="39">
        <f t="shared" si="65"/>
        <v>4.6737707982802412E-4</v>
      </c>
      <c r="H546" s="64">
        <f t="shared" si="67"/>
        <v>0.9</v>
      </c>
      <c r="I546" s="65">
        <f t="shared" si="68"/>
        <v>1</v>
      </c>
      <c r="J546" s="66">
        <v>1</v>
      </c>
      <c r="K546" s="65">
        <f t="shared" si="66"/>
        <v>0</v>
      </c>
      <c r="L546" s="28">
        <f t="shared" si="69"/>
        <v>4.8421052631579808E-3</v>
      </c>
      <c r="M546" s="71">
        <f t="shared" si="72"/>
        <v>-1.9484600879949743E-2</v>
      </c>
      <c r="N546" s="50">
        <v>40795</v>
      </c>
      <c r="O546" s="77">
        <f t="shared" si="70"/>
        <v>0.26806399696624639</v>
      </c>
      <c r="P546" s="39">
        <f t="shared" si="71"/>
        <v>0.1812619727119904</v>
      </c>
    </row>
    <row r="547" spans="1:16" x14ac:dyDescent="0.3">
      <c r="A547" s="17">
        <v>40800</v>
      </c>
      <c r="B547" s="13">
        <v>22700</v>
      </c>
      <c r="C547" s="13">
        <v>53295</v>
      </c>
      <c r="D547" s="14">
        <v>1749.16</v>
      </c>
      <c r="E547" s="28">
        <f t="shared" si="65"/>
        <v>-2.9914529914529919E-2</v>
      </c>
      <c r="F547" s="39">
        <f t="shared" si="65"/>
        <v>-4.1109969167523186E-3</v>
      </c>
      <c r="H547" s="64">
        <f t="shared" si="67"/>
        <v>0.9</v>
      </c>
      <c r="I547" s="65">
        <f t="shared" si="68"/>
        <v>1</v>
      </c>
      <c r="J547" s="66">
        <v>0.9</v>
      </c>
      <c r="K547" s="65">
        <f t="shared" si="66"/>
        <v>9.9999999999999978E-2</v>
      </c>
      <c r="L547" s="28">
        <f t="shared" si="69"/>
        <v>-1.7489403083971965E-2</v>
      </c>
      <c r="M547" s="71">
        <f t="shared" si="72"/>
        <v>-2.7334176614752161E-2</v>
      </c>
      <c r="N547" s="51">
        <v>40800</v>
      </c>
      <c r="O547" s="77">
        <f t="shared" si="70"/>
        <v>0.24072982035149423</v>
      </c>
      <c r="P547" s="39">
        <f t="shared" si="71"/>
        <v>0.13971096081420953</v>
      </c>
    </row>
    <row r="548" spans="1:16" x14ac:dyDescent="0.3">
      <c r="A548" s="17">
        <v>40801</v>
      </c>
      <c r="B548" s="13">
        <v>23010</v>
      </c>
      <c r="C548" s="13">
        <v>53200</v>
      </c>
      <c r="D548" s="14">
        <v>1774.08</v>
      </c>
      <c r="E548" s="28">
        <f t="shared" si="65"/>
        <v>1.3656387665198277E-2</v>
      </c>
      <c r="F548" s="39">
        <f t="shared" si="65"/>
        <v>-1.7825311942959443E-3</v>
      </c>
      <c r="H548" s="64">
        <f t="shared" si="67"/>
        <v>0.9</v>
      </c>
      <c r="I548" s="65">
        <f t="shared" si="68"/>
        <v>1</v>
      </c>
      <c r="J548" s="66">
        <v>0.9</v>
      </c>
      <c r="K548" s="65">
        <f t="shared" si="66"/>
        <v>9.9999999999999978E-2</v>
      </c>
      <c r="L548" s="28">
        <f t="shared" si="69"/>
        <v>-2.7334176614752161E-2</v>
      </c>
      <c r="M548" s="71">
        <f t="shared" si="72"/>
        <v>1.2112495779248856E-2</v>
      </c>
      <c r="N548" s="51">
        <v>40801</v>
      </c>
      <c r="O548" s="77">
        <f t="shared" si="70"/>
        <v>0.25284231613074309</v>
      </c>
      <c r="P548" s="39">
        <f t="shared" si="71"/>
        <v>0.15594823878963204</v>
      </c>
    </row>
    <row r="549" spans="1:16" x14ac:dyDescent="0.3">
      <c r="A549" s="18">
        <v>40802</v>
      </c>
      <c r="B549" s="15">
        <v>23885</v>
      </c>
      <c r="C549" s="15">
        <v>53155</v>
      </c>
      <c r="D549" s="70">
        <v>1840.1</v>
      </c>
      <c r="E549" s="71">
        <f t="shared" si="65"/>
        <v>3.8026944806605734E-2</v>
      </c>
      <c r="F549" s="39">
        <f t="shared" si="65"/>
        <v>-8.4586466165414986E-4</v>
      </c>
      <c r="H549" s="64">
        <f t="shared" si="67"/>
        <v>0.9</v>
      </c>
      <c r="I549" s="65">
        <f t="shared" si="68"/>
        <v>1</v>
      </c>
      <c r="J549" s="66">
        <v>1</v>
      </c>
      <c r="K549" s="65">
        <f t="shared" si="66"/>
        <v>0</v>
      </c>
      <c r="L549" s="28">
        <f t="shared" si="69"/>
        <v>1.3656387665198277E-2</v>
      </c>
      <c r="M549" s="71">
        <f t="shared" si="72"/>
        <v>3.8026944806605734E-2</v>
      </c>
      <c r="N549" s="50">
        <v>40802</v>
      </c>
      <c r="O549" s="77">
        <f t="shared" si="70"/>
        <v>0.29086926093734883</v>
      </c>
      <c r="P549" s="39">
        <f t="shared" si="71"/>
        <v>0.19896529705357247</v>
      </c>
    </row>
    <row r="550" spans="1:16" x14ac:dyDescent="0.3">
      <c r="A550" s="17">
        <v>40805</v>
      </c>
      <c r="B550" s="13">
        <v>23680</v>
      </c>
      <c r="C550" s="13">
        <v>53005</v>
      </c>
      <c r="D550" s="14">
        <v>1820.94</v>
      </c>
      <c r="E550" s="28">
        <f t="shared" si="65"/>
        <v>-8.582792547624063E-3</v>
      </c>
      <c r="F550" s="39">
        <f t="shared" si="65"/>
        <v>-2.82193584799173E-3</v>
      </c>
      <c r="H550" s="64">
        <f t="shared" si="67"/>
        <v>0.9</v>
      </c>
      <c r="I550" s="65">
        <f t="shared" si="68"/>
        <v>1</v>
      </c>
      <c r="J550" s="66">
        <v>1</v>
      </c>
      <c r="K550" s="65">
        <f t="shared" si="66"/>
        <v>0</v>
      </c>
      <c r="L550" s="28">
        <f t="shared" si="69"/>
        <v>3.8026944806605734E-2</v>
      </c>
      <c r="M550" s="71">
        <f t="shared" si="72"/>
        <v>-8.582792547624063E-3</v>
      </c>
      <c r="N550" s="51">
        <v>40805</v>
      </c>
      <c r="O550" s="77">
        <f t="shared" si="70"/>
        <v>0.28228646838972477</v>
      </c>
      <c r="P550" s="39">
        <f t="shared" si="71"/>
        <v>0.18648109777551891</v>
      </c>
    </row>
    <row r="551" spans="1:16" x14ac:dyDescent="0.3">
      <c r="A551" s="18">
        <v>40806</v>
      </c>
      <c r="B551" s="15">
        <v>23930</v>
      </c>
      <c r="C551" s="15">
        <v>53035</v>
      </c>
      <c r="D551" s="16">
        <v>1837.97</v>
      </c>
      <c r="E551" s="28">
        <f t="shared" si="65"/>
        <v>1.0557432432432456E-2</v>
      </c>
      <c r="F551" s="39">
        <f t="shared" si="65"/>
        <v>5.6598434109988993E-4</v>
      </c>
      <c r="H551" s="64">
        <f t="shared" si="67"/>
        <v>0.9</v>
      </c>
      <c r="I551" s="65">
        <f t="shared" si="68"/>
        <v>1</v>
      </c>
      <c r="J551" s="66">
        <v>0.9</v>
      </c>
      <c r="K551" s="65">
        <f t="shared" si="66"/>
        <v>9.9999999999999978E-2</v>
      </c>
      <c r="L551" s="28">
        <f t="shared" si="69"/>
        <v>-8.00670687766083E-3</v>
      </c>
      <c r="M551" s="71">
        <f t="shared" si="72"/>
        <v>9.5582876232992008E-3</v>
      </c>
      <c r="N551" s="50">
        <v>40806</v>
      </c>
      <c r="O551" s="77">
        <f t="shared" si="70"/>
        <v>0.29184475601302395</v>
      </c>
      <c r="P551" s="39">
        <f t="shared" si="71"/>
        <v>0.19757743982694143</v>
      </c>
    </row>
    <row r="552" spans="1:16" x14ac:dyDescent="0.3">
      <c r="A552" s="17">
        <v>40807</v>
      </c>
      <c r="B552" s="13">
        <v>24130</v>
      </c>
      <c r="C552" s="13">
        <v>52995</v>
      </c>
      <c r="D552" s="14">
        <v>1854.28</v>
      </c>
      <c r="E552" s="28">
        <f t="shared" si="65"/>
        <v>8.3577099874634353E-3</v>
      </c>
      <c r="F552" s="39">
        <f t="shared" si="65"/>
        <v>-7.5421891203919511E-4</v>
      </c>
      <c r="H552" s="64">
        <f t="shared" si="67"/>
        <v>0.9</v>
      </c>
      <c r="I552" s="65">
        <f t="shared" si="68"/>
        <v>1</v>
      </c>
      <c r="J552" s="66">
        <v>1</v>
      </c>
      <c r="K552" s="65">
        <f t="shared" si="66"/>
        <v>0</v>
      </c>
      <c r="L552" s="28">
        <f t="shared" si="69"/>
        <v>1.0557432432432456E-2</v>
      </c>
      <c r="M552" s="71">
        <f t="shared" si="72"/>
        <v>8.3577099874634353E-3</v>
      </c>
      <c r="N552" s="51">
        <v>40807</v>
      </c>
      <c r="O552" s="77">
        <f t="shared" si="70"/>
        <v>0.30020246600048739</v>
      </c>
      <c r="P552" s="39">
        <f t="shared" si="71"/>
        <v>0.20820464704119268</v>
      </c>
    </row>
    <row r="553" spans="1:16" x14ac:dyDescent="0.3">
      <c r="A553" s="17">
        <v>40808</v>
      </c>
      <c r="B553" s="13">
        <v>23285</v>
      </c>
      <c r="C553" s="13">
        <v>53015</v>
      </c>
      <c r="D553" s="14">
        <v>1800.55</v>
      </c>
      <c r="E553" s="28">
        <f t="shared" si="65"/>
        <v>-3.5018648984666445E-2</v>
      </c>
      <c r="F553" s="39">
        <f t="shared" si="65"/>
        <v>3.7739409378234612E-4</v>
      </c>
      <c r="H553" s="64">
        <f t="shared" si="67"/>
        <v>0.7</v>
      </c>
      <c r="I553" s="65">
        <f t="shared" si="68"/>
        <v>0.9</v>
      </c>
      <c r="J553" s="66">
        <v>0.9</v>
      </c>
      <c r="K553" s="65">
        <f t="shared" si="66"/>
        <v>9.9999999999999978E-2</v>
      </c>
      <c r="L553" s="28">
        <f t="shared" si="69"/>
        <v>7.4465170975131726E-3</v>
      </c>
      <c r="M553" s="71">
        <f t="shared" si="72"/>
        <v>-3.1479044676821569E-2</v>
      </c>
      <c r="N553" s="51">
        <v>40808</v>
      </c>
      <c r="O553" s="77">
        <f t="shared" si="70"/>
        <v>0.26872342132366583</v>
      </c>
      <c r="P553" s="39">
        <f t="shared" si="71"/>
        <v>0.173195459817298</v>
      </c>
    </row>
    <row r="554" spans="1:16" x14ac:dyDescent="0.3">
      <c r="A554" s="18">
        <v>40809</v>
      </c>
      <c r="B554" s="15">
        <v>22030</v>
      </c>
      <c r="C554" s="15">
        <v>53110</v>
      </c>
      <c r="D554" s="70">
        <v>1697.44</v>
      </c>
      <c r="E554" s="71">
        <f t="shared" si="65"/>
        <v>-5.3897358814687601E-2</v>
      </c>
      <c r="F554" s="39">
        <f t="shared" si="65"/>
        <v>1.7919456757522489E-3</v>
      </c>
      <c r="H554" s="64">
        <f t="shared" si="67"/>
        <v>0.9</v>
      </c>
      <c r="I554" s="65">
        <f t="shared" si="68"/>
        <v>1</v>
      </c>
      <c r="J554" s="66">
        <v>0.9</v>
      </c>
      <c r="K554" s="65">
        <f t="shared" si="66"/>
        <v>9.9999999999999978E-2</v>
      </c>
      <c r="L554" s="28">
        <f t="shared" si="69"/>
        <v>-3.1479044676821569E-2</v>
      </c>
      <c r="M554" s="71">
        <f t="shared" si="72"/>
        <v>-4.8328428365643619E-2</v>
      </c>
      <c r="N554" s="50">
        <v>40809</v>
      </c>
      <c r="O554" s="77">
        <f t="shared" si="70"/>
        <v>0.22039499295802223</v>
      </c>
      <c r="P554" s="39">
        <f t="shared" si="71"/>
        <v>0.10601144167741761</v>
      </c>
    </row>
    <row r="555" spans="1:16" x14ac:dyDescent="0.3">
      <c r="A555" s="17">
        <v>40812</v>
      </c>
      <c r="B555" s="13">
        <v>21545</v>
      </c>
      <c r="C555" s="13">
        <v>53100</v>
      </c>
      <c r="D555" s="14">
        <v>1652.71</v>
      </c>
      <c r="E555" s="28">
        <f t="shared" si="65"/>
        <v>-2.2015433499773085E-2</v>
      </c>
      <c r="F555" s="39">
        <f t="shared" si="65"/>
        <v>-1.8828845791751814E-4</v>
      </c>
      <c r="H555" s="64">
        <f t="shared" si="67"/>
        <v>0.9</v>
      </c>
      <c r="I555" s="65">
        <f t="shared" si="68"/>
        <v>1</v>
      </c>
      <c r="J555" s="66">
        <v>0.9</v>
      </c>
      <c r="K555" s="65">
        <f t="shared" si="66"/>
        <v>9.9999999999999978E-2</v>
      </c>
      <c r="L555" s="28">
        <f t="shared" si="69"/>
        <v>-4.8328428365643619E-2</v>
      </c>
      <c r="M555" s="71">
        <f t="shared" si="72"/>
        <v>-1.9832718995587528E-2</v>
      </c>
      <c r="N555" s="51">
        <v>40812</v>
      </c>
      <c r="O555" s="77">
        <f t="shared" si="70"/>
        <v>0.2005622739624347</v>
      </c>
      <c r="P555" s="39">
        <f t="shared" si="71"/>
        <v>7.6866439918162E-2</v>
      </c>
    </row>
    <row r="556" spans="1:16" x14ac:dyDescent="0.3">
      <c r="A556" s="18">
        <v>40813</v>
      </c>
      <c r="B556" s="15">
        <v>22700</v>
      </c>
      <c r="C556" s="15">
        <v>53175</v>
      </c>
      <c r="D556" s="16">
        <v>1735.71</v>
      </c>
      <c r="E556" s="28">
        <f t="shared" si="65"/>
        <v>5.3608725922487777E-2</v>
      </c>
      <c r="F556" s="39">
        <f t="shared" si="65"/>
        <v>1.4124293785311437E-3</v>
      </c>
      <c r="H556" s="64">
        <f t="shared" si="67"/>
        <v>0.9</v>
      </c>
      <c r="I556" s="65">
        <f t="shared" si="68"/>
        <v>1</v>
      </c>
      <c r="J556" s="66">
        <v>0.9</v>
      </c>
      <c r="K556" s="65">
        <f t="shared" si="66"/>
        <v>9.9999999999999978E-2</v>
      </c>
      <c r="L556" s="28">
        <f t="shared" si="69"/>
        <v>-1.9832718995587528E-2</v>
      </c>
      <c r="M556" s="71">
        <f t="shared" si="72"/>
        <v>4.8389096268092117E-2</v>
      </c>
      <c r="N556" s="50">
        <v>40813</v>
      </c>
      <c r="O556" s="77">
        <f t="shared" si="70"/>
        <v>0.24895137023052683</v>
      </c>
      <c r="P556" s="39">
        <f t="shared" si="71"/>
        <v>0.13094726142538793</v>
      </c>
    </row>
    <row r="557" spans="1:16" x14ac:dyDescent="0.3">
      <c r="A557" s="17">
        <v>40814</v>
      </c>
      <c r="B557" s="13">
        <v>22455</v>
      </c>
      <c r="C557" s="13">
        <v>53015</v>
      </c>
      <c r="D557" s="14">
        <v>1723.09</v>
      </c>
      <c r="E557" s="28">
        <f t="shared" si="65"/>
        <v>-1.0792951541850226E-2</v>
      </c>
      <c r="F557" s="39">
        <f t="shared" si="65"/>
        <v>-3.0089327691584788E-3</v>
      </c>
      <c r="H557" s="64">
        <f t="shared" si="67"/>
        <v>0.9</v>
      </c>
      <c r="I557" s="65">
        <f t="shared" si="68"/>
        <v>1</v>
      </c>
      <c r="J557" s="66">
        <v>1</v>
      </c>
      <c r="K557" s="65">
        <f t="shared" si="66"/>
        <v>0</v>
      </c>
      <c r="L557" s="28">
        <f t="shared" si="69"/>
        <v>5.3608725922487777E-2</v>
      </c>
      <c r="M557" s="71">
        <f t="shared" si="72"/>
        <v>-1.0792951541850226E-2</v>
      </c>
      <c r="N557" s="51">
        <v>40814</v>
      </c>
      <c r="O557" s="77">
        <f t="shared" si="70"/>
        <v>0.2381584186886766</v>
      </c>
      <c r="P557" s="39">
        <f t="shared" si="71"/>
        <v>0.12272437025163874</v>
      </c>
    </row>
    <row r="558" spans="1:16" x14ac:dyDescent="0.3">
      <c r="A558" s="17">
        <v>40815</v>
      </c>
      <c r="B558" s="13">
        <v>23100</v>
      </c>
      <c r="C558" s="13">
        <v>53015</v>
      </c>
      <c r="D558" s="14">
        <v>1769.29</v>
      </c>
      <c r="E558" s="28">
        <f t="shared" si="65"/>
        <v>2.8724114896459652E-2</v>
      </c>
      <c r="F558" s="39">
        <f t="shared" si="65"/>
        <v>0</v>
      </c>
      <c r="H558" s="64">
        <f t="shared" si="67"/>
        <v>0.9</v>
      </c>
      <c r="I558" s="65">
        <f t="shared" si="68"/>
        <v>1</v>
      </c>
      <c r="J558" s="66">
        <v>0.9</v>
      </c>
      <c r="K558" s="65">
        <f t="shared" si="66"/>
        <v>9.9999999999999978E-2</v>
      </c>
      <c r="L558" s="28">
        <f t="shared" si="69"/>
        <v>-1.0014549664581053E-2</v>
      </c>
      <c r="M558" s="71">
        <f t="shared" si="72"/>
        <v>2.5851703406813687E-2</v>
      </c>
      <c r="N558" s="51">
        <v>40815</v>
      </c>
      <c r="O558" s="77">
        <f t="shared" si="70"/>
        <v>0.2640101220954903</v>
      </c>
      <c r="P558" s="39">
        <f t="shared" si="71"/>
        <v>0.15282718897011871</v>
      </c>
    </row>
    <row r="559" spans="1:16" x14ac:dyDescent="0.3">
      <c r="A559" s="18">
        <v>40816</v>
      </c>
      <c r="B559" s="15">
        <v>23120</v>
      </c>
      <c r="C559" s="15">
        <v>53070</v>
      </c>
      <c r="D559" s="70">
        <v>1769.65</v>
      </c>
      <c r="E559" s="71">
        <f t="shared" si="65"/>
        <v>8.658008658009031E-4</v>
      </c>
      <c r="F559" s="39">
        <f t="shared" si="65"/>
        <v>1.0374422333301325E-3</v>
      </c>
      <c r="H559" s="64">
        <f t="shared" si="67"/>
        <v>0.9</v>
      </c>
      <c r="I559" s="65">
        <f t="shared" si="68"/>
        <v>1</v>
      </c>
      <c r="J559" s="66">
        <v>1</v>
      </c>
      <c r="K559" s="65">
        <f t="shared" si="66"/>
        <v>0</v>
      </c>
      <c r="L559" s="28">
        <f t="shared" si="69"/>
        <v>2.8724114896459652E-2</v>
      </c>
      <c r="M559" s="71">
        <f t="shared" si="72"/>
        <v>8.658008658009031E-4</v>
      </c>
      <c r="N559" s="50">
        <v>40816</v>
      </c>
      <c r="O559" s="77">
        <f t="shared" si="70"/>
        <v>0.2648759229612912</v>
      </c>
      <c r="P559" s="39">
        <f t="shared" si="71"/>
        <v>0.15306175638870423</v>
      </c>
    </row>
    <row r="560" spans="1:16" x14ac:dyDescent="0.3">
      <c r="A560" s="17">
        <v>40820</v>
      </c>
      <c r="B560" s="13">
        <v>22335</v>
      </c>
      <c r="C560" s="13">
        <v>53190</v>
      </c>
      <c r="D560" s="14">
        <v>1706.19</v>
      </c>
      <c r="E560" s="28">
        <f t="shared" si="65"/>
        <v>-3.3953287197231785E-2</v>
      </c>
      <c r="F560" s="39">
        <f t="shared" si="65"/>
        <v>2.2611644997172498E-3</v>
      </c>
      <c r="H560" s="64">
        <f t="shared" si="67"/>
        <v>0.9</v>
      </c>
      <c r="I560" s="65">
        <f t="shared" si="68"/>
        <v>1</v>
      </c>
      <c r="J560" s="66">
        <v>0.9</v>
      </c>
      <c r="K560" s="65">
        <f t="shared" si="66"/>
        <v>9.9999999999999978E-2</v>
      </c>
      <c r="L560" s="28">
        <f t="shared" si="69"/>
        <v>8.8296500255382606E-4</v>
      </c>
      <c r="M560" s="71">
        <f t="shared" si="72"/>
        <v>-3.0331842027536884E-2</v>
      </c>
      <c r="N560" s="51">
        <v>40820</v>
      </c>
      <c r="O560" s="77">
        <f t="shared" si="70"/>
        <v>0.23454408093375431</v>
      </c>
      <c r="P560" s="39">
        <f t="shared" si="71"/>
        <v>0.11171273310137231</v>
      </c>
    </row>
    <row r="561" spans="1:16" x14ac:dyDescent="0.3">
      <c r="A561" s="18">
        <v>40821</v>
      </c>
      <c r="B561" s="15">
        <v>21910</v>
      </c>
      <c r="C561" s="15">
        <v>53240</v>
      </c>
      <c r="D561" s="16">
        <v>1666.52</v>
      </c>
      <c r="E561" s="28">
        <f t="shared" si="65"/>
        <v>-1.9028430714125855E-2</v>
      </c>
      <c r="F561" s="39">
        <f t="shared" si="65"/>
        <v>9.4002632073708625E-4</v>
      </c>
      <c r="H561" s="64">
        <f t="shared" si="67"/>
        <v>0.9</v>
      </c>
      <c r="I561" s="65">
        <f t="shared" si="68"/>
        <v>1</v>
      </c>
      <c r="J561" s="66">
        <v>0.9</v>
      </c>
      <c r="K561" s="65">
        <f t="shared" si="66"/>
        <v>9.9999999999999978E-2</v>
      </c>
      <c r="L561" s="28">
        <f t="shared" si="69"/>
        <v>-3.0331842027536884E-2</v>
      </c>
      <c r="M561" s="71">
        <f t="shared" si="72"/>
        <v>-1.7031585010639561E-2</v>
      </c>
      <c r="N561" s="50">
        <v>40821</v>
      </c>
      <c r="O561" s="77">
        <f t="shared" si="70"/>
        <v>0.21751249592311475</v>
      </c>
      <c r="P561" s="39">
        <f t="shared" si="71"/>
        <v>8.5864706725569118E-2</v>
      </c>
    </row>
    <row r="562" spans="1:16" x14ac:dyDescent="0.3">
      <c r="A562" s="17">
        <v>40822</v>
      </c>
      <c r="B562" s="13">
        <v>22500</v>
      </c>
      <c r="C562" s="13">
        <v>53215</v>
      </c>
      <c r="D562" s="14">
        <v>1710.32</v>
      </c>
      <c r="E562" s="28">
        <f t="shared" si="65"/>
        <v>2.6928343222272888E-2</v>
      </c>
      <c r="F562" s="39">
        <f t="shared" si="65"/>
        <v>-4.695717505635022E-4</v>
      </c>
      <c r="H562" s="64">
        <f t="shared" si="67"/>
        <v>0.9</v>
      </c>
      <c r="I562" s="65">
        <f t="shared" si="68"/>
        <v>1</v>
      </c>
      <c r="J562" s="66">
        <v>0.9</v>
      </c>
      <c r="K562" s="65">
        <f t="shared" si="66"/>
        <v>9.9999999999999978E-2</v>
      </c>
      <c r="L562" s="28">
        <f t="shared" si="69"/>
        <v>-1.7031585010639561E-2</v>
      </c>
      <c r="M562" s="71">
        <f t="shared" si="72"/>
        <v>2.4188551724989248E-2</v>
      </c>
      <c r="N562" s="51">
        <v>40822</v>
      </c>
      <c r="O562" s="77">
        <f t="shared" si="70"/>
        <v>0.24170104764810399</v>
      </c>
      <c r="P562" s="39">
        <f t="shared" si="71"/>
        <v>0.11440374265347875</v>
      </c>
    </row>
    <row r="563" spans="1:16" x14ac:dyDescent="0.3">
      <c r="A563" s="17">
        <v>40823</v>
      </c>
      <c r="B563" s="13">
        <v>23150</v>
      </c>
      <c r="C563" s="13">
        <v>53240</v>
      </c>
      <c r="D563" s="14">
        <v>1759.77</v>
      </c>
      <c r="E563" s="28">
        <f t="shared" si="65"/>
        <v>2.8888888888888964E-2</v>
      </c>
      <c r="F563" s="39">
        <f t="shared" si="65"/>
        <v>4.6979235178046252E-4</v>
      </c>
      <c r="H563" s="64">
        <f t="shared" si="67"/>
        <v>0.9</v>
      </c>
      <c r="I563" s="65">
        <f t="shared" si="68"/>
        <v>1</v>
      </c>
      <c r="J563" s="66">
        <v>1</v>
      </c>
      <c r="K563" s="65">
        <f t="shared" si="66"/>
        <v>0</v>
      </c>
      <c r="L563" s="28">
        <f t="shared" si="69"/>
        <v>2.6928343222272888E-2</v>
      </c>
      <c r="M563" s="71">
        <f t="shared" si="72"/>
        <v>2.8888888888888964E-2</v>
      </c>
      <c r="N563" s="51">
        <v>40823</v>
      </c>
      <c r="O563" s="77">
        <f t="shared" si="70"/>
        <v>0.27058993653699293</v>
      </c>
      <c r="P563" s="39">
        <f t="shared" si="71"/>
        <v>0.14662418390085619</v>
      </c>
    </row>
    <row r="564" spans="1:16" x14ac:dyDescent="0.3">
      <c r="A564" s="18">
        <v>40826</v>
      </c>
      <c r="B564" s="15">
        <v>23180</v>
      </c>
      <c r="C564" s="15">
        <v>53215</v>
      </c>
      <c r="D564" s="70">
        <v>1766.44</v>
      </c>
      <c r="E564" s="71">
        <f t="shared" si="65"/>
        <v>1.2958963282936331E-3</v>
      </c>
      <c r="F564" s="39">
        <f t="shared" si="65"/>
        <v>-4.695717505635022E-4</v>
      </c>
      <c r="H564" s="64">
        <f t="shared" si="67"/>
        <v>0.9</v>
      </c>
      <c r="I564" s="65">
        <f t="shared" si="68"/>
        <v>1</v>
      </c>
      <c r="J564" s="66">
        <v>1</v>
      </c>
      <c r="K564" s="65">
        <f t="shared" si="66"/>
        <v>0</v>
      </c>
      <c r="L564" s="28">
        <f t="shared" si="69"/>
        <v>2.8888888888888964E-2</v>
      </c>
      <c r="M564" s="71">
        <f t="shared" si="72"/>
        <v>1.2958963282936331E-3</v>
      </c>
      <c r="N564" s="50">
        <v>40826</v>
      </c>
      <c r="O564" s="77">
        <f t="shared" si="70"/>
        <v>0.27188583286528656</v>
      </c>
      <c r="P564" s="39">
        <f t="shared" si="71"/>
        <v>0.15097019690631641</v>
      </c>
    </row>
    <row r="565" spans="1:16" x14ac:dyDescent="0.3">
      <c r="A565" s="17">
        <v>40827</v>
      </c>
      <c r="B565" s="13">
        <v>23595</v>
      </c>
      <c r="C565" s="13">
        <v>53200</v>
      </c>
      <c r="D565" s="14">
        <v>1795.02</v>
      </c>
      <c r="E565" s="28">
        <f t="shared" si="65"/>
        <v>1.7903364969801494E-2</v>
      </c>
      <c r="F565" s="39">
        <f t="shared" si="65"/>
        <v>-2.8187541106827751E-4</v>
      </c>
      <c r="H565" s="64">
        <f t="shared" si="67"/>
        <v>0.9</v>
      </c>
      <c r="I565" s="65">
        <f t="shared" si="68"/>
        <v>1</v>
      </c>
      <c r="J565" s="66">
        <v>1</v>
      </c>
      <c r="K565" s="65">
        <f t="shared" si="66"/>
        <v>0</v>
      </c>
      <c r="L565" s="28">
        <f t="shared" si="69"/>
        <v>1.2958963282936331E-3</v>
      </c>
      <c r="M565" s="71">
        <f t="shared" si="72"/>
        <v>1.7903364969801494E-2</v>
      </c>
      <c r="N565" s="51">
        <v>40827</v>
      </c>
      <c r="O565" s="77">
        <f t="shared" si="70"/>
        <v>0.28978919783508805</v>
      </c>
      <c r="P565" s="39">
        <f t="shared" si="71"/>
        <v>0.1695922436373587</v>
      </c>
    </row>
    <row r="566" spans="1:16" x14ac:dyDescent="0.3">
      <c r="A566" s="18">
        <v>40828</v>
      </c>
      <c r="B566" s="15">
        <v>23775</v>
      </c>
      <c r="C566" s="15">
        <v>53200</v>
      </c>
      <c r="D566" s="16">
        <v>1809.5</v>
      </c>
      <c r="E566" s="28">
        <f t="shared" si="65"/>
        <v>7.6287349014620975E-3</v>
      </c>
      <c r="F566" s="39">
        <f t="shared" si="65"/>
        <v>0</v>
      </c>
      <c r="H566" s="64">
        <f t="shared" si="67"/>
        <v>0.9</v>
      </c>
      <c r="I566" s="65">
        <f t="shared" si="68"/>
        <v>1</v>
      </c>
      <c r="J566" s="66">
        <v>1</v>
      </c>
      <c r="K566" s="65">
        <f t="shared" si="66"/>
        <v>0</v>
      </c>
      <c r="L566" s="28">
        <f t="shared" si="69"/>
        <v>1.7903364969801494E-2</v>
      </c>
      <c r="M566" s="71">
        <f t="shared" si="72"/>
        <v>7.6287349014620975E-3</v>
      </c>
      <c r="N566" s="50">
        <v>40828</v>
      </c>
      <c r="O566" s="77">
        <f t="shared" si="70"/>
        <v>0.29741793273655015</v>
      </c>
      <c r="P566" s="39">
        <f t="shared" si="71"/>
        <v>0.17902706647380007</v>
      </c>
    </row>
    <row r="567" spans="1:16" x14ac:dyDescent="0.3">
      <c r="A567" s="17">
        <v>40829</v>
      </c>
      <c r="B567" s="13">
        <v>23910</v>
      </c>
      <c r="C567" s="13">
        <v>53245</v>
      </c>
      <c r="D567" s="14">
        <v>1823.1</v>
      </c>
      <c r="E567" s="28">
        <f t="shared" si="65"/>
        <v>5.6782334384857247E-3</v>
      </c>
      <c r="F567" s="39">
        <f t="shared" si="65"/>
        <v>8.4586466165403884E-4</v>
      </c>
      <c r="H567" s="64">
        <f t="shared" si="67"/>
        <v>0.9</v>
      </c>
      <c r="I567" s="65">
        <f t="shared" si="68"/>
        <v>1</v>
      </c>
      <c r="J567" s="66">
        <v>1</v>
      </c>
      <c r="K567" s="65">
        <f t="shared" si="66"/>
        <v>0</v>
      </c>
      <c r="L567" s="28">
        <f t="shared" si="69"/>
        <v>7.6287349014620975E-3</v>
      </c>
      <c r="M567" s="71">
        <f t="shared" si="72"/>
        <v>5.6782334384857247E-3</v>
      </c>
      <c r="N567" s="51">
        <v>40829</v>
      </c>
      <c r="O567" s="77">
        <f t="shared" si="70"/>
        <v>0.30309616617503587</v>
      </c>
      <c r="P567" s="39">
        <f t="shared" si="71"/>
        <v>0.18788850228703224</v>
      </c>
    </row>
    <row r="568" spans="1:16" x14ac:dyDescent="0.3">
      <c r="A568" s="17">
        <v>40830</v>
      </c>
      <c r="B568" s="13">
        <v>24045</v>
      </c>
      <c r="C568" s="13">
        <v>53325</v>
      </c>
      <c r="D568" s="14">
        <v>1835.4</v>
      </c>
      <c r="E568" s="28">
        <f t="shared" si="65"/>
        <v>5.6461731493098188E-3</v>
      </c>
      <c r="F568" s="39">
        <f t="shared" si="65"/>
        <v>1.5024884965724183E-3</v>
      </c>
      <c r="H568" s="64">
        <f t="shared" si="67"/>
        <v>0.9</v>
      </c>
      <c r="I568" s="65">
        <f t="shared" si="68"/>
        <v>1</v>
      </c>
      <c r="J568" s="66">
        <v>1</v>
      </c>
      <c r="K568" s="65">
        <f t="shared" si="66"/>
        <v>0</v>
      </c>
      <c r="L568" s="28">
        <f t="shared" si="69"/>
        <v>5.6782334384857247E-3</v>
      </c>
      <c r="M568" s="71">
        <f t="shared" si="72"/>
        <v>5.6461731493098188E-3</v>
      </c>
      <c r="N568" s="51">
        <v>40830</v>
      </c>
      <c r="O568" s="77">
        <f t="shared" si="70"/>
        <v>0.30874233932434569</v>
      </c>
      <c r="P568" s="39">
        <f t="shared" si="71"/>
        <v>0.19590288908870557</v>
      </c>
    </row>
    <row r="569" spans="1:16" x14ac:dyDescent="0.3">
      <c r="A569" s="18">
        <v>40833</v>
      </c>
      <c r="B569" s="15">
        <v>24415</v>
      </c>
      <c r="C569" s="15">
        <v>53215</v>
      </c>
      <c r="D569" s="70">
        <v>1865.18</v>
      </c>
      <c r="E569" s="71">
        <f t="shared" si="65"/>
        <v>1.5387814514452147E-2</v>
      </c>
      <c r="F569" s="39">
        <f t="shared" si="65"/>
        <v>-2.0628223159868675E-3</v>
      </c>
      <c r="H569" s="64">
        <f t="shared" si="67"/>
        <v>0.9</v>
      </c>
      <c r="I569" s="65">
        <f t="shared" si="68"/>
        <v>1</v>
      </c>
      <c r="J569" s="66">
        <v>1</v>
      </c>
      <c r="K569" s="65">
        <f t="shared" si="66"/>
        <v>0</v>
      </c>
      <c r="L569" s="28">
        <f t="shared" si="69"/>
        <v>5.6461731493098188E-3</v>
      </c>
      <c r="M569" s="71">
        <f t="shared" si="72"/>
        <v>1.5387814514452147E-2</v>
      </c>
      <c r="N569" s="50">
        <v>40833</v>
      </c>
      <c r="O569" s="77">
        <f t="shared" si="70"/>
        <v>0.32413015383879784</v>
      </c>
      <c r="P569" s="39">
        <f t="shared" si="71"/>
        <v>0.21530682721503314</v>
      </c>
    </row>
    <row r="570" spans="1:16" x14ac:dyDescent="0.3">
      <c r="A570" s="17">
        <v>40834</v>
      </c>
      <c r="B570" s="13">
        <v>24020</v>
      </c>
      <c r="C570" s="13">
        <v>53240</v>
      </c>
      <c r="D570" s="14">
        <v>1838.9</v>
      </c>
      <c r="E570" s="28">
        <f t="shared" si="65"/>
        <v>-1.6178578742576333E-2</v>
      </c>
      <c r="F570" s="39">
        <f t="shared" si="65"/>
        <v>4.6979235178046252E-4</v>
      </c>
      <c r="H570" s="64">
        <f t="shared" si="67"/>
        <v>0.7</v>
      </c>
      <c r="I570" s="65">
        <f t="shared" si="68"/>
        <v>0.9</v>
      </c>
      <c r="J570" s="66">
        <v>0.9</v>
      </c>
      <c r="K570" s="65">
        <f t="shared" si="66"/>
        <v>9.9999999999999978E-2</v>
      </c>
      <c r="L570" s="28">
        <f t="shared" si="69"/>
        <v>1.3642750831408246E-2</v>
      </c>
      <c r="M570" s="71">
        <f t="shared" si="72"/>
        <v>-1.4513741633140653E-2</v>
      </c>
      <c r="N570" s="51">
        <v>40834</v>
      </c>
      <c r="O570" s="77">
        <f t="shared" si="70"/>
        <v>0.30961641220565717</v>
      </c>
      <c r="P570" s="39">
        <f t="shared" si="71"/>
        <v>0.1981834056582874</v>
      </c>
    </row>
    <row r="571" spans="1:16" x14ac:dyDescent="0.3">
      <c r="A571" s="18">
        <v>40835</v>
      </c>
      <c r="B571" s="15">
        <v>24330</v>
      </c>
      <c r="C571" s="15">
        <v>53245</v>
      </c>
      <c r="D571" s="16">
        <v>1855.92</v>
      </c>
      <c r="E571" s="28">
        <f t="shared" si="65"/>
        <v>1.290591174021638E-2</v>
      </c>
      <c r="F571" s="39">
        <f t="shared" si="65"/>
        <v>9.3914350112633826E-5</v>
      </c>
      <c r="H571" s="64">
        <f t="shared" si="67"/>
        <v>0.9</v>
      </c>
      <c r="I571" s="65">
        <f t="shared" si="68"/>
        <v>1</v>
      </c>
      <c r="J571" s="66">
        <v>0.9</v>
      </c>
      <c r="K571" s="65">
        <f t="shared" si="66"/>
        <v>9.9999999999999978E-2</v>
      </c>
      <c r="L571" s="28">
        <f t="shared" si="69"/>
        <v>-1.4513741633140653E-2</v>
      </c>
      <c r="M571" s="71">
        <f t="shared" si="72"/>
        <v>1.1624712001206006E-2</v>
      </c>
      <c r="N571" s="50">
        <v>40835</v>
      </c>
      <c r="O571" s="77">
        <f t="shared" si="70"/>
        <v>0.32124112420686318</v>
      </c>
      <c r="P571" s="39">
        <f t="shared" si="71"/>
        <v>0.20927323194808256</v>
      </c>
    </row>
    <row r="572" spans="1:16" x14ac:dyDescent="0.3">
      <c r="A572" s="17">
        <v>40836</v>
      </c>
      <c r="B572" s="13">
        <v>23655</v>
      </c>
      <c r="C572" s="13">
        <v>53295</v>
      </c>
      <c r="D572" s="14">
        <v>1805.09</v>
      </c>
      <c r="E572" s="28">
        <f t="shared" si="65"/>
        <v>-2.7743526510480843E-2</v>
      </c>
      <c r="F572" s="39">
        <f t="shared" si="65"/>
        <v>9.3905531035787249E-4</v>
      </c>
      <c r="H572" s="64">
        <f t="shared" si="67"/>
        <v>0.7</v>
      </c>
      <c r="I572" s="65">
        <f t="shared" si="68"/>
        <v>0.9</v>
      </c>
      <c r="J572" s="66">
        <v>0.9</v>
      </c>
      <c r="K572" s="65">
        <f t="shared" si="66"/>
        <v>9.9999999999999978E-2</v>
      </c>
      <c r="L572" s="28">
        <f t="shared" si="69"/>
        <v>1.1624712001206006E-2</v>
      </c>
      <c r="M572" s="71">
        <f t="shared" si="72"/>
        <v>-2.4875268328396972E-2</v>
      </c>
      <c r="N572" s="51">
        <v>40836</v>
      </c>
      <c r="O572" s="77">
        <f t="shared" si="70"/>
        <v>0.2963658558784662</v>
      </c>
      <c r="P572" s="39">
        <f t="shared" si="71"/>
        <v>0.17615361559612697</v>
      </c>
    </row>
    <row r="573" spans="1:16" x14ac:dyDescent="0.3">
      <c r="A573" s="17">
        <v>40837</v>
      </c>
      <c r="B573" s="13">
        <v>24050</v>
      </c>
      <c r="C573" s="13">
        <v>53195</v>
      </c>
      <c r="D573" s="14">
        <v>1838.38</v>
      </c>
      <c r="E573" s="28">
        <f t="shared" si="65"/>
        <v>1.6698372437116804E-2</v>
      </c>
      <c r="F573" s="39">
        <f t="shared" si="65"/>
        <v>-1.8763486255746198E-3</v>
      </c>
      <c r="H573" s="64">
        <f t="shared" si="67"/>
        <v>0.9</v>
      </c>
      <c r="I573" s="65">
        <f t="shared" si="68"/>
        <v>1</v>
      </c>
      <c r="J573" s="66">
        <v>0.9</v>
      </c>
      <c r="K573" s="65">
        <f t="shared" si="66"/>
        <v>9.9999999999999978E-2</v>
      </c>
      <c r="L573" s="28">
        <f t="shared" si="69"/>
        <v>-2.4875268328396972E-2</v>
      </c>
      <c r="M573" s="71">
        <f t="shared" si="72"/>
        <v>1.4840900330847662E-2</v>
      </c>
      <c r="N573" s="51">
        <v>40837</v>
      </c>
      <c r="O573" s="77">
        <f t="shared" si="70"/>
        <v>0.31120675620931387</v>
      </c>
      <c r="P573" s="39">
        <f t="shared" si="71"/>
        <v>0.19784458605366395</v>
      </c>
    </row>
    <row r="574" spans="1:16" x14ac:dyDescent="0.3">
      <c r="A574" s="18">
        <v>40840</v>
      </c>
      <c r="B574" s="15">
        <v>24900</v>
      </c>
      <c r="C574" s="15">
        <v>53155</v>
      </c>
      <c r="D574" s="70">
        <v>1898.32</v>
      </c>
      <c r="E574" s="71">
        <f t="shared" si="65"/>
        <v>3.5343035343035289E-2</v>
      </c>
      <c r="F574" s="39">
        <f t="shared" si="65"/>
        <v>-7.5195037127551156E-4</v>
      </c>
      <c r="H574" s="64">
        <f t="shared" si="67"/>
        <v>0.9</v>
      </c>
      <c r="I574" s="65">
        <f t="shared" si="68"/>
        <v>1</v>
      </c>
      <c r="J574" s="66">
        <v>1</v>
      </c>
      <c r="K574" s="65">
        <f t="shared" si="66"/>
        <v>0</v>
      </c>
      <c r="L574" s="28">
        <f t="shared" si="69"/>
        <v>1.6698372437116804E-2</v>
      </c>
      <c r="M574" s="71">
        <f t="shared" si="72"/>
        <v>3.5343035343035289E-2</v>
      </c>
      <c r="N574" s="50">
        <v>40840</v>
      </c>
      <c r="O574" s="77">
        <f t="shared" si="70"/>
        <v>0.34654979155234916</v>
      </c>
      <c r="P574" s="39">
        <f t="shared" si="71"/>
        <v>0.23690006124815932</v>
      </c>
    </row>
    <row r="575" spans="1:16" x14ac:dyDescent="0.3">
      <c r="A575" s="17">
        <v>40841</v>
      </c>
      <c r="B575" s="13">
        <v>24835</v>
      </c>
      <c r="C575" s="13">
        <v>53115</v>
      </c>
      <c r="D575" s="14">
        <v>1888.65</v>
      </c>
      <c r="E575" s="28">
        <f t="shared" si="65"/>
        <v>-2.6104417670682611E-3</v>
      </c>
      <c r="F575" s="39">
        <f t="shared" si="65"/>
        <v>-7.5251622613115021E-4</v>
      </c>
      <c r="H575" s="64">
        <f t="shared" si="67"/>
        <v>0.7</v>
      </c>
      <c r="I575" s="65">
        <f t="shared" si="68"/>
        <v>0.9</v>
      </c>
      <c r="J575" s="66">
        <v>0.9</v>
      </c>
      <c r="K575" s="65">
        <f t="shared" si="66"/>
        <v>9.9999999999999978E-2</v>
      </c>
      <c r="L575" s="28">
        <f t="shared" si="69"/>
        <v>3.1733536771604211E-2</v>
      </c>
      <c r="M575" s="71">
        <f t="shared" si="72"/>
        <v>-2.42464921297455E-3</v>
      </c>
      <c r="N575" s="51">
        <v>40841</v>
      </c>
      <c r="O575" s="77">
        <f t="shared" si="70"/>
        <v>0.34412514233937463</v>
      </c>
      <c r="P575" s="39">
        <f t="shared" si="71"/>
        <v>0.23059931975448622</v>
      </c>
    </row>
    <row r="576" spans="1:16" x14ac:dyDescent="0.3">
      <c r="A576" s="18">
        <v>40842</v>
      </c>
      <c r="B576" s="15">
        <v>24875</v>
      </c>
      <c r="C576" s="15">
        <v>53210</v>
      </c>
      <c r="D576" s="16">
        <v>1894.31</v>
      </c>
      <c r="E576" s="28">
        <f t="shared" si="65"/>
        <v>1.6106301590497196E-3</v>
      </c>
      <c r="F576" s="39">
        <f t="shared" si="65"/>
        <v>1.7885719664878508E-3</v>
      </c>
      <c r="H576" s="64">
        <f t="shared" si="67"/>
        <v>0.7</v>
      </c>
      <c r="I576" s="65">
        <f t="shared" si="68"/>
        <v>0.9</v>
      </c>
      <c r="J576" s="66">
        <v>0.7</v>
      </c>
      <c r="K576" s="65">
        <f t="shared" si="66"/>
        <v>0.30000000000000004</v>
      </c>
      <c r="L576" s="28">
        <f t="shared" si="69"/>
        <v>-2.0530641047871276E-3</v>
      </c>
      <c r="M576" s="71">
        <f t="shared" si="72"/>
        <v>1.6640127012811589E-3</v>
      </c>
      <c r="N576" s="50">
        <v>40842</v>
      </c>
      <c r="O576" s="77">
        <f t="shared" si="70"/>
        <v>0.34578915504065577</v>
      </c>
      <c r="P576" s="39">
        <f t="shared" si="71"/>
        <v>0.23428724083558117</v>
      </c>
    </row>
    <row r="577" spans="1:16" x14ac:dyDescent="0.3">
      <c r="A577" s="17">
        <v>40843</v>
      </c>
      <c r="B577" s="13">
        <v>25300</v>
      </c>
      <c r="C577" s="13">
        <v>53170</v>
      </c>
      <c r="D577" s="14">
        <v>1922.04</v>
      </c>
      <c r="E577" s="28">
        <f t="shared" si="65"/>
        <v>1.7085427135678399E-2</v>
      </c>
      <c r="F577" s="39">
        <f t="shared" si="65"/>
        <v>-7.517383950385037E-4</v>
      </c>
      <c r="H577" s="64">
        <f t="shared" si="67"/>
        <v>0.7</v>
      </c>
      <c r="I577" s="65">
        <f t="shared" si="68"/>
        <v>0.9</v>
      </c>
      <c r="J577" s="66">
        <v>0.7</v>
      </c>
      <c r="K577" s="65">
        <f t="shared" si="66"/>
        <v>0.30000000000000004</v>
      </c>
      <c r="L577" s="28">
        <f t="shared" si="69"/>
        <v>1.6640127012811589E-3</v>
      </c>
      <c r="M577" s="71">
        <f t="shared" si="72"/>
        <v>1.1734277476463328E-2</v>
      </c>
      <c r="N577" s="51">
        <v>40843</v>
      </c>
      <c r="O577" s="77">
        <f t="shared" si="70"/>
        <v>0.3575234325171191</v>
      </c>
      <c r="P577" s="39">
        <f t="shared" si="71"/>
        <v>0.25235544782829655</v>
      </c>
    </row>
    <row r="578" spans="1:16" x14ac:dyDescent="0.3">
      <c r="A578" s="17">
        <v>40844</v>
      </c>
      <c r="B578" s="13">
        <v>25415</v>
      </c>
      <c r="C578" s="13">
        <v>53110</v>
      </c>
      <c r="D578" s="14">
        <v>1929.48</v>
      </c>
      <c r="E578" s="28">
        <f t="shared" si="65"/>
        <v>4.5454545454546302E-3</v>
      </c>
      <c r="F578" s="39">
        <f t="shared" si="65"/>
        <v>-1.1284558961820457E-3</v>
      </c>
      <c r="H578" s="64">
        <f t="shared" si="67"/>
        <v>0.5</v>
      </c>
      <c r="I578" s="65">
        <f t="shared" si="68"/>
        <v>0.7</v>
      </c>
      <c r="J578" s="66">
        <v>0.7</v>
      </c>
      <c r="K578" s="65">
        <f t="shared" si="66"/>
        <v>0.30000000000000004</v>
      </c>
      <c r="L578" s="28">
        <f t="shared" si="69"/>
        <v>1.1734277476463328E-2</v>
      </c>
      <c r="M578" s="71">
        <f t="shared" si="72"/>
        <v>2.8432814129636273E-3</v>
      </c>
      <c r="N578" s="51">
        <v>40844</v>
      </c>
      <c r="O578" s="77">
        <f t="shared" si="70"/>
        <v>0.36036671393008274</v>
      </c>
      <c r="P578" s="39">
        <f t="shared" si="71"/>
        <v>0.25720317447906482</v>
      </c>
    </row>
    <row r="579" spans="1:16" x14ac:dyDescent="0.3">
      <c r="A579" s="18">
        <v>40847</v>
      </c>
      <c r="B579" s="15">
        <v>25210</v>
      </c>
      <c r="C579" s="15">
        <v>53165</v>
      </c>
      <c r="D579" s="70">
        <v>1909.03</v>
      </c>
      <c r="E579" s="71">
        <f t="shared" si="65"/>
        <v>-8.0661026952587589E-3</v>
      </c>
      <c r="F579" s="39">
        <f t="shared" si="65"/>
        <v>1.0355865185465163E-3</v>
      </c>
      <c r="H579" s="64">
        <f t="shared" si="67"/>
        <v>0.5</v>
      </c>
      <c r="I579" s="65">
        <f t="shared" si="68"/>
        <v>0.7</v>
      </c>
      <c r="J579" s="66">
        <v>0.7</v>
      </c>
      <c r="K579" s="65">
        <f t="shared" si="66"/>
        <v>0.30000000000000004</v>
      </c>
      <c r="L579" s="28">
        <f t="shared" si="69"/>
        <v>2.8432814129636273E-3</v>
      </c>
      <c r="M579" s="71">
        <f t="shared" si="72"/>
        <v>-5.3355959311171758E-3</v>
      </c>
      <c r="N579" s="50">
        <v>40847</v>
      </c>
      <c r="O579" s="77">
        <f t="shared" si="70"/>
        <v>0.35503111799896558</v>
      </c>
      <c r="P579" s="39">
        <f t="shared" si="71"/>
        <v>0.24387844195107955</v>
      </c>
    </row>
    <row r="580" spans="1:16" x14ac:dyDescent="0.3">
      <c r="A580" s="17">
        <v>40848</v>
      </c>
      <c r="B580" s="13">
        <v>25125</v>
      </c>
      <c r="C580" s="13">
        <v>53260</v>
      </c>
      <c r="D580" s="14">
        <v>1909.63</v>
      </c>
      <c r="E580" s="28">
        <f t="shared" si="65"/>
        <v>-3.3716779055930068E-3</v>
      </c>
      <c r="F580" s="39">
        <f t="shared" si="65"/>
        <v>1.7868898711559389E-3</v>
      </c>
      <c r="H580" s="64">
        <f t="shared" si="67"/>
        <v>0.5</v>
      </c>
      <c r="I580" s="65">
        <f t="shared" si="68"/>
        <v>0.7</v>
      </c>
      <c r="J580" s="66">
        <v>0.5</v>
      </c>
      <c r="K580" s="65">
        <f t="shared" si="66"/>
        <v>0.5</v>
      </c>
      <c r="L580" s="28">
        <f t="shared" si="69"/>
        <v>-3.5152580883561213E-3</v>
      </c>
      <c r="M580" s="71">
        <f t="shared" si="72"/>
        <v>-7.9239401721853397E-4</v>
      </c>
      <c r="N580" s="51">
        <v>40848</v>
      </c>
      <c r="O580" s="77">
        <f t="shared" si="70"/>
        <v>0.35423872398174705</v>
      </c>
      <c r="P580" s="39">
        <f t="shared" si="71"/>
        <v>0.2442693876487223</v>
      </c>
    </row>
    <row r="581" spans="1:16" x14ac:dyDescent="0.3">
      <c r="A581" s="18">
        <v>40849</v>
      </c>
      <c r="B581" s="15">
        <v>24935</v>
      </c>
      <c r="C581" s="15">
        <v>53280</v>
      </c>
      <c r="D581" s="16">
        <v>1898.01</v>
      </c>
      <c r="E581" s="28">
        <f t="shared" si="65"/>
        <v>-7.562189054726387E-3</v>
      </c>
      <c r="F581" s="39">
        <f t="shared" si="65"/>
        <v>3.7551633496057946E-4</v>
      </c>
      <c r="H581" s="64">
        <f t="shared" si="67"/>
        <v>0.5</v>
      </c>
      <c r="I581" s="65">
        <f t="shared" si="68"/>
        <v>0.7</v>
      </c>
      <c r="J581" s="66">
        <v>0.5</v>
      </c>
      <c r="K581" s="65">
        <f t="shared" si="66"/>
        <v>0.5</v>
      </c>
      <c r="L581" s="28">
        <f t="shared" si="69"/>
        <v>-7.9239401721853397E-4</v>
      </c>
      <c r="M581" s="71">
        <f t="shared" si="72"/>
        <v>-3.5933363598829038E-3</v>
      </c>
      <c r="N581" s="50">
        <v>40849</v>
      </c>
      <c r="O581" s="77">
        <f t="shared" si="70"/>
        <v>0.35064538762186415</v>
      </c>
      <c r="P581" s="39">
        <f t="shared" si="71"/>
        <v>0.23669807263771059</v>
      </c>
    </row>
    <row r="582" spans="1:16" x14ac:dyDescent="0.3">
      <c r="A582" s="17">
        <v>40850</v>
      </c>
      <c r="B582" s="13">
        <v>24525</v>
      </c>
      <c r="C582" s="13">
        <v>53300</v>
      </c>
      <c r="D582" s="14">
        <v>1869.96</v>
      </c>
      <c r="E582" s="28">
        <f t="shared" si="65"/>
        <v>-1.6442751152997759E-2</v>
      </c>
      <c r="F582" s="39">
        <f t="shared" si="65"/>
        <v>3.7537537537546406E-4</v>
      </c>
      <c r="H582" s="64">
        <f t="shared" si="67"/>
        <v>0.7</v>
      </c>
      <c r="I582" s="65">
        <f t="shared" si="68"/>
        <v>0.9</v>
      </c>
      <c r="J582" s="66">
        <v>0.7</v>
      </c>
      <c r="K582" s="65">
        <f t="shared" si="66"/>
        <v>0.30000000000000004</v>
      </c>
      <c r="L582" s="28">
        <f t="shared" si="69"/>
        <v>-5.1808774378202969E-3</v>
      </c>
      <c r="M582" s="71">
        <f t="shared" si="72"/>
        <v>-1.1397313194485791E-2</v>
      </c>
      <c r="N582" s="51">
        <v>40850</v>
      </c>
      <c r="O582" s="77">
        <f t="shared" si="70"/>
        <v>0.33924807442737837</v>
      </c>
      <c r="P582" s="39">
        <f t="shared" si="71"/>
        <v>0.21842136127291911</v>
      </c>
    </row>
    <row r="583" spans="1:16" x14ac:dyDescent="0.3">
      <c r="A583" s="17">
        <v>40851</v>
      </c>
      <c r="B583" s="13">
        <v>25345</v>
      </c>
      <c r="C583" s="13">
        <v>53315</v>
      </c>
      <c r="D583" s="14">
        <v>1928.41</v>
      </c>
      <c r="E583" s="28">
        <f t="shared" si="65"/>
        <v>3.3435270132517791E-2</v>
      </c>
      <c r="F583" s="39">
        <f t="shared" si="65"/>
        <v>2.8142589118207439E-4</v>
      </c>
      <c r="H583" s="64">
        <f t="shared" si="67"/>
        <v>0.7</v>
      </c>
      <c r="I583" s="65">
        <f t="shared" si="68"/>
        <v>0.9</v>
      </c>
      <c r="J583" s="66">
        <v>0.7</v>
      </c>
      <c r="K583" s="65">
        <f t="shared" si="66"/>
        <v>0.30000000000000004</v>
      </c>
      <c r="L583" s="28">
        <f t="shared" si="69"/>
        <v>-1.1397313194485791E-2</v>
      </c>
      <c r="M583" s="71">
        <f t="shared" si="72"/>
        <v>2.3489116860117076E-2</v>
      </c>
      <c r="N583" s="51">
        <v>40851</v>
      </c>
      <c r="O583" s="77">
        <f t="shared" si="70"/>
        <v>0.36273719128749543</v>
      </c>
      <c r="P583" s="39">
        <f t="shared" si="71"/>
        <v>0.25650598798493562</v>
      </c>
    </row>
    <row r="584" spans="1:16" x14ac:dyDescent="0.3">
      <c r="A584" s="18">
        <v>40854</v>
      </c>
      <c r="B584" s="15">
        <v>25195</v>
      </c>
      <c r="C584" s="15">
        <v>53390</v>
      </c>
      <c r="D584" s="70">
        <v>1919.1</v>
      </c>
      <c r="E584" s="71">
        <f t="shared" si="65"/>
        <v>-5.9183270862103177E-3</v>
      </c>
      <c r="F584" s="39">
        <f t="shared" si="65"/>
        <v>1.4067335646628099E-3</v>
      </c>
      <c r="H584" s="64">
        <f t="shared" si="67"/>
        <v>0.5</v>
      </c>
      <c r="I584" s="65">
        <f t="shared" si="68"/>
        <v>0.7</v>
      </c>
      <c r="J584" s="66">
        <v>0.7</v>
      </c>
      <c r="K584" s="65">
        <f t="shared" si="66"/>
        <v>0.30000000000000004</v>
      </c>
      <c r="L584" s="28">
        <f t="shared" si="69"/>
        <v>2.3489116860117076E-2</v>
      </c>
      <c r="M584" s="71">
        <f t="shared" si="72"/>
        <v>-3.7208088909483792E-3</v>
      </c>
      <c r="N584" s="50">
        <v>40854</v>
      </c>
      <c r="O584" s="77">
        <f t="shared" si="70"/>
        <v>0.35901638239654704</v>
      </c>
      <c r="P584" s="39">
        <f t="shared" si="71"/>
        <v>0.25043981390984782</v>
      </c>
    </row>
    <row r="585" spans="1:16" x14ac:dyDescent="0.3">
      <c r="A585" s="17">
        <v>40855</v>
      </c>
      <c r="B585" s="13">
        <v>24965</v>
      </c>
      <c r="C585" s="13">
        <v>53395</v>
      </c>
      <c r="D585" s="14">
        <v>1903.14</v>
      </c>
      <c r="E585" s="28">
        <f t="shared" si="65"/>
        <v>-9.1287953959119372E-3</v>
      </c>
      <c r="F585" s="39">
        <f t="shared" si="65"/>
        <v>9.365049634757483E-5</v>
      </c>
      <c r="H585" s="64">
        <f t="shared" si="67"/>
        <v>0.5</v>
      </c>
      <c r="I585" s="65">
        <f t="shared" si="68"/>
        <v>0.7</v>
      </c>
      <c r="J585" s="66">
        <v>0.5</v>
      </c>
      <c r="K585" s="65">
        <f t="shared" si="66"/>
        <v>0.5</v>
      </c>
      <c r="L585" s="28">
        <f t="shared" si="69"/>
        <v>-2.2557967607737539E-3</v>
      </c>
      <c r="M585" s="71">
        <f t="shared" si="72"/>
        <v>-4.5175724497821812E-3</v>
      </c>
      <c r="N585" s="51">
        <v>40855</v>
      </c>
      <c r="O585" s="77">
        <f t="shared" si="70"/>
        <v>0.35449880994676486</v>
      </c>
      <c r="P585" s="39">
        <f t="shared" si="71"/>
        <v>0.24004065835255495</v>
      </c>
    </row>
    <row r="586" spans="1:16" x14ac:dyDescent="0.3">
      <c r="A586" s="18">
        <v>40856</v>
      </c>
      <c r="B586" s="15">
        <v>25080</v>
      </c>
      <c r="C586" s="15">
        <v>53435</v>
      </c>
      <c r="D586" s="16">
        <v>1907.53</v>
      </c>
      <c r="E586" s="28">
        <f t="shared" si="65"/>
        <v>4.6064490286401583E-3</v>
      </c>
      <c r="F586" s="39">
        <f t="shared" si="65"/>
        <v>7.4913381402752499E-4</v>
      </c>
      <c r="H586" s="64">
        <f t="shared" si="67"/>
        <v>0.5</v>
      </c>
      <c r="I586" s="65">
        <f t="shared" si="68"/>
        <v>0.7</v>
      </c>
      <c r="J586" s="66">
        <v>0.5</v>
      </c>
      <c r="K586" s="65">
        <f t="shared" si="66"/>
        <v>0.5</v>
      </c>
      <c r="L586" s="28">
        <f t="shared" si="69"/>
        <v>-4.5175724497821812E-3</v>
      </c>
      <c r="M586" s="71">
        <f t="shared" si="72"/>
        <v>2.6777914213338416E-3</v>
      </c>
      <c r="N586" s="50">
        <v>40856</v>
      </c>
      <c r="O586" s="77">
        <f t="shared" si="70"/>
        <v>0.3571766013680987</v>
      </c>
      <c r="P586" s="39">
        <f t="shared" si="71"/>
        <v>0.24290107770697311</v>
      </c>
    </row>
    <row r="587" spans="1:16" x14ac:dyDescent="0.3">
      <c r="A587" s="17">
        <v>40857</v>
      </c>
      <c r="B587" s="13">
        <v>23870</v>
      </c>
      <c r="C587" s="13">
        <v>53460</v>
      </c>
      <c r="D587" s="14">
        <v>1813.25</v>
      </c>
      <c r="E587" s="28">
        <f t="shared" si="65"/>
        <v>-4.8245614035087758E-2</v>
      </c>
      <c r="F587" s="39">
        <f t="shared" si="65"/>
        <v>4.6785814541028259E-4</v>
      </c>
      <c r="H587" s="64">
        <f t="shared" si="67"/>
        <v>0.5</v>
      </c>
      <c r="I587" s="65">
        <f t="shared" si="68"/>
        <v>0.7</v>
      </c>
      <c r="J587" s="66">
        <v>0.7</v>
      </c>
      <c r="K587" s="65">
        <f t="shared" si="66"/>
        <v>0.30000000000000004</v>
      </c>
      <c r="L587" s="28">
        <f t="shared" si="69"/>
        <v>3.4492544642563683E-3</v>
      </c>
      <c r="M587" s="71">
        <f t="shared" si="72"/>
        <v>-3.3631572380938342E-2</v>
      </c>
      <c r="N587" s="51">
        <v>40857</v>
      </c>
      <c r="O587" s="77">
        <f t="shared" si="70"/>
        <v>0.32354502898716037</v>
      </c>
      <c r="P587" s="39">
        <f t="shared" si="71"/>
        <v>0.18147047708406627</v>
      </c>
    </row>
    <row r="588" spans="1:16" x14ac:dyDescent="0.3">
      <c r="A588" s="17">
        <v>40858</v>
      </c>
      <c r="B588" s="13">
        <v>24400</v>
      </c>
      <c r="C588" s="13">
        <v>53455</v>
      </c>
      <c r="D588" s="14">
        <v>1863.45</v>
      </c>
      <c r="E588" s="28">
        <f t="shared" si="65"/>
        <v>2.2203602848764215E-2</v>
      </c>
      <c r="F588" s="39">
        <f t="shared" si="65"/>
        <v>-9.3527871305676413E-5</v>
      </c>
      <c r="H588" s="64">
        <f t="shared" si="67"/>
        <v>0.9</v>
      </c>
      <c r="I588" s="65">
        <f t="shared" si="68"/>
        <v>1</v>
      </c>
      <c r="J588" s="66">
        <v>0.9</v>
      </c>
      <c r="K588" s="65">
        <f t="shared" si="66"/>
        <v>9.9999999999999978E-2</v>
      </c>
      <c r="L588" s="28">
        <f t="shared" si="69"/>
        <v>-4.337426681703796E-2</v>
      </c>
      <c r="M588" s="71">
        <f t="shared" si="72"/>
        <v>1.9973889776757226E-2</v>
      </c>
      <c r="N588" s="51">
        <v>40858</v>
      </c>
      <c r="O588" s="77">
        <f t="shared" si="70"/>
        <v>0.3435189187639176</v>
      </c>
      <c r="P588" s="39">
        <f t="shared" si="71"/>
        <v>0.21417960045349704</v>
      </c>
    </row>
    <row r="589" spans="1:16" x14ac:dyDescent="0.3">
      <c r="A589" s="18">
        <v>40861</v>
      </c>
      <c r="B589" s="15">
        <v>24920</v>
      </c>
      <c r="C589" s="15">
        <v>53390</v>
      </c>
      <c r="D589" s="70">
        <v>1902.81</v>
      </c>
      <c r="E589" s="71">
        <f t="shared" si="65"/>
        <v>2.1311475409836023E-2</v>
      </c>
      <c r="F589" s="39">
        <f t="shared" si="65"/>
        <v>-1.2159760546254228E-3</v>
      </c>
      <c r="H589" s="64">
        <f t="shared" si="67"/>
        <v>0.7</v>
      </c>
      <c r="I589" s="65">
        <f t="shared" si="68"/>
        <v>0.9</v>
      </c>
      <c r="J589" s="66">
        <v>0.9</v>
      </c>
      <c r="K589" s="65">
        <f t="shared" si="66"/>
        <v>9.9999999999999978E-2</v>
      </c>
      <c r="L589" s="28">
        <f t="shared" si="69"/>
        <v>1.9973889776757226E-2</v>
      </c>
      <c r="M589" s="71">
        <f t="shared" si="72"/>
        <v>1.9058730263389879E-2</v>
      </c>
      <c r="N589" s="50">
        <v>40861</v>
      </c>
      <c r="O589" s="77">
        <f t="shared" si="70"/>
        <v>0.36257764902730749</v>
      </c>
      <c r="P589" s="39">
        <f t="shared" si="71"/>
        <v>0.23982563821885128</v>
      </c>
    </row>
    <row r="590" spans="1:16" x14ac:dyDescent="0.3">
      <c r="A590" s="17">
        <v>40862</v>
      </c>
      <c r="B590" s="13">
        <v>24770</v>
      </c>
      <c r="C590" s="13">
        <v>53430</v>
      </c>
      <c r="D590" s="14">
        <v>1886.12</v>
      </c>
      <c r="E590" s="28">
        <f t="shared" si="65"/>
        <v>-6.0192616372392038E-3</v>
      </c>
      <c r="F590" s="39">
        <f t="shared" si="65"/>
        <v>7.4920397078104273E-4</v>
      </c>
      <c r="H590" s="64">
        <f t="shared" si="67"/>
        <v>0.5</v>
      </c>
      <c r="I590" s="65">
        <f t="shared" si="68"/>
        <v>0.7</v>
      </c>
      <c r="J590" s="66">
        <v>0.7</v>
      </c>
      <c r="K590" s="65">
        <f t="shared" si="66"/>
        <v>0.30000000000000004</v>
      </c>
      <c r="L590" s="28">
        <f t="shared" si="69"/>
        <v>1.4553239970497588E-2</v>
      </c>
      <c r="M590" s="71">
        <f t="shared" si="72"/>
        <v>-3.9887219548331299E-3</v>
      </c>
      <c r="N590" s="51">
        <v>40862</v>
      </c>
      <c r="O590" s="77">
        <f t="shared" si="70"/>
        <v>0.35858892707247436</v>
      </c>
      <c r="P590" s="39">
        <f t="shared" si="71"/>
        <v>0.22895083206275979</v>
      </c>
    </row>
    <row r="591" spans="1:16" x14ac:dyDescent="0.3">
      <c r="A591" s="18">
        <v>40863</v>
      </c>
      <c r="B591" s="15">
        <v>24290</v>
      </c>
      <c r="C591" s="15">
        <v>53505</v>
      </c>
      <c r="D591" s="16">
        <v>1856.07</v>
      </c>
      <c r="E591" s="28">
        <f t="shared" si="65"/>
        <v>-1.9378280177634211E-2</v>
      </c>
      <c r="F591" s="39">
        <f t="shared" si="65"/>
        <v>1.4037057832678723E-3</v>
      </c>
      <c r="H591" s="64">
        <f t="shared" si="67"/>
        <v>0.7</v>
      </c>
      <c r="I591" s="65">
        <f t="shared" si="68"/>
        <v>0.9</v>
      </c>
      <c r="J591" s="66">
        <v>0.7</v>
      </c>
      <c r="K591" s="65">
        <f t="shared" si="66"/>
        <v>0.30000000000000004</v>
      </c>
      <c r="L591" s="28">
        <f t="shared" si="69"/>
        <v>-3.9887219548331299E-3</v>
      </c>
      <c r="M591" s="71">
        <f t="shared" si="72"/>
        <v>-1.3143684389363586E-2</v>
      </c>
      <c r="N591" s="50">
        <v>40863</v>
      </c>
      <c r="O591" s="77">
        <f t="shared" si="70"/>
        <v>0.34544524268311078</v>
      </c>
      <c r="P591" s="39">
        <f t="shared" si="71"/>
        <v>0.20937096837249292</v>
      </c>
    </row>
    <row r="592" spans="1:16" x14ac:dyDescent="0.3">
      <c r="A592" s="17">
        <v>40864</v>
      </c>
      <c r="B592" s="13">
        <v>24645</v>
      </c>
      <c r="C592" s="13">
        <v>53440</v>
      </c>
      <c r="D592" s="14">
        <v>1876.67</v>
      </c>
      <c r="E592" s="28">
        <f t="shared" si="65"/>
        <v>1.4615067929188985E-2</v>
      </c>
      <c r="F592" s="39">
        <f t="shared" si="65"/>
        <v>-1.2148397346042339E-3</v>
      </c>
      <c r="H592" s="64">
        <f t="shared" si="67"/>
        <v>0.7</v>
      </c>
      <c r="I592" s="65">
        <f t="shared" si="68"/>
        <v>0.9</v>
      </c>
      <c r="J592" s="66">
        <v>0.7</v>
      </c>
      <c r="K592" s="65">
        <f t="shared" si="66"/>
        <v>0.30000000000000004</v>
      </c>
      <c r="L592" s="28">
        <f t="shared" si="69"/>
        <v>-1.3143684389363586E-2</v>
      </c>
      <c r="M592" s="71">
        <f t="shared" si="72"/>
        <v>9.8660956300510201E-3</v>
      </c>
      <c r="N592" s="51">
        <v>40864</v>
      </c>
      <c r="O592" s="77">
        <f t="shared" si="70"/>
        <v>0.35531133831316181</v>
      </c>
      <c r="P592" s="39">
        <f t="shared" si="71"/>
        <v>0.22279343732488899</v>
      </c>
    </row>
    <row r="593" spans="1:16" x14ac:dyDescent="0.3">
      <c r="A593" s="17">
        <v>40865</v>
      </c>
      <c r="B593" s="13">
        <v>24060</v>
      </c>
      <c r="C593" s="13">
        <v>53450</v>
      </c>
      <c r="D593" s="14">
        <v>1839.17</v>
      </c>
      <c r="E593" s="28">
        <f t="shared" ref="E593:F656" si="73">B593/B592-1</f>
        <v>-2.3737066342057189E-2</v>
      </c>
      <c r="F593" s="39">
        <f t="shared" si="73"/>
        <v>1.8712574850310304E-4</v>
      </c>
      <c r="H593" s="64">
        <f t="shared" si="67"/>
        <v>0.7</v>
      </c>
      <c r="I593" s="65">
        <f t="shared" si="68"/>
        <v>0.9</v>
      </c>
      <c r="J593" s="66">
        <v>0.9</v>
      </c>
      <c r="K593" s="65">
        <f t="shared" ref="K593:K656" si="74">1-J593</f>
        <v>9.9999999999999978E-2</v>
      </c>
      <c r="L593" s="28">
        <f t="shared" si="69"/>
        <v>1.3032077162809663E-2</v>
      </c>
      <c r="M593" s="71">
        <f t="shared" si="72"/>
        <v>-2.134464713300116E-2</v>
      </c>
      <c r="N593" s="51">
        <v>40865</v>
      </c>
      <c r="O593" s="77">
        <f t="shared" si="70"/>
        <v>0.33396669118016065</v>
      </c>
      <c r="P593" s="39">
        <f t="shared" si="71"/>
        <v>0.19835933122222671</v>
      </c>
    </row>
    <row r="594" spans="1:16" x14ac:dyDescent="0.3">
      <c r="A594" s="18">
        <v>40868</v>
      </c>
      <c r="B594" s="15">
        <v>23790</v>
      </c>
      <c r="C594" s="15">
        <v>53435</v>
      </c>
      <c r="D594" s="70">
        <v>1820.03</v>
      </c>
      <c r="E594" s="71">
        <f t="shared" si="73"/>
        <v>-1.122194513715713E-2</v>
      </c>
      <c r="F594" s="39">
        <f t="shared" si="73"/>
        <v>-2.8063610851258858E-4</v>
      </c>
      <c r="H594" s="64">
        <f t="shared" ref="H594:H657" si="75">IF($D593&lt;=1850,0.9,IF(AND($D593&lt;=1900,$D593&gt;1850),0.7,IF(AND($D593&lt;=1950,$D593&gt;1900),0.5,IF(AND($D593&lt;=2000,$D593&gt;1950),0.3,IF($D593&gt;2000,0.2,0)))))</f>
        <v>0.9</v>
      </c>
      <c r="I594" s="65">
        <f t="shared" ref="I594:I657" si="76">IF($D593&lt;=1850,1,IF(AND($D593&lt;=1900,$D593&gt;1850),0.9,IF(AND($D593&lt;=1950,$D593&gt;1900),0.7,IF(AND($D593&lt;=2000,$D593&gt;1950),0.5,IF($D593&gt;2000,0.3,0)))))</f>
        <v>1</v>
      </c>
      <c r="J594" s="66">
        <v>0.9</v>
      </c>
      <c r="K594" s="65">
        <f t="shared" si="74"/>
        <v>9.9999999999999978E-2</v>
      </c>
      <c r="L594" s="28">
        <f t="shared" ref="L594:L657" si="77">E593*J594+F593*K594</f>
        <v>-2.134464713300116E-2</v>
      </c>
      <c r="M594" s="71">
        <f t="shared" si="72"/>
        <v>-1.0127814234292676E-2</v>
      </c>
      <c r="N594" s="50">
        <v>40868</v>
      </c>
      <c r="O594" s="77">
        <f t="shared" ref="O594:O657" si="78">O593+M594</f>
        <v>0.32383887694586799</v>
      </c>
      <c r="P594" s="39">
        <f t="shared" ref="P594:P657" si="79">D594/$D$16-1</f>
        <v>0.18588816346742765</v>
      </c>
    </row>
    <row r="595" spans="1:16" x14ac:dyDescent="0.3">
      <c r="A595" s="17">
        <v>40869</v>
      </c>
      <c r="B595" s="13">
        <v>23920</v>
      </c>
      <c r="C595" s="13">
        <v>53490</v>
      </c>
      <c r="D595" s="14">
        <v>1826.28</v>
      </c>
      <c r="E595" s="28">
        <f t="shared" si="73"/>
        <v>5.464480874316946E-3</v>
      </c>
      <c r="F595" s="39">
        <f t="shared" si="73"/>
        <v>1.0292879199027549E-3</v>
      </c>
      <c r="H595" s="64">
        <f t="shared" si="75"/>
        <v>0.9</v>
      </c>
      <c r="I595" s="65">
        <f t="shared" si="76"/>
        <v>1</v>
      </c>
      <c r="J595" s="66">
        <v>0.9</v>
      </c>
      <c r="K595" s="65">
        <f t="shared" si="74"/>
        <v>9.9999999999999978E-2</v>
      </c>
      <c r="L595" s="28">
        <f t="shared" si="77"/>
        <v>-1.0127814234292676E-2</v>
      </c>
      <c r="M595" s="71">
        <f t="shared" si="72"/>
        <v>5.0209615788755274E-3</v>
      </c>
      <c r="N595" s="51">
        <v>40869</v>
      </c>
      <c r="O595" s="77">
        <f t="shared" si="78"/>
        <v>0.32885983852474354</v>
      </c>
      <c r="P595" s="39">
        <f t="shared" si="79"/>
        <v>0.18996051448453799</v>
      </c>
    </row>
    <row r="596" spans="1:16" x14ac:dyDescent="0.3">
      <c r="A596" s="18">
        <v>40870</v>
      </c>
      <c r="B596" s="15">
        <v>23355</v>
      </c>
      <c r="C596" s="15">
        <v>53485</v>
      </c>
      <c r="D596" s="16">
        <v>1783.1</v>
      </c>
      <c r="E596" s="28">
        <f t="shared" si="73"/>
        <v>-2.362040133779264E-2</v>
      </c>
      <c r="F596" s="39">
        <f t="shared" si="73"/>
        <v>-9.3475415965604824E-5</v>
      </c>
      <c r="H596" s="64">
        <f t="shared" si="75"/>
        <v>0.9</v>
      </c>
      <c r="I596" s="65">
        <f t="shared" si="76"/>
        <v>1</v>
      </c>
      <c r="J596" s="66">
        <v>1</v>
      </c>
      <c r="K596" s="65">
        <f t="shared" si="74"/>
        <v>0</v>
      </c>
      <c r="L596" s="28">
        <f t="shared" si="77"/>
        <v>5.464480874316946E-3</v>
      </c>
      <c r="M596" s="71">
        <f t="shared" ref="M596:M659" si="80">E596*J596+F596*K596</f>
        <v>-2.362040133779264E-2</v>
      </c>
      <c r="N596" s="50">
        <v>40870</v>
      </c>
      <c r="O596" s="77">
        <f t="shared" si="78"/>
        <v>0.3052394371869509</v>
      </c>
      <c r="P596" s="39">
        <f t="shared" si="79"/>
        <v>0.16182545577752583</v>
      </c>
    </row>
    <row r="597" spans="1:16" x14ac:dyDescent="0.3">
      <c r="A597" s="17">
        <v>40871</v>
      </c>
      <c r="B597" s="13">
        <v>23450</v>
      </c>
      <c r="C597" s="13">
        <v>53500</v>
      </c>
      <c r="D597" s="14">
        <v>1795.06</v>
      </c>
      <c r="E597" s="28">
        <f t="shared" si="73"/>
        <v>4.0676514664954588E-3</v>
      </c>
      <c r="F597" s="39">
        <f t="shared" si="73"/>
        <v>2.8045246330754559E-4</v>
      </c>
      <c r="H597" s="64">
        <f t="shared" si="75"/>
        <v>0.9</v>
      </c>
      <c r="I597" s="65">
        <f t="shared" si="76"/>
        <v>1</v>
      </c>
      <c r="J597" s="66">
        <v>0.9</v>
      </c>
      <c r="K597" s="65">
        <f t="shared" si="74"/>
        <v>9.9999999999999978E-2</v>
      </c>
      <c r="L597" s="28">
        <f t="shared" si="77"/>
        <v>-2.1267708745609935E-2</v>
      </c>
      <c r="M597" s="71">
        <f t="shared" si="80"/>
        <v>3.6889315661766675E-3</v>
      </c>
      <c r="N597" s="51">
        <v>40871</v>
      </c>
      <c r="O597" s="77">
        <f t="shared" si="78"/>
        <v>0.30892836875312757</v>
      </c>
      <c r="P597" s="39">
        <f t="shared" si="79"/>
        <v>0.16961830668386813</v>
      </c>
    </row>
    <row r="598" spans="1:16" x14ac:dyDescent="0.3">
      <c r="A598" s="17">
        <v>40872</v>
      </c>
      <c r="B598" s="13">
        <v>23280</v>
      </c>
      <c r="C598" s="13">
        <v>53480</v>
      </c>
      <c r="D598" s="14">
        <v>1776.4</v>
      </c>
      <c r="E598" s="28">
        <f t="shared" si="73"/>
        <v>-7.2494669509595155E-3</v>
      </c>
      <c r="F598" s="39">
        <f t="shared" si="73"/>
        <v>-3.7383177570093906E-4</v>
      </c>
      <c r="H598" s="64">
        <f t="shared" si="75"/>
        <v>0.9</v>
      </c>
      <c r="I598" s="65">
        <f t="shared" si="76"/>
        <v>1</v>
      </c>
      <c r="J598" s="66">
        <v>1</v>
      </c>
      <c r="K598" s="65">
        <f t="shared" si="74"/>
        <v>0</v>
      </c>
      <c r="L598" s="28">
        <f t="shared" si="77"/>
        <v>4.0676514664954588E-3</v>
      </c>
      <c r="M598" s="71">
        <f t="shared" si="80"/>
        <v>-7.2494669509595155E-3</v>
      </c>
      <c r="N598" s="51">
        <v>40872</v>
      </c>
      <c r="O598" s="77">
        <f t="shared" si="78"/>
        <v>0.30167890180216805</v>
      </c>
      <c r="P598" s="39">
        <f t="shared" si="79"/>
        <v>0.15745989548718353</v>
      </c>
    </row>
    <row r="599" spans="1:16" x14ac:dyDescent="0.3">
      <c r="A599" s="18">
        <v>40875</v>
      </c>
      <c r="B599" s="15">
        <v>23820</v>
      </c>
      <c r="C599" s="15">
        <v>53460</v>
      </c>
      <c r="D599" s="70">
        <v>1815.28</v>
      </c>
      <c r="E599" s="71">
        <f t="shared" si="73"/>
        <v>2.3195876288659711E-2</v>
      </c>
      <c r="F599" s="39">
        <f t="shared" si="73"/>
        <v>-3.7397157816010385E-4</v>
      </c>
      <c r="H599" s="64">
        <f t="shared" si="75"/>
        <v>0.9</v>
      </c>
      <c r="I599" s="65">
        <f t="shared" si="76"/>
        <v>1</v>
      </c>
      <c r="J599" s="66">
        <v>0.9</v>
      </c>
      <c r="K599" s="65">
        <f t="shared" si="74"/>
        <v>9.9999999999999978E-2</v>
      </c>
      <c r="L599" s="28">
        <f t="shared" si="77"/>
        <v>-6.5619034334336588E-3</v>
      </c>
      <c r="M599" s="71">
        <f t="shared" si="80"/>
        <v>2.0838891501977728E-2</v>
      </c>
      <c r="N599" s="50">
        <v>40875</v>
      </c>
      <c r="O599" s="77">
        <f t="shared" si="78"/>
        <v>0.32251779330414576</v>
      </c>
      <c r="P599" s="39">
        <f t="shared" si="79"/>
        <v>0.18279317669442374</v>
      </c>
    </row>
    <row r="600" spans="1:16" x14ac:dyDescent="0.3">
      <c r="A600" s="17">
        <v>40876</v>
      </c>
      <c r="B600" s="13">
        <v>24475</v>
      </c>
      <c r="C600" s="13">
        <v>53460</v>
      </c>
      <c r="D600" s="14">
        <v>1856.52</v>
      </c>
      <c r="E600" s="28">
        <f t="shared" si="73"/>
        <v>2.749790092359361E-2</v>
      </c>
      <c r="F600" s="39">
        <f t="shared" si="73"/>
        <v>0</v>
      </c>
      <c r="H600" s="64">
        <f t="shared" si="75"/>
        <v>0.9</v>
      </c>
      <c r="I600" s="65">
        <f t="shared" si="76"/>
        <v>1</v>
      </c>
      <c r="J600" s="66">
        <v>1</v>
      </c>
      <c r="K600" s="65">
        <f t="shared" si="74"/>
        <v>0</v>
      </c>
      <c r="L600" s="28">
        <f t="shared" si="77"/>
        <v>2.3195876288659711E-2</v>
      </c>
      <c r="M600" s="71">
        <f t="shared" si="80"/>
        <v>2.749790092359361E-2</v>
      </c>
      <c r="N600" s="51">
        <v>40876</v>
      </c>
      <c r="O600" s="77">
        <f t="shared" si="78"/>
        <v>0.35001569422773937</v>
      </c>
      <c r="P600" s="39">
        <f t="shared" si="79"/>
        <v>0.20966417764572509</v>
      </c>
    </row>
    <row r="601" spans="1:16" x14ac:dyDescent="0.3">
      <c r="A601" s="18">
        <v>40877</v>
      </c>
      <c r="B601" s="15">
        <v>24340</v>
      </c>
      <c r="C601" s="15">
        <v>53570</v>
      </c>
      <c r="D601" s="16">
        <v>1847.51</v>
      </c>
      <c r="E601" s="28">
        <f t="shared" si="73"/>
        <v>-5.5158324821246163E-3</v>
      </c>
      <c r="F601" s="39">
        <f t="shared" si="73"/>
        <v>2.057613168724215E-3</v>
      </c>
      <c r="H601" s="64">
        <f t="shared" si="75"/>
        <v>0.7</v>
      </c>
      <c r="I601" s="65">
        <f t="shared" si="76"/>
        <v>0.9</v>
      </c>
      <c r="J601" s="66">
        <v>0.9</v>
      </c>
      <c r="K601" s="65">
        <f t="shared" si="74"/>
        <v>9.9999999999999978E-2</v>
      </c>
      <c r="L601" s="28">
        <f t="shared" si="77"/>
        <v>2.4748110831234248E-2</v>
      </c>
      <c r="M601" s="71">
        <f t="shared" si="80"/>
        <v>-4.7584879170397337E-3</v>
      </c>
      <c r="N601" s="50">
        <v>40877</v>
      </c>
      <c r="O601" s="77">
        <f t="shared" si="78"/>
        <v>0.34525720631069962</v>
      </c>
      <c r="P601" s="39">
        <f t="shared" si="79"/>
        <v>0.20379347641945866</v>
      </c>
    </row>
    <row r="602" spans="1:16" x14ac:dyDescent="0.3">
      <c r="A602" s="17">
        <v>40878</v>
      </c>
      <c r="B602" s="13">
        <v>25330</v>
      </c>
      <c r="C602" s="13">
        <v>53575</v>
      </c>
      <c r="D602" s="14">
        <v>1916.18</v>
      </c>
      <c r="E602" s="28">
        <f t="shared" si="73"/>
        <v>4.0673788003286804E-2</v>
      </c>
      <c r="F602" s="39">
        <f t="shared" si="73"/>
        <v>9.3335822288542758E-5</v>
      </c>
      <c r="H602" s="64">
        <f t="shared" si="75"/>
        <v>0.9</v>
      </c>
      <c r="I602" s="65">
        <f t="shared" si="76"/>
        <v>1</v>
      </c>
      <c r="J602" s="66">
        <v>0.9</v>
      </c>
      <c r="K602" s="65">
        <f t="shared" si="74"/>
        <v>9.9999999999999978E-2</v>
      </c>
      <c r="L602" s="28">
        <f t="shared" si="77"/>
        <v>-4.7584879170397337E-3</v>
      </c>
      <c r="M602" s="71">
        <f t="shared" si="80"/>
        <v>3.6615742785186978E-2</v>
      </c>
      <c r="N602" s="51">
        <v>40878</v>
      </c>
      <c r="O602" s="77">
        <f t="shared" si="78"/>
        <v>0.38187294909588659</v>
      </c>
      <c r="P602" s="39">
        <f t="shared" si="79"/>
        <v>0.24853721151465402</v>
      </c>
    </row>
    <row r="603" spans="1:16" x14ac:dyDescent="0.3">
      <c r="A603" s="17">
        <v>40879</v>
      </c>
      <c r="B603" s="13">
        <v>25340</v>
      </c>
      <c r="C603" s="13">
        <v>53575</v>
      </c>
      <c r="D603" s="14">
        <v>1916.04</v>
      </c>
      <c r="E603" s="28">
        <f t="shared" si="73"/>
        <v>3.9478878799847905E-4</v>
      </c>
      <c r="F603" s="39">
        <f t="shared" si="73"/>
        <v>0</v>
      </c>
      <c r="H603" s="64">
        <f t="shared" si="75"/>
        <v>0.5</v>
      </c>
      <c r="I603" s="65">
        <f t="shared" si="76"/>
        <v>0.7</v>
      </c>
      <c r="J603" s="66">
        <v>0.7</v>
      </c>
      <c r="K603" s="65">
        <f t="shared" si="74"/>
        <v>0.30000000000000004</v>
      </c>
      <c r="L603" s="28">
        <f t="shared" si="77"/>
        <v>2.8499652348987325E-2</v>
      </c>
      <c r="M603" s="71">
        <f t="shared" si="80"/>
        <v>2.7635215159893534E-4</v>
      </c>
      <c r="N603" s="51">
        <v>40879</v>
      </c>
      <c r="O603" s="77">
        <f t="shared" si="78"/>
        <v>0.38214930124748553</v>
      </c>
      <c r="P603" s="39">
        <f t="shared" si="79"/>
        <v>0.24844599085187058</v>
      </c>
    </row>
    <row r="604" spans="1:16" x14ac:dyDescent="0.3">
      <c r="A604" s="18">
        <v>40882</v>
      </c>
      <c r="B604" s="15">
        <v>25415</v>
      </c>
      <c r="C604" s="15">
        <v>53600</v>
      </c>
      <c r="D604" s="70">
        <v>1922.9</v>
      </c>
      <c r="E604" s="71">
        <f t="shared" si="73"/>
        <v>2.9597474348854735E-3</v>
      </c>
      <c r="F604" s="39">
        <f t="shared" si="73"/>
        <v>4.6663555762949116E-4</v>
      </c>
      <c r="H604" s="64">
        <f t="shared" si="75"/>
        <v>0.5</v>
      </c>
      <c r="I604" s="65">
        <f t="shared" si="76"/>
        <v>0.7</v>
      </c>
      <c r="J604" s="66">
        <v>0.7</v>
      </c>
      <c r="K604" s="65">
        <f t="shared" si="74"/>
        <v>0.30000000000000004</v>
      </c>
      <c r="L604" s="28">
        <f t="shared" si="77"/>
        <v>2.7635215159893534E-4</v>
      </c>
      <c r="M604" s="71">
        <f t="shared" si="80"/>
        <v>2.2118138717086787E-3</v>
      </c>
      <c r="N604" s="50">
        <v>40882</v>
      </c>
      <c r="O604" s="77">
        <f t="shared" si="78"/>
        <v>0.38436111511919419</v>
      </c>
      <c r="P604" s="39">
        <f t="shared" si="79"/>
        <v>0.25291580332825103</v>
      </c>
    </row>
    <row r="605" spans="1:16" x14ac:dyDescent="0.3">
      <c r="A605" s="17">
        <v>40883</v>
      </c>
      <c r="B605" s="13">
        <v>25120</v>
      </c>
      <c r="C605" s="13">
        <v>53555</v>
      </c>
      <c r="D605" s="14">
        <v>1902.82</v>
      </c>
      <c r="E605" s="28">
        <f t="shared" si="73"/>
        <v>-1.1607318512689369E-2</v>
      </c>
      <c r="F605" s="39">
        <f t="shared" si="73"/>
        <v>-8.3955223880594065E-4</v>
      </c>
      <c r="H605" s="64">
        <f t="shared" si="75"/>
        <v>0.5</v>
      </c>
      <c r="I605" s="65">
        <f t="shared" si="76"/>
        <v>0.7</v>
      </c>
      <c r="J605" s="66">
        <v>0.7</v>
      </c>
      <c r="K605" s="65">
        <f t="shared" si="74"/>
        <v>0.30000000000000004</v>
      </c>
      <c r="L605" s="28">
        <f t="shared" si="77"/>
        <v>2.2118138717086787E-3</v>
      </c>
      <c r="M605" s="71">
        <f t="shared" si="80"/>
        <v>-8.3769886305243395E-3</v>
      </c>
      <c r="N605" s="51">
        <v>40883</v>
      </c>
      <c r="O605" s="77">
        <f t="shared" si="78"/>
        <v>0.37598412648866986</v>
      </c>
      <c r="P605" s="39">
        <f t="shared" si="79"/>
        <v>0.23983215398047864</v>
      </c>
    </row>
    <row r="606" spans="1:16" x14ac:dyDescent="0.3">
      <c r="A606" s="18">
        <v>40884</v>
      </c>
      <c r="B606" s="15">
        <v>25330</v>
      </c>
      <c r="C606" s="15">
        <v>53590</v>
      </c>
      <c r="D606" s="16">
        <v>1919.42</v>
      </c>
      <c r="E606" s="28">
        <f t="shared" si="73"/>
        <v>8.3598726114648692E-3</v>
      </c>
      <c r="F606" s="39">
        <f t="shared" si="73"/>
        <v>6.5353375035015482E-4</v>
      </c>
      <c r="H606" s="64">
        <f t="shared" si="75"/>
        <v>0.5</v>
      </c>
      <c r="I606" s="65">
        <f t="shared" si="76"/>
        <v>0.7</v>
      </c>
      <c r="J606" s="66">
        <v>0.5</v>
      </c>
      <c r="K606" s="65">
        <f t="shared" si="74"/>
        <v>0.5</v>
      </c>
      <c r="L606" s="28">
        <f t="shared" si="77"/>
        <v>-6.2234353757476546E-3</v>
      </c>
      <c r="M606" s="71">
        <f t="shared" si="80"/>
        <v>4.506703180907512E-3</v>
      </c>
      <c r="N606" s="50">
        <v>40884</v>
      </c>
      <c r="O606" s="77">
        <f t="shared" si="78"/>
        <v>0.38049082966957737</v>
      </c>
      <c r="P606" s="39">
        <f t="shared" si="79"/>
        <v>0.25064831828192391</v>
      </c>
    </row>
    <row r="607" spans="1:16" x14ac:dyDescent="0.3">
      <c r="A607" s="17">
        <v>40885</v>
      </c>
      <c r="B607" s="13">
        <v>25240</v>
      </c>
      <c r="C607" s="13">
        <v>53585</v>
      </c>
      <c r="D607" s="14">
        <v>1912.39</v>
      </c>
      <c r="E607" s="28">
        <f t="shared" si="73"/>
        <v>-3.5530990919857564E-3</v>
      </c>
      <c r="F607" s="39">
        <f t="shared" si="73"/>
        <v>-9.3300988990518974E-5</v>
      </c>
      <c r="H607" s="64">
        <f t="shared" si="75"/>
        <v>0.5</v>
      </c>
      <c r="I607" s="65">
        <f t="shared" si="76"/>
        <v>0.7</v>
      </c>
      <c r="J607" s="66">
        <v>0.7</v>
      </c>
      <c r="K607" s="65">
        <f t="shared" si="74"/>
        <v>0.30000000000000004</v>
      </c>
      <c r="L607" s="28">
        <f t="shared" si="77"/>
        <v>6.0479709531304545E-3</v>
      </c>
      <c r="M607" s="71">
        <f t="shared" si="80"/>
        <v>-2.5151596610871853E-3</v>
      </c>
      <c r="N607" s="51">
        <v>40885</v>
      </c>
      <c r="O607" s="77">
        <f t="shared" si="78"/>
        <v>0.37797567000849019</v>
      </c>
      <c r="P607" s="39">
        <f t="shared" si="79"/>
        <v>0.24606773785787817</v>
      </c>
    </row>
    <row r="608" spans="1:16" x14ac:dyDescent="0.3">
      <c r="A608" s="17">
        <v>40886</v>
      </c>
      <c r="B608" s="13">
        <v>24595</v>
      </c>
      <c r="C608" s="13">
        <v>53565</v>
      </c>
      <c r="D608" s="14">
        <v>1874.75</v>
      </c>
      <c r="E608" s="28">
        <f t="shared" si="73"/>
        <v>-2.5554675118859005E-2</v>
      </c>
      <c r="F608" s="39">
        <f t="shared" si="73"/>
        <v>-3.732387795092329E-4</v>
      </c>
      <c r="H608" s="64">
        <f t="shared" si="75"/>
        <v>0.5</v>
      </c>
      <c r="I608" s="65">
        <f t="shared" si="76"/>
        <v>0.7</v>
      </c>
      <c r="J608" s="66">
        <v>0.5</v>
      </c>
      <c r="K608" s="65">
        <f t="shared" si="74"/>
        <v>0.5</v>
      </c>
      <c r="L608" s="28">
        <f t="shared" si="77"/>
        <v>-1.8232000404881377E-3</v>
      </c>
      <c r="M608" s="71">
        <f t="shared" si="80"/>
        <v>-1.2963956949184119E-2</v>
      </c>
      <c r="N608" s="51">
        <v>40886</v>
      </c>
      <c r="O608" s="77">
        <f t="shared" si="78"/>
        <v>0.36501171305930608</v>
      </c>
      <c r="P608" s="39">
        <f t="shared" si="79"/>
        <v>0.22154241109243267</v>
      </c>
    </row>
    <row r="609" spans="1:16" x14ac:dyDescent="0.3">
      <c r="A609" s="18">
        <v>40889</v>
      </c>
      <c r="B609" s="15">
        <v>24990</v>
      </c>
      <c r="C609" s="15">
        <v>53060</v>
      </c>
      <c r="D609" s="70">
        <v>1899.76</v>
      </c>
      <c r="E609" s="71">
        <f t="shared" si="73"/>
        <v>1.6060174832283058E-2</v>
      </c>
      <c r="F609" s="39">
        <f t="shared" si="73"/>
        <v>-9.4277980024269903E-3</v>
      </c>
      <c r="H609" s="64">
        <f t="shared" si="75"/>
        <v>0.7</v>
      </c>
      <c r="I609" s="65">
        <f t="shared" si="76"/>
        <v>0.9</v>
      </c>
      <c r="J609" s="66">
        <v>0.7</v>
      </c>
      <c r="K609" s="65">
        <f t="shared" si="74"/>
        <v>0.30000000000000004</v>
      </c>
      <c r="L609" s="28">
        <f t="shared" si="77"/>
        <v>-1.8000244217054075E-2</v>
      </c>
      <c r="M609" s="71">
        <f t="shared" si="80"/>
        <v>8.4137829818700435E-3</v>
      </c>
      <c r="N609" s="50">
        <v>40889</v>
      </c>
      <c r="O609" s="77">
        <f t="shared" si="78"/>
        <v>0.37342549604117614</v>
      </c>
      <c r="P609" s="39">
        <f t="shared" si="79"/>
        <v>0.23783833092250162</v>
      </c>
    </row>
    <row r="610" spans="1:16" x14ac:dyDescent="0.3">
      <c r="A610" s="17">
        <v>40890</v>
      </c>
      <c r="B610" s="13">
        <v>24500</v>
      </c>
      <c r="C610" s="13">
        <v>53090</v>
      </c>
      <c r="D610" s="14">
        <v>1864.06</v>
      </c>
      <c r="E610" s="28">
        <f t="shared" si="73"/>
        <v>-1.9607843137254943E-2</v>
      </c>
      <c r="F610" s="39">
        <f t="shared" si="73"/>
        <v>5.6539766302288186E-4</v>
      </c>
      <c r="H610" s="64">
        <f t="shared" si="75"/>
        <v>0.7</v>
      </c>
      <c r="I610" s="65">
        <f t="shared" si="76"/>
        <v>0.9</v>
      </c>
      <c r="J610" s="66">
        <v>0.9</v>
      </c>
      <c r="K610" s="65">
        <f t="shared" si="74"/>
        <v>9.9999999999999978E-2</v>
      </c>
      <c r="L610" s="28">
        <f t="shared" si="77"/>
        <v>1.3511377548812053E-2</v>
      </c>
      <c r="M610" s="71">
        <f t="shared" si="80"/>
        <v>-1.7590519057227163E-2</v>
      </c>
      <c r="N610" s="51">
        <v>40890</v>
      </c>
      <c r="O610" s="77">
        <f t="shared" si="78"/>
        <v>0.355834976983949</v>
      </c>
      <c r="P610" s="39">
        <f t="shared" si="79"/>
        <v>0.21457706191276693</v>
      </c>
    </row>
    <row r="611" spans="1:16" x14ac:dyDescent="0.3">
      <c r="A611" s="18">
        <v>40891</v>
      </c>
      <c r="B611" s="15">
        <v>24425</v>
      </c>
      <c r="C611" s="15">
        <v>53080</v>
      </c>
      <c r="D611" s="16">
        <v>1857.75</v>
      </c>
      <c r="E611" s="28">
        <f t="shared" si="73"/>
        <v>-3.0612244897959551E-3</v>
      </c>
      <c r="F611" s="39">
        <f t="shared" si="73"/>
        <v>-1.8835938971561994E-4</v>
      </c>
      <c r="H611" s="64">
        <f t="shared" si="75"/>
        <v>0.7</v>
      </c>
      <c r="I611" s="65">
        <f t="shared" si="76"/>
        <v>0.9</v>
      </c>
      <c r="J611" s="66">
        <v>0.7</v>
      </c>
      <c r="K611" s="65">
        <f t="shared" si="74"/>
        <v>0.30000000000000004</v>
      </c>
      <c r="L611" s="28">
        <f t="shared" si="77"/>
        <v>-1.3555870897171595E-2</v>
      </c>
      <c r="M611" s="71">
        <f t="shared" si="80"/>
        <v>-2.1993649597718545E-3</v>
      </c>
      <c r="N611" s="50">
        <v>40891</v>
      </c>
      <c r="O611" s="77">
        <f t="shared" si="78"/>
        <v>0.35363561202417715</v>
      </c>
      <c r="P611" s="39">
        <f t="shared" si="79"/>
        <v>0.21046561632589222</v>
      </c>
    </row>
    <row r="612" spans="1:16" x14ac:dyDescent="0.3">
      <c r="A612" s="17">
        <v>40892</v>
      </c>
      <c r="B612" s="13">
        <v>23820</v>
      </c>
      <c r="C612" s="13">
        <v>53145</v>
      </c>
      <c r="D612" s="14">
        <v>1819.11</v>
      </c>
      <c r="E612" s="28">
        <f t="shared" si="73"/>
        <v>-2.4769703172978552E-2</v>
      </c>
      <c r="F612" s="39">
        <f t="shared" si="73"/>
        <v>1.2245666917860554E-3</v>
      </c>
      <c r="H612" s="64">
        <f t="shared" si="75"/>
        <v>0.7</v>
      </c>
      <c r="I612" s="65">
        <f t="shared" si="76"/>
        <v>0.9</v>
      </c>
      <c r="J612" s="66">
        <v>0.7</v>
      </c>
      <c r="K612" s="65">
        <f t="shared" si="74"/>
        <v>0.30000000000000004</v>
      </c>
      <c r="L612" s="28">
        <f t="shared" si="77"/>
        <v>-2.1993649597718545E-3</v>
      </c>
      <c r="M612" s="71">
        <f t="shared" si="80"/>
        <v>-1.6971422213549168E-2</v>
      </c>
      <c r="N612" s="51">
        <v>40892</v>
      </c>
      <c r="O612" s="77">
        <f t="shared" si="78"/>
        <v>0.33666418981062796</v>
      </c>
      <c r="P612" s="39">
        <f t="shared" si="79"/>
        <v>0.18528871339770903</v>
      </c>
    </row>
    <row r="613" spans="1:16" x14ac:dyDescent="0.3">
      <c r="A613" s="17">
        <v>40893</v>
      </c>
      <c r="B613" s="13">
        <v>24085</v>
      </c>
      <c r="C613" s="13">
        <v>53130</v>
      </c>
      <c r="D613" s="14">
        <v>1839.96</v>
      </c>
      <c r="E613" s="28">
        <f t="shared" si="73"/>
        <v>1.1125104953820353E-2</v>
      </c>
      <c r="F613" s="39">
        <f t="shared" si="73"/>
        <v>-2.8224668360143923E-4</v>
      </c>
      <c r="H613" s="64">
        <f t="shared" si="75"/>
        <v>0.9</v>
      </c>
      <c r="I613" s="65">
        <f t="shared" si="76"/>
        <v>1</v>
      </c>
      <c r="J613" s="66">
        <v>0.9</v>
      </c>
      <c r="K613" s="65">
        <f t="shared" si="74"/>
        <v>9.9999999999999978E-2</v>
      </c>
      <c r="L613" s="28">
        <f t="shared" si="77"/>
        <v>-2.2170276186502094E-2</v>
      </c>
      <c r="M613" s="71">
        <f t="shared" si="80"/>
        <v>9.9843697900781746E-3</v>
      </c>
      <c r="N613" s="51">
        <v>40893</v>
      </c>
      <c r="O613" s="77">
        <f t="shared" si="78"/>
        <v>0.34664855960070612</v>
      </c>
      <c r="P613" s="39">
        <f t="shared" si="79"/>
        <v>0.19887407639078925</v>
      </c>
    </row>
    <row r="614" spans="1:16" x14ac:dyDescent="0.3">
      <c r="A614" s="18">
        <v>40896</v>
      </c>
      <c r="B614" s="15">
        <v>23355</v>
      </c>
      <c r="C614" s="15">
        <v>53010</v>
      </c>
      <c r="D614" s="70">
        <v>1776.93</v>
      </c>
      <c r="E614" s="71">
        <f t="shared" si="73"/>
        <v>-3.0309321154245339E-2</v>
      </c>
      <c r="F614" s="39">
        <f t="shared" si="73"/>
        <v>-2.2586109542631627E-3</v>
      </c>
      <c r="H614" s="64">
        <f t="shared" si="75"/>
        <v>0.9</v>
      </c>
      <c r="I614" s="65">
        <f t="shared" si="76"/>
        <v>1</v>
      </c>
      <c r="J614" s="66">
        <v>1</v>
      </c>
      <c r="K614" s="65">
        <f t="shared" si="74"/>
        <v>0</v>
      </c>
      <c r="L614" s="28">
        <f t="shared" si="77"/>
        <v>1.1125104953820353E-2</v>
      </c>
      <c r="M614" s="71">
        <f t="shared" si="80"/>
        <v>-3.0309321154245339E-2</v>
      </c>
      <c r="N614" s="50">
        <v>40896</v>
      </c>
      <c r="O614" s="77">
        <f t="shared" si="78"/>
        <v>0.31633923844646078</v>
      </c>
      <c r="P614" s="39">
        <f t="shared" si="79"/>
        <v>0.15780523085343456</v>
      </c>
    </row>
    <row r="615" spans="1:16" x14ac:dyDescent="0.3">
      <c r="A615" s="17">
        <v>40897</v>
      </c>
      <c r="B615" s="13">
        <v>23525</v>
      </c>
      <c r="C615" s="13">
        <v>53050</v>
      </c>
      <c r="D615" s="14">
        <v>1793.06</v>
      </c>
      <c r="E615" s="28">
        <f t="shared" si="73"/>
        <v>7.2789552558338855E-3</v>
      </c>
      <c r="F615" s="39">
        <f t="shared" si="73"/>
        <v>7.5457460856442893E-4</v>
      </c>
      <c r="H615" s="64">
        <f t="shared" si="75"/>
        <v>0.9</v>
      </c>
      <c r="I615" s="65">
        <f t="shared" si="76"/>
        <v>1</v>
      </c>
      <c r="J615" s="66">
        <v>0.9</v>
      </c>
      <c r="K615" s="65">
        <f t="shared" si="74"/>
        <v>9.9999999999999978E-2</v>
      </c>
      <c r="L615" s="28">
        <f t="shared" si="77"/>
        <v>-2.7504250134247121E-2</v>
      </c>
      <c r="M615" s="71">
        <f t="shared" si="80"/>
        <v>6.6265171911069395E-3</v>
      </c>
      <c r="N615" s="51">
        <v>40897</v>
      </c>
      <c r="O615" s="77">
        <f t="shared" si="78"/>
        <v>0.32296575563756774</v>
      </c>
      <c r="P615" s="39">
        <f t="shared" si="79"/>
        <v>0.16831515435839295</v>
      </c>
    </row>
    <row r="616" spans="1:16" x14ac:dyDescent="0.3">
      <c r="A616" s="18">
        <v>40898</v>
      </c>
      <c r="B616" s="15">
        <v>24265</v>
      </c>
      <c r="C616" s="15">
        <v>53095</v>
      </c>
      <c r="D616" s="16">
        <v>1848.41</v>
      </c>
      <c r="E616" s="28">
        <f t="shared" si="73"/>
        <v>3.145589798087145E-2</v>
      </c>
      <c r="F616" s="39">
        <f t="shared" si="73"/>
        <v>8.4825636192276122E-4</v>
      </c>
      <c r="H616" s="64">
        <f t="shared" si="75"/>
        <v>0.9</v>
      </c>
      <c r="I616" s="65">
        <f t="shared" si="76"/>
        <v>1</v>
      </c>
      <c r="J616" s="66">
        <v>1</v>
      </c>
      <c r="K616" s="65">
        <f t="shared" si="74"/>
        <v>0</v>
      </c>
      <c r="L616" s="28">
        <f t="shared" si="77"/>
        <v>7.2789552558338855E-3</v>
      </c>
      <c r="M616" s="71">
        <f t="shared" si="80"/>
        <v>3.145589798087145E-2</v>
      </c>
      <c r="N616" s="50">
        <v>40898</v>
      </c>
      <c r="O616" s="77">
        <f t="shared" si="78"/>
        <v>0.35442165361843919</v>
      </c>
      <c r="P616" s="39">
        <f t="shared" si="79"/>
        <v>0.20437989496592257</v>
      </c>
    </row>
    <row r="617" spans="1:16" x14ac:dyDescent="0.3">
      <c r="A617" s="17">
        <v>40899</v>
      </c>
      <c r="B617" s="13">
        <v>24270</v>
      </c>
      <c r="C617" s="13">
        <v>53115</v>
      </c>
      <c r="D617" s="14">
        <v>1847.49</v>
      </c>
      <c r="E617" s="28">
        <f t="shared" si="73"/>
        <v>2.0605810838647542E-4</v>
      </c>
      <c r="F617" s="39">
        <f t="shared" si="73"/>
        <v>3.7668330351259272E-4</v>
      </c>
      <c r="H617" s="64">
        <f t="shared" si="75"/>
        <v>0.9</v>
      </c>
      <c r="I617" s="65">
        <f t="shared" si="76"/>
        <v>1</v>
      </c>
      <c r="J617" s="66">
        <v>1</v>
      </c>
      <c r="K617" s="65">
        <f t="shared" si="74"/>
        <v>0</v>
      </c>
      <c r="L617" s="28">
        <f t="shared" si="77"/>
        <v>3.145589798087145E-2</v>
      </c>
      <c r="M617" s="71">
        <f t="shared" si="80"/>
        <v>2.0605810838647542E-4</v>
      </c>
      <c r="N617" s="51">
        <v>40899</v>
      </c>
      <c r="O617" s="77">
        <f t="shared" si="78"/>
        <v>0.35462771172682567</v>
      </c>
      <c r="P617" s="39">
        <f t="shared" si="79"/>
        <v>0.20378044489620395</v>
      </c>
    </row>
    <row r="618" spans="1:16" x14ac:dyDescent="0.3">
      <c r="A618" s="17">
        <v>40900</v>
      </c>
      <c r="B618" s="13">
        <v>24575</v>
      </c>
      <c r="C618" s="13">
        <v>52950</v>
      </c>
      <c r="D618" s="14">
        <v>1867.22</v>
      </c>
      <c r="E618" s="28">
        <f t="shared" si="73"/>
        <v>1.256695508858674E-2</v>
      </c>
      <c r="F618" s="39">
        <f t="shared" si="73"/>
        <v>-3.106467099689314E-3</v>
      </c>
      <c r="H618" s="64">
        <f t="shared" si="75"/>
        <v>0.9</v>
      </c>
      <c r="I618" s="65">
        <f t="shared" si="76"/>
        <v>1</v>
      </c>
      <c r="J618" s="66">
        <v>0.9</v>
      </c>
      <c r="K618" s="65">
        <f t="shared" si="74"/>
        <v>9.9999999999999978E-2</v>
      </c>
      <c r="L618" s="28">
        <f t="shared" si="77"/>
        <v>2.2312062789908715E-4</v>
      </c>
      <c r="M618" s="71">
        <f t="shared" si="80"/>
        <v>1.0999612869759133E-2</v>
      </c>
      <c r="N618" s="51">
        <v>40900</v>
      </c>
      <c r="O618" s="77">
        <f t="shared" si="78"/>
        <v>0.36562732459658481</v>
      </c>
      <c r="P618" s="39">
        <f t="shared" si="79"/>
        <v>0.21663604258701796</v>
      </c>
    </row>
    <row r="619" spans="1:16" x14ac:dyDescent="0.3">
      <c r="A619" s="18">
        <v>40903</v>
      </c>
      <c r="B619" s="15">
        <v>24425</v>
      </c>
      <c r="C619" s="15">
        <v>53100</v>
      </c>
      <c r="D619" s="70">
        <v>1856.7</v>
      </c>
      <c r="E619" s="71">
        <f t="shared" si="73"/>
        <v>-6.1037639877924432E-3</v>
      </c>
      <c r="F619" s="39">
        <f t="shared" si="73"/>
        <v>2.8328611898016387E-3</v>
      </c>
      <c r="H619" s="64">
        <f t="shared" si="75"/>
        <v>0.7</v>
      </c>
      <c r="I619" s="65">
        <f t="shared" si="76"/>
        <v>0.9</v>
      </c>
      <c r="J619" s="66">
        <v>0.9</v>
      </c>
      <c r="K619" s="65">
        <f t="shared" si="74"/>
        <v>9.9999999999999978E-2</v>
      </c>
      <c r="L619" s="28">
        <f t="shared" si="77"/>
        <v>1.0999612869759133E-2</v>
      </c>
      <c r="M619" s="71">
        <f t="shared" si="80"/>
        <v>-5.210101470033035E-3</v>
      </c>
      <c r="N619" s="50">
        <v>40903</v>
      </c>
      <c r="O619" s="77">
        <f t="shared" si="78"/>
        <v>0.36041722312655178</v>
      </c>
      <c r="P619" s="39">
        <f t="shared" si="79"/>
        <v>0.20978146135501774</v>
      </c>
    </row>
    <row r="620" spans="1:16" x14ac:dyDescent="0.3">
      <c r="A620" s="17">
        <v>40904</v>
      </c>
      <c r="B620" s="13">
        <v>24195</v>
      </c>
      <c r="C620" s="13">
        <v>53035</v>
      </c>
      <c r="D620" s="14">
        <v>1842.02</v>
      </c>
      <c r="E620" s="28">
        <f t="shared" si="73"/>
        <v>-9.4165813715455515E-3</v>
      </c>
      <c r="F620" s="39">
        <f t="shared" si="73"/>
        <v>-1.2241054613936209E-3</v>
      </c>
      <c r="H620" s="64">
        <f t="shared" si="75"/>
        <v>0.7</v>
      </c>
      <c r="I620" s="65">
        <f t="shared" si="76"/>
        <v>0.9</v>
      </c>
      <c r="J620" s="66">
        <v>0.7</v>
      </c>
      <c r="K620" s="65">
        <f t="shared" si="74"/>
        <v>0.30000000000000004</v>
      </c>
      <c r="L620" s="28">
        <f t="shared" si="77"/>
        <v>-3.4227764345142182E-3</v>
      </c>
      <c r="M620" s="71">
        <f t="shared" si="80"/>
        <v>-6.958838598499972E-3</v>
      </c>
      <c r="N620" s="51">
        <v>40904</v>
      </c>
      <c r="O620" s="77">
        <f t="shared" si="78"/>
        <v>0.35345838452805178</v>
      </c>
      <c r="P620" s="39">
        <f t="shared" si="79"/>
        <v>0.20021632328602879</v>
      </c>
    </row>
    <row r="621" spans="1:16" x14ac:dyDescent="0.3">
      <c r="A621" s="18">
        <v>40905</v>
      </c>
      <c r="B621" s="15">
        <v>24200</v>
      </c>
      <c r="C621" s="15">
        <v>53115</v>
      </c>
      <c r="D621" s="16">
        <v>1825.12</v>
      </c>
      <c r="E621" s="28">
        <f t="shared" si="73"/>
        <v>2.0665426741062198E-4</v>
      </c>
      <c r="F621" s="39">
        <f t="shared" si="73"/>
        <v>1.5084378240783902E-3</v>
      </c>
      <c r="H621" s="64">
        <f t="shared" si="75"/>
        <v>0.9</v>
      </c>
      <c r="I621" s="65">
        <f t="shared" si="76"/>
        <v>1</v>
      </c>
      <c r="J621" s="66">
        <v>0.9</v>
      </c>
      <c r="K621" s="65">
        <f t="shared" si="74"/>
        <v>9.9999999999999978E-2</v>
      </c>
      <c r="L621" s="28">
        <f t="shared" si="77"/>
        <v>-8.5973337805303595E-3</v>
      </c>
      <c r="M621" s="71">
        <f t="shared" si="80"/>
        <v>3.3683262307739877E-4</v>
      </c>
      <c r="N621" s="50">
        <v>40905</v>
      </c>
      <c r="O621" s="77">
        <f t="shared" si="78"/>
        <v>0.35379521715112916</v>
      </c>
      <c r="P621" s="39">
        <f t="shared" si="79"/>
        <v>0.18920468613576236</v>
      </c>
    </row>
    <row r="622" spans="1:16" x14ac:dyDescent="0.3">
      <c r="A622" s="17">
        <v>40906</v>
      </c>
      <c r="B622" s="13">
        <v>24220</v>
      </c>
      <c r="C622" s="13">
        <v>53220</v>
      </c>
      <c r="D622" s="14">
        <v>1825.74</v>
      </c>
      <c r="E622" s="28">
        <f t="shared" si="73"/>
        <v>8.2644628099171058E-4</v>
      </c>
      <c r="F622" s="39">
        <f t="shared" si="73"/>
        <v>1.9768426998023614E-3</v>
      </c>
      <c r="H622" s="64">
        <f t="shared" si="75"/>
        <v>0.9</v>
      </c>
      <c r="I622" s="65">
        <f t="shared" si="76"/>
        <v>1</v>
      </c>
      <c r="J622" s="66">
        <v>0.9</v>
      </c>
      <c r="K622" s="65">
        <f t="shared" si="74"/>
        <v>9.9999999999999978E-2</v>
      </c>
      <c r="L622" s="28">
        <f t="shared" si="77"/>
        <v>3.3683262307739877E-4</v>
      </c>
      <c r="M622" s="71">
        <f t="shared" si="80"/>
        <v>9.4148592287277553E-4</v>
      </c>
      <c r="N622" s="51">
        <v>40906</v>
      </c>
      <c r="O622" s="77">
        <f t="shared" si="78"/>
        <v>0.35473670307400196</v>
      </c>
      <c r="P622" s="39">
        <f t="shared" si="79"/>
        <v>0.18960866335665982</v>
      </c>
    </row>
    <row r="623" spans="1:16" x14ac:dyDescent="0.3">
      <c r="A623" s="17">
        <v>40910</v>
      </c>
      <c r="B623" s="13">
        <v>24270</v>
      </c>
      <c r="C623" s="13">
        <v>53205</v>
      </c>
      <c r="D623" s="14">
        <v>1826.37</v>
      </c>
      <c r="E623" s="28">
        <f t="shared" si="73"/>
        <v>2.0644095788604488E-3</v>
      </c>
      <c r="F623" s="39">
        <f t="shared" si="73"/>
        <v>-2.818489289740933E-4</v>
      </c>
      <c r="H623" s="64">
        <f t="shared" si="75"/>
        <v>0.9</v>
      </c>
      <c r="I623" s="65">
        <f t="shared" si="76"/>
        <v>1</v>
      </c>
      <c r="J623" s="66">
        <v>0.9</v>
      </c>
      <c r="K623" s="65">
        <f t="shared" si="74"/>
        <v>9.9999999999999978E-2</v>
      </c>
      <c r="L623" s="28">
        <f t="shared" si="77"/>
        <v>9.4148592287277553E-4</v>
      </c>
      <c r="M623" s="71">
        <f t="shared" si="80"/>
        <v>1.8297837280769947E-3</v>
      </c>
      <c r="N623" s="51">
        <v>40910</v>
      </c>
      <c r="O623" s="77">
        <f t="shared" si="78"/>
        <v>0.35656648680207897</v>
      </c>
      <c r="P623" s="39">
        <f t="shared" si="79"/>
        <v>0.19001915633918443</v>
      </c>
    </row>
    <row r="624" spans="1:16" x14ac:dyDescent="0.3">
      <c r="A624" s="18">
        <v>40911</v>
      </c>
      <c r="B624" s="15">
        <v>25035</v>
      </c>
      <c r="C624" s="15">
        <v>53190</v>
      </c>
      <c r="D624" s="70">
        <v>1875.41</v>
      </c>
      <c r="E624" s="71">
        <f t="shared" si="73"/>
        <v>3.1520395550061808E-2</v>
      </c>
      <c r="F624" s="39">
        <f t="shared" si="73"/>
        <v>-2.8192839018892357E-4</v>
      </c>
      <c r="H624" s="64">
        <f t="shared" si="75"/>
        <v>0.9</v>
      </c>
      <c r="I624" s="65">
        <f t="shared" si="76"/>
        <v>1</v>
      </c>
      <c r="J624" s="66">
        <v>1</v>
      </c>
      <c r="K624" s="65">
        <f t="shared" si="74"/>
        <v>0</v>
      </c>
      <c r="L624" s="28">
        <f t="shared" si="77"/>
        <v>2.0644095788604488E-3</v>
      </c>
      <c r="M624" s="71">
        <f t="shared" si="80"/>
        <v>3.1520395550061808E-2</v>
      </c>
      <c r="N624" s="50">
        <v>40911</v>
      </c>
      <c r="O624" s="77">
        <f t="shared" si="78"/>
        <v>0.38808688235214078</v>
      </c>
      <c r="P624" s="39">
        <f t="shared" si="79"/>
        <v>0.22197245135983956</v>
      </c>
    </row>
    <row r="625" spans="1:16" x14ac:dyDescent="0.3">
      <c r="A625" s="17">
        <v>40912</v>
      </c>
      <c r="B625" s="13">
        <v>24890</v>
      </c>
      <c r="C625" s="13">
        <v>53190</v>
      </c>
      <c r="D625" s="14">
        <v>1866.22</v>
      </c>
      <c r="E625" s="28">
        <f t="shared" si="73"/>
        <v>-5.7918913521070037E-3</v>
      </c>
      <c r="F625" s="39">
        <f t="shared" si="73"/>
        <v>0</v>
      </c>
      <c r="H625" s="64">
        <f t="shared" si="75"/>
        <v>0.7</v>
      </c>
      <c r="I625" s="65">
        <f t="shared" si="76"/>
        <v>0.9</v>
      </c>
      <c r="J625" s="66">
        <v>0.9</v>
      </c>
      <c r="K625" s="65">
        <f t="shared" si="74"/>
        <v>9.9999999999999978E-2</v>
      </c>
      <c r="L625" s="28">
        <f t="shared" si="77"/>
        <v>2.8340163156036737E-2</v>
      </c>
      <c r="M625" s="71">
        <f t="shared" si="80"/>
        <v>-5.2127022168963035E-3</v>
      </c>
      <c r="N625" s="51">
        <v>40912</v>
      </c>
      <c r="O625" s="77">
        <f t="shared" si="78"/>
        <v>0.38287418013524449</v>
      </c>
      <c r="P625" s="39">
        <f t="shared" si="79"/>
        <v>0.21598446642428026</v>
      </c>
    </row>
    <row r="626" spans="1:16" x14ac:dyDescent="0.3">
      <c r="A626" s="18">
        <v>40913</v>
      </c>
      <c r="B626" s="15">
        <v>24845</v>
      </c>
      <c r="C626" s="15">
        <v>53210</v>
      </c>
      <c r="D626" s="16">
        <v>1863.74</v>
      </c>
      <c r="E626" s="28">
        <f t="shared" si="73"/>
        <v>-1.8079550020088098E-3</v>
      </c>
      <c r="F626" s="39">
        <f t="shared" si="73"/>
        <v>3.760105282948345E-4</v>
      </c>
      <c r="H626" s="64">
        <f t="shared" si="75"/>
        <v>0.7</v>
      </c>
      <c r="I626" s="65">
        <f t="shared" si="76"/>
        <v>0.9</v>
      </c>
      <c r="J626" s="66">
        <v>0.7</v>
      </c>
      <c r="K626" s="65">
        <f t="shared" si="74"/>
        <v>0.30000000000000004</v>
      </c>
      <c r="L626" s="28">
        <f t="shared" si="77"/>
        <v>-4.0543239464749022E-3</v>
      </c>
      <c r="M626" s="71">
        <f t="shared" si="80"/>
        <v>-1.1527653429177164E-3</v>
      </c>
      <c r="N626" s="50">
        <v>40913</v>
      </c>
      <c r="O626" s="77">
        <f t="shared" si="78"/>
        <v>0.3817214147923268</v>
      </c>
      <c r="P626" s="39">
        <f t="shared" si="79"/>
        <v>0.21436855754069084</v>
      </c>
    </row>
    <row r="627" spans="1:16" x14ac:dyDescent="0.3">
      <c r="A627" s="17">
        <v>40914</v>
      </c>
      <c r="B627" s="13">
        <v>24500</v>
      </c>
      <c r="C627" s="13">
        <v>53205</v>
      </c>
      <c r="D627" s="14">
        <v>1843.14</v>
      </c>
      <c r="E627" s="28">
        <f t="shared" si="73"/>
        <v>-1.3886093781445008E-2</v>
      </c>
      <c r="F627" s="39">
        <f t="shared" si="73"/>
        <v>-9.3967299379826841E-5</v>
      </c>
      <c r="H627" s="64">
        <f t="shared" si="75"/>
        <v>0.7</v>
      </c>
      <c r="I627" s="65">
        <f t="shared" si="76"/>
        <v>0.9</v>
      </c>
      <c r="J627" s="66">
        <v>0.7</v>
      </c>
      <c r="K627" s="65">
        <f t="shared" si="74"/>
        <v>0.30000000000000004</v>
      </c>
      <c r="L627" s="28">
        <f t="shared" si="77"/>
        <v>-1.1527653429177164E-3</v>
      </c>
      <c r="M627" s="71">
        <f t="shared" si="80"/>
        <v>-9.748455836825454E-3</v>
      </c>
      <c r="N627" s="51">
        <v>40914</v>
      </c>
      <c r="O627" s="77">
        <f t="shared" si="78"/>
        <v>0.37197295895550136</v>
      </c>
      <c r="P627" s="39">
        <f t="shared" si="79"/>
        <v>0.20094608858829521</v>
      </c>
    </row>
    <row r="628" spans="1:16" x14ac:dyDescent="0.3">
      <c r="A628" s="17">
        <v>40917</v>
      </c>
      <c r="B628" s="13">
        <v>24185</v>
      </c>
      <c r="C628" s="13">
        <v>53175</v>
      </c>
      <c r="D628" s="14">
        <v>1826.49</v>
      </c>
      <c r="E628" s="28">
        <f t="shared" si="73"/>
        <v>-1.28571428571429E-2</v>
      </c>
      <c r="F628" s="39">
        <f t="shared" si="73"/>
        <v>-5.6385678037773612E-4</v>
      </c>
      <c r="H628" s="64">
        <f t="shared" si="75"/>
        <v>0.9</v>
      </c>
      <c r="I628" s="65">
        <f t="shared" si="76"/>
        <v>1</v>
      </c>
      <c r="J628" s="66">
        <v>0.9</v>
      </c>
      <c r="K628" s="65">
        <f t="shared" si="74"/>
        <v>9.9999999999999978E-2</v>
      </c>
      <c r="L628" s="28">
        <f t="shared" si="77"/>
        <v>-1.2506881133238491E-2</v>
      </c>
      <c r="M628" s="71">
        <f t="shared" si="80"/>
        <v>-1.1627814249466385E-2</v>
      </c>
      <c r="N628" s="51">
        <v>40917</v>
      </c>
      <c r="O628" s="77">
        <f t="shared" si="78"/>
        <v>0.36034514470603496</v>
      </c>
      <c r="P628" s="39">
        <f t="shared" si="79"/>
        <v>0.19009734547871293</v>
      </c>
    </row>
    <row r="629" spans="1:16" x14ac:dyDescent="0.3">
      <c r="A629" s="18">
        <v>40918</v>
      </c>
      <c r="B629" s="15">
        <v>24600</v>
      </c>
      <c r="C629" s="15">
        <v>53170</v>
      </c>
      <c r="D629" s="70">
        <v>1853.22</v>
      </c>
      <c r="E629" s="71">
        <f t="shared" si="73"/>
        <v>1.715939632003316E-2</v>
      </c>
      <c r="F629" s="39">
        <f t="shared" si="73"/>
        <v>-9.4029149036223281E-5</v>
      </c>
      <c r="H629" s="64">
        <f t="shared" si="75"/>
        <v>0.9</v>
      </c>
      <c r="I629" s="65">
        <f t="shared" si="76"/>
        <v>1</v>
      </c>
      <c r="J629" s="66">
        <v>0.9</v>
      </c>
      <c r="K629" s="65">
        <f t="shared" si="74"/>
        <v>9.9999999999999978E-2</v>
      </c>
      <c r="L629" s="28">
        <f t="shared" si="77"/>
        <v>-1.1627814249466385E-2</v>
      </c>
      <c r="M629" s="71">
        <f t="shared" si="80"/>
        <v>1.5434053773126222E-2</v>
      </c>
      <c r="N629" s="50">
        <v>40918</v>
      </c>
      <c r="O629" s="77">
        <f t="shared" si="78"/>
        <v>0.37577919847916119</v>
      </c>
      <c r="P629" s="39">
        <f t="shared" si="79"/>
        <v>0.20751397630869084</v>
      </c>
    </row>
    <row r="630" spans="1:16" x14ac:dyDescent="0.3">
      <c r="A630" s="17">
        <v>40919</v>
      </c>
      <c r="B630" s="13">
        <v>24540</v>
      </c>
      <c r="C630" s="13">
        <v>53110</v>
      </c>
      <c r="D630" s="14">
        <v>1845.55</v>
      </c>
      <c r="E630" s="28">
        <f t="shared" si="73"/>
        <v>-2.4390243902439046E-3</v>
      </c>
      <c r="F630" s="39">
        <f t="shared" si="73"/>
        <v>-1.1284558961820457E-3</v>
      </c>
      <c r="H630" s="64">
        <f t="shared" si="75"/>
        <v>0.7</v>
      </c>
      <c r="I630" s="65">
        <f t="shared" si="76"/>
        <v>0.9</v>
      </c>
      <c r="J630" s="66">
        <v>0.9</v>
      </c>
      <c r="K630" s="65">
        <f t="shared" si="74"/>
        <v>9.9999999999999978E-2</v>
      </c>
      <c r="L630" s="28">
        <f t="shared" si="77"/>
        <v>1.5434053773126222E-2</v>
      </c>
      <c r="M630" s="71">
        <f t="shared" si="80"/>
        <v>-2.3079675408377185E-3</v>
      </c>
      <c r="N630" s="51">
        <v>40919</v>
      </c>
      <c r="O630" s="77">
        <f t="shared" si="78"/>
        <v>0.37347123093832346</v>
      </c>
      <c r="P630" s="39">
        <f t="shared" si="79"/>
        <v>0.20251638714049292</v>
      </c>
    </row>
    <row r="631" spans="1:16" x14ac:dyDescent="0.3">
      <c r="A631" s="18">
        <v>40920</v>
      </c>
      <c r="B631" s="15">
        <v>24720</v>
      </c>
      <c r="C631" s="15">
        <v>53200</v>
      </c>
      <c r="D631" s="16">
        <v>1864.57</v>
      </c>
      <c r="E631" s="28">
        <f t="shared" si="73"/>
        <v>7.3349633251833524E-3</v>
      </c>
      <c r="F631" s="39">
        <f t="shared" si="73"/>
        <v>1.6945961212577743E-3</v>
      </c>
      <c r="H631" s="64">
        <f t="shared" si="75"/>
        <v>0.9</v>
      </c>
      <c r="I631" s="65">
        <f t="shared" si="76"/>
        <v>1</v>
      </c>
      <c r="J631" s="66">
        <v>0.9</v>
      </c>
      <c r="K631" s="65">
        <f t="shared" si="74"/>
        <v>9.9999999999999978E-2</v>
      </c>
      <c r="L631" s="28">
        <f t="shared" si="77"/>
        <v>-2.3079675408377185E-3</v>
      </c>
      <c r="M631" s="71">
        <f t="shared" si="80"/>
        <v>6.7709266047907947E-3</v>
      </c>
      <c r="N631" s="50">
        <v>40920</v>
      </c>
      <c r="O631" s="77">
        <f t="shared" si="78"/>
        <v>0.38024215754311425</v>
      </c>
      <c r="P631" s="39">
        <f t="shared" si="79"/>
        <v>0.21490936575576325</v>
      </c>
    </row>
    <row r="632" spans="1:16" x14ac:dyDescent="0.3">
      <c r="A632" s="17">
        <v>40921</v>
      </c>
      <c r="B632" s="13">
        <v>25000</v>
      </c>
      <c r="C632" s="13">
        <v>53245</v>
      </c>
      <c r="D632" s="14">
        <v>1875.68</v>
      </c>
      <c r="E632" s="28">
        <f t="shared" si="73"/>
        <v>1.1326860841423869E-2</v>
      </c>
      <c r="F632" s="39">
        <f t="shared" si="73"/>
        <v>8.4586466165403884E-4</v>
      </c>
      <c r="H632" s="64">
        <f t="shared" si="75"/>
        <v>0.7</v>
      </c>
      <c r="I632" s="65">
        <f t="shared" si="76"/>
        <v>0.9</v>
      </c>
      <c r="J632" s="66">
        <v>0.9</v>
      </c>
      <c r="K632" s="65">
        <f t="shared" si="74"/>
        <v>9.9999999999999978E-2</v>
      </c>
      <c r="L632" s="28">
        <f t="shared" si="77"/>
        <v>6.7709266047907947E-3</v>
      </c>
      <c r="M632" s="71">
        <f t="shared" si="80"/>
        <v>1.0278761223446887E-2</v>
      </c>
      <c r="N632" s="51">
        <v>40921</v>
      </c>
      <c r="O632" s="77">
        <f t="shared" si="78"/>
        <v>0.39052091876656114</v>
      </c>
      <c r="P632" s="39">
        <f t="shared" si="79"/>
        <v>0.22214837692377865</v>
      </c>
    </row>
    <row r="633" spans="1:16" x14ac:dyDescent="0.3">
      <c r="A633" s="17">
        <v>40924</v>
      </c>
      <c r="B633" s="13">
        <v>24735</v>
      </c>
      <c r="C633" s="13">
        <v>53235</v>
      </c>
      <c r="D633" s="14">
        <v>1859.27</v>
      </c>
      <c r="E633" s="28">
        <f t="shared" si="73"/>
        <v>-1.0600000000000054E-2</v>
      </c>
      <c r="F633" s="39">
        <f t="shared" si="73"/>
        <v>-1.8781106207155229E-4</v>
      </c>
      <c r="H633" s="64">
        <f t="shared" si="75"/>
        <v>0.7</v>
      </c>
      <c r="I633" s="65">
        <f t="shared" si="76"/>
        <v>0.9</v>
      </c>
      <c r="J633" s="66">
        <v>0.9</v>
      </c>
      <c r="K633" s="65">
        <f t="shared" si="74"/>
        <v>9.9999999999999978E-2</v>
      </c>
      <c r="L633" s="28">
        <f t="shared" si="77"/>
        <v>1.0278761223446887E-2</v>
      </c>
      <c r="M633" s="71">
        <f t="shared" si="80"/>
        <v>-9.5587811062072033E-3</v>
      </c>
      <c r="N633" s="51">
        <v>40924</v>
      </c>
      <c r="O633" s="77">
        <f t="shared" si="78"/>
        <v>0.38096213766035392</v>
      </c>
      <c r="P633" s="39">
        <f t="shared" si="79"/>
        <v>0.2114560120932536</v>
      </c>
    </row>
    <row r="634" spans="1:16" x14ac:dyDescent="0.3">
      <c r="A634" s="18">
        <v>40925</v>
      </c>
      <c r="B634" s="15">
        <v>25230</v>
      </c>
      <c r="C634" s="15">
        <v>53220</v>
      </c>
      <c r="D634" s="70">
        <v>1892.74</v>
      </c>
      <c r="E634" s="71">
        <f t="shared" si="73"/>
        <v>2.0012128562765241E-2</v>
      </c>
      <c r="F634" s="39">
        <f t="shared" si="73"/>
        <v>-2.8176951253877647E-4</v>
      </c>
      <c r="H634" s="64">
        <f t="shared" si="75"/>
        <v>0.7</v>
      </c>
      <c r="I634" s="65">
        <f t="shared" si="76"/>
        <v>0.9</v>
      </c>
      <c r="J634" s="66">
        <v>0.7</v>
      </c>
      <c r="K634" s="65">
        <f t="shared" si="74"/>
        <v>0.30000000000000004</v>
      </c>
      <c r="L634" s="28">
        <f t="shared" si="77"/>
        <v>-7.4763433186215023E-3</v>
      </c>
      <c r="M634" s="71">
        <f t="shared" si="80"/>
        <v>1.3923959140174033E-2</v>
      </c>
      <c r="N634" s="50">
        <v>40925</v>
      </c>
      <c r="O634" s="77">
        <f t="shared" si="78"/>
        <v>0.39488609680052794</v>
      </c>
      <c r="P634" s="39">
        <f t="shared" si="79"/>
        <v>0.23326426626008323</v>
      </c>
    </row>
    <row r="635" spans="1:16" x14ac:dyDescent="0.3">
      <c r="A635" s="17">
        <v>40926</v>
      </c>
      <c r="B635" s="13">
        <v>25210</v>
      </c>
      <c r="C635" s="13">
        <v>53240</v>
      </c>
      <c r="D635" s="14">
        <v>1892.39</v>
      </c>
      <c r="E635" s="28">
        <f t="shared" si="73"/>
        <v>-7.9270709472845091E-4</v>
      </c>
      <c r="F635" s="39">
        <f t="shared" si="73"/>
        <v>3.7579857196545774E-4</v>
      </c>
      <c r="H635" s="64">
        <f t="shared" si="75"/>
        <v>0.7</v>
      </c>
      <c r="I635" s="65">
        <f t="shared" si="76"/>
        <v>0.9</v>
      </c>
      <c r="J635" s="66">
        <v>0.9</v>
      </c>
      <c r="K635" s="65">
        <f t="shared" si="74"/>
        <v>9.9999999999999978E-2</v>
      </c>
      <c r="L635" s="28">
        <f t="shared" si="77"/>
        <v>1.7982738755234838E-2</v>
      </c>
      <c r="M635" s="71">
        <f t="shared" si="80"/>
        <v>-6.7585652805906009E-4</v>
      </c>
      <c r="N635" s="51">
        <v>40926</v>
      </c>
      <c r="O635" s="77">
        <f t="shared" si="78"/>
        <v>0.39421024027246887</v>
      </c>
      <c r="P635" s="39">
        <f t="shared" si="79"/>
        <v>0.23303621460312507</v>
      </c>
    </row>
    <row r="636" spans="1:16" x14ac:dyDescent="0.3">
      <c r="A636" s="18">
        <v>40927</v>
      </c>
      <c r="B636" s="15">
        <v>25590</v>
      </c>
      <c r="C636" s="15">
        <v>53225</v>
      </c>
      <c r="D636" s="16">
        <v>1914.97</v>
      </c>
      <c r="E636" s="28">
        <f t="shared" si="73"/>
        <v>1.5073383577945298E-2</v>
      </c>
      <c r="F636" s="39">
        <f t="shared" si="73"/>
        <v>-2.8174305033812352E-4</v>
      </c>
      <c r="H636" s="64">
        <f t="shared" si="75"/>
        <v>0.7</v>
      </c>
      <c r="I636" s="65">
        <f t="shared" si="76"/>
        <v>0.9</v>
      </c>
      <c r="J636" s="66">
        <v>0.7</v>
      </c>
      <c r="K636" s="65">
        <f t="shared" si="74"/>
        <v>0.30000000000000004</v>
      </c>
      <c r="L636" s="28">
        <f t="shared" si="77"/>
        <v>-4.4215539472027823E-4</v>
      </c>
      <c r="M636" s="71">
        <f t="shared" si="80"/>
        <v>1.0466845589460271E-2</v>
      </c>
      <c r="N636" s="50">
        <v>40927</v>
      </c>
      <c r="O636" s="77">
        <f t="shared" si="78"/>
        <v>0.40467708586192913</v>
      </c>
      <c r="P636" s="39">
        <f t="shared" si="79"/>
        <v>0.24774880435774138</v>
      </c>
    </row>
    <row r="637" spans="1:16" x14ac:dyDescent="0.3">
      <c r="A637" s="17">
        <v>40928</v>
      </c>
      <c r="B637" s="13">
        <v>26100</v>
      </c>
      <c r="C637" s="13">
        <v>53200</v>
      </c>
      <c r="D637" s="14">
        <v>1949.89</v>
      </c>
      <c r="E637" s="28">
        <f t="shared" si="73"/>
        <v>1.9929660023446649E-2</v>
      </c>
      <c r="F637" s="39">
        <f t="shared" si="73"/>
        <v>-4.6970408642554862E-4</v>
      </c>
      <c r="H637" s="64">
        <f t="shared" si="75"/>
        <v>0.5</v>
      </c>
      <c r="I637" s="65">
        <f t="shared" si="76"/>
        <v>0.7</v>
      </c>
      <c r="J637" s="66">
        <v>0.7</v>
      </c>
      <c r="K637" s="65">
        <f t="shared" si="74"/>
        <v>0.30000000000000004</v>
      </c>
      <c r="L637" s="28">
        <f t="shared" si="77"/>
        <v>1.0466845589460271E-2</v>
      </c>
      <c r="M637" s="71">
        <f t="shared" si="80"/>
        <v>1.3809850790484988E-2</v>
      </c>
      <c r="N637" s="51">
        <v>40928</v>
      </c>
      <c r="O637" s="77">
        <f t="shared" si="78"/>
        <v>0.4184869366524141</v>
      </c>
      <c r="P637" s="39">
        <f t="shared" si="79"/>
        <v>0.27050184396054067</v>
      </c>
    </row>
    <row r="638" spans="1:16" x14ac:dyDescent="0.3">
      <c r="A638" s="17">
        <v>40933</v>
      </c>
      <c r="B638" s="13">
        <v>26190</v>
      </c>
      <c r="C638" s="13">
        <v>53205</v>
      </c>
      <c r="D638" s="14">
        <v>1952.23</v>
      </c>
      <c r="E638" s="28">
        <f t="shared" si="73"/>
        <v>3.4482758620688614E-3</v>
      </c>
      <c r="F638" s="39">
        <f t="shared" si="73"/>
        <v>9.3984962405979644E-5</v>
      </c>
      <c r="H638" s="64">
        <f t="shared" si="75"/>
        <v>0.5</v>
      </c>
      <c r="I638" s="65">
        <f t="shared" si="76"/>
        <v>0.7</v>
      </c>
      <c r="J638" s="66">
        <v>0.7</v>
      </c>
      <c r="K638" s="65">
        <f t="shared" si="74"/>
        <v>0.30000000000000004</v>
      </c>
      <c r="L638" s="28">
        <f t="shared" si="77"/>
        <v>1.3809850790484988E-2</v>
      </c>
      <c r="M638" s="71">
        <f t="shared" si="80"/>
        <v>2.4419885921699966E-3</v>
      </c>
      <c r="N638" s="51">
        <v>40933</v>
      </c>
      <c r="O638" s="77">
        <f t="shared" si="78"/>
        <v>0.42092892524458408</v>
      </c>
      <c r="P638" s="39">
        <f t="shared" si="79"/>
        <v>0.27202653218134665</v>
      </c>
    </row>
    <row r="639" spans="1:16" x14ac:dyDescent="0.3">
      <c r="A639" s="18">
        <v>40934</v>
      </c>
      <c r="B639" s="15">
        <v>26215</v>
      </c>
      <c r="C639" s="15">
        <v>53230</v>
      </c>
      <c r="D639" s="70">
        <v>1957.18</v>
      </c>
      <c r="E639" s="71">
        <f t="shared" si="73"/>
        <v>9.5456281023298395E-4</v>
      </c>
      <c r="F639" s="39">
        <f t="shared" si="73"/>
        <v>4.6988065031472459E-4</v>
      </c>
      <c r="H639" s="64">
        <f t="shared" si="75"/>
        <v>0.3</v>
      </c>
      <c r="I639" s="65">
        <f t="shared" si="76"/>
        <v>0.5</v>
      </c>
      <c r="J639" s="66">
        <v>0.5</v>
      </c>
      <c r="K639" s="65">
        <f t="shared" si="74"/>
        <v>0.5</v>
      </c>
      <c r="L639" s="28">
        <f t="shared" si="77"/>
        <v>1.7711304122374205E-3</v>
      </c>
      <c r="M639" s="71">
        <f t="shared" si="80"/>
        <v>7.1222173027385427E-4</v>
      </c>
      <c r="N639" s="50">
        <v>40934</v>
      </c>
      <c r="O639" s="77">
        <f t="shared" si="78"/>
        <v>0.42164114697485794</v>
      </c>
      <c r="P639" s="39">
        <f t="shared" si="79"/>
        <v>0.27525183418689814</v>
      </c>
    </row>
    <row r="640" spans="1:16" x14ac:dyDescent="0.3">
      <c r="A640" s="17">
        <v>40935</v>
      </c>
      <c r="B640" s="13">
        <v>26255</v>
      </c>
      <c r="C640" s="13">
        <v>53250</v>
      </c>
      <c r="D640" s="14">
        <v>1964.83</v>
      </c>
      <c r="E640" s="28">
        <f t="shared" si="73"/>
        <v>1.5258439824528125E-3</v>
      </c>
      <c r="F640" s="39">
        <f t="shared" si="73"/>
        <v>3.7572797294749272E-4</v>
      </c>
      <c r="H640" s="64">
        <f t="shared" si="75"/>
        <v>0.3</v>
      </c>
      <c r="I640" s="65">
        <f t="shared" si="76"/>
        <v>0.5</v>
      </c>
      <c r="J640" s="66">
        <v>0.5</v>
      </c>
      <c r="K640" s="65">
        <f t="shared" si="74"/>
        <v>0.5</v>
      </c>
      <c r="L640" s="28">
        <f t="shared" si="77"/>
        <v>7.1222173027385427E-4</v>
      </c>
      <c r="M640" s="71">
        <f t="shared" si="80"/>
        <v>9.5078597770015261E-4</v>
      </c>
      <c r="N640" s="51">
        <v>40935</v>
      </c>
      <c r="O640" s="77">
        <f t="shared" si="78"/>
        <v>0.42259193295255809</v>
      </c>
      <c r="P640" s="39">
        <f t="shared" si="79"/>
        <v>0.28023639183184113</v>
      </c>
    </row>
    <row r="641" spans="1:16" x14ac:dyDescent="0.3">
      <c r="A641" s="18">
        <v>40938</v>
      </c>
      <c r="B641" s="15">
        <v>25960</v>
      </c>
      <c r="C641" s="15">
        <v>53325</v>
      </c>
      <c r="D641" s="16">
        <v>1940.55</v>
      </c>
      <c r="E641" s="28">
        <f t="shared" si="73"/>
        <v>-1.1235955056179803E-2</v>
      </c>
      <c r="F641" s="39">
        <f t="shared" si="73"/>
        <v>1.4084507042253502E-3</v>
      </c>
      <c r="H641" s="64">
        <f t="shared" si="75"/>
        <v>0.3</v>
      </c>
      <c r="I641" s="65">
        <f t="shared" si="76"/>
        <v>0.5</v>
      </c>
      <c r="J641" s="66">
        <v>0.5</v>
      </c>
      <c r="K641" s="65">
        <f t="shared" si="74"/>
        <v>0.5</v>
      </c>
      <c r="L641" s="28">
        <f t="shared" si="77"/>
        <v>9.5078597770015261E-4</v>
      </c>
      <c r="M641" s="71">
        <f t="shared" si="80"/>
        <v>-4.9137521759772262E-3</v>
      </c>
      <c r="N641" s="50">
        <v>40938</v>
      </c>
      <c r="O641" s="77">
        <f t="shared" si="78"/>
        <v>0.41767818077658087</v>
      </c>
      <c r="P641" s="39">
        <f t="shared" si="79"/>
        <v>0.26441612260057079</v>
      </c>
    </row>
    <row r="642" spans="1:16" x14ac:dyDescent="0.3">
      <c r="A642" s="17">
        <v>40939</v>
      </c>
      <c r="B642" s="13">
        <v>26100</v>
      </c>
      <c r="C642" s="13">
        <v>53290</v>
      </c>
      <c r="D642" s="14">
        <v>1955.79</v>
      </c>
      <c r="E642" s="28">
        <f t="shared" si="73"/>
        <v>5.3929121725730944E-3</v>
      </c>
      <c r="F642" s="39">
        <f t="shared" si="73"/>
        <v>-6.5635255508678103E-4</v>
      </c>
      <c r="H642" s="64">
        <f t="shared" si="75"/>
        <v>0.5</v>
      </c>
      <c r="I642" s="65">
        <f t="shared" si="76"/>
        <v>0.7</v>
      </c>
      <c r="J642" s="66">
        <v>0.5</v>
      </c>
      <c r="K642" s="65">
        <f t="shared" si="74"/>
        <v>0.5</v>
      </c>
      <c r="L642" s="28">
        <f t="shared" si="77"/>
        <v>-4.9137521759772262E-3</v>
      </c>
      <c r="M642" s="71">
        <f t="shared" si="80"/>
        <v>2.3682798087431567E-3</v>
      </c>
      <c r="N642" s="51">
        <v>40939</v>
      </c>
      <c r="O642" s="77">
        <f t="shared" si="78"/>
        <v>0.42004646058532402</v>
      </c>
      <c r="P642" s="39">
        <f t="shared" si="79"/>
        <v>0.27434614332069263</v>
      </c>
    </row>
    <row r="643" spans="1:16" x14ac:dyDescent="0.3">
      <c r="A643" s="17">
        <v>40940</v>
      </c>
      <c r="B643" s="13">
        <v>26130</v>
      </c>
      <c r="C643" s="13">
        <v>53320</v>
      </c>
      <c r="D643" s="14">
        <v>1959.24</v>
      </c>
      <c r="E643" s="28">
        <f t="shared" si="73"/>
        <v>1.1494252873562871E-3</v>
      </c>
      <c r="F643" s="39">
        <f t="shared" si="73"/>
        <v>5.6295740288980767E-4</v>
      </c>
      <c r="H643" s="64">
        <f t="shared" si="75"/>
        <v>0.3</v>
      </c>
      <c r="I643" s="65">
        <f t="shared" si="76"/>
        <v>0.5</v>
      </c>
      <c r="J643" s="66">
        <v>0.5</v>
      </c>
      <c r="K643" s="65">
        <f t="shared" si="74"/>
        <v>0.5</v>
      </c>
      <c r="L643" s="28">
        <f t="shared" si="77"/>
        <v>2.3682798087431567E-3</v>
      </c>
      <c r="M643" s="71">
        <f t="shared" si="80"/>
        <v>8.561913451230474E-4</v>
      </c>
      <c r="N643" s="51">
        <v>40940</v>
      </c>
      <c r="O643" s="77">
        <f t="shared" si="78"/>
        <v>0.42090265193044707</v>
      </c>
      <c r="P643" s="39">
        <f t="shared" si="79"/>
        <v>0.27659408108213768</v>
      </c>
    </row>
    <row r="644" spans="1:16" x14ac:dyDescent="0.3">
      <c r="A644" s="18">
        <v>40941</v>
      </c>
      <c r="B644" s="15">
        <v>26425</v>
      </c>
      <c r="C644" s="15">
        <v>53300</v>
      </c>
      <c r="D644" s="70">
        <v>1984.3</v>
      </c>
      <c r="E644" s="71">
        <f t="shared" si="73"/>
        <v>1.1289705319555976E-2</v>
      </c>
      <c r="F644" s="39">
        <f t="shared" si="73"/>
        <v>-3.7509377344335793E-4</v>
      </c>
      <c r="H644" s="64">
        <f t="shared" si="75"/>
        <v>0.3</v>
      </c>
      <c r="I644" s="65">
        <f t="shared" si="76"/>
        <v>0.5</v>
      </c>
      <c r="J644" s="66">
        <v>0.5</v>
      </c>
      <c r="K644" s="65">
        <f t="shared" si="74"/>
        <v>0.5</v>
      </c>
      <c r="L644" s="28">
        <f t="shared" si="77"/>
        <v>8.561913451230474E-4</v>
      </c>
      <c r="M644" s="71">
        <f t="shared" si="80"/>
        <v>5.457305773056309E-3</v>
      </c>
      <c r="N644" s="50">
        <v>40941</v>
      </c>
      <c r="O644" s="77">
        <f t="shared" si="78"/>
        <v>0.42635995770350338</v>
      </c>
      <c r="P644" s="39">
        <f t="shared" si="79"/>
        <v>0.29292257972034341</v>
      </c>
    </row>
    <row r="645" spans="1:16" x14ac:dyDescent="0.3">
      <c r="A645" s="17">
        <v>40942</v>
      </c>
      <c r="B645" s="13">
        <v>26295</v>
      </c>
      <c r="C645" s="13">
        <v>53305</v>
      </c>
      <c r="D645" s="14">
        <v>1972.34</v>
      </c>
      <c r="E645" s="28">
        <f t="shared" si="73"/>
        <v>-4.919583727530763E-3</v>
      </c>
      <c r="F645" s="39">
        <f t="shared" si="73"/>
        <v>9.3808630394098813E-5</v>
      </c>
      <c r="H645" s="64">
        <f t="shared" si="75"/>
        <v>0.3</v>
      </c>
      <c r="I645" s="65">
        <f t="shared" si="76"/>
        <v>0.5</v>
      </c>
      <c r="J645" s="66">
        <v>0.5</v>
      </c>
      <c r="K645" s="65">
        <f t="shared" si="74"/>
        <v>0.5</v>
      </c>
      <c r="L645" s="28">
        <f t="shared" si="77"/>
        <v>5.457305773056309E-3</v>
      </c>
      <c r="M645" s="71">
        <f t="shared" si="80"/>
        <v>-2.4128875485683321E-3</v>
      </c>
      <c r="N645" s="51">
        <v>40942</v>
      </c>
      <c r="O645" s="77">
        <f t="shared" si="78"/>
        <v>0.42394707015493505</v>
      </c>
      <c r="P645" s="39">
        <f t="shared" si="79"/>
        <v>0.28512972881400112</v>
      </c>
    </row>
    <row r="646" spans="1:16" x14ac:dyDescent="0.3">
      <c r="A646" s="18">
        <v>40945</v>
      </c>
      <c r="B646" s="15">
        <v>26330</v>
      </c>
      <c r="C646" s="15">
        <v>53285</v>
      </c>
      <c r="D646" s="16">
        <v>1973.13</v>
      </c>
      <c r="E646" s="28">
        <f t="shared" si="73"/>
        <v>1.3310515307092263E-3</v>
      </c>
      <c r="F646" s="39">
        <f t="shared" si="73"/>
        <v>-3.7519932464125105E-4</v>
      </c>
      <c r="H646" s="64">
        <f t="shared" si="75"/>
        <v>0.3</v>
      </c>
      <c r="I646" s="65">
        <f t="shared" si="76"/>
        <v>0.5</v>
      </c>
      <c r="J646" s="66">
        <v>0.3</v>
      </c>
      <c r="K646" s="65">
        <f t="shared" si="74"/>
        <v>0.7</v>
      </c>
      <c r="L646" s="28">
        <f t="shared" si="77"/>
        <v>-1.4102090769833595E-3</v>
      </c>
      <c r="M646" s="71">
        <f t="shared" si="80"/>
        <v>1.3667593196389218E-4</v>
      </c>
      <c r="N646" s="50">
        <v>40945</v>
      </c>
      <c r="O646" s="77">
        <f t="shared" si="78"/>
        <v>0.42408374608689892</v>
      </c>
      <c r="P646" s="39">
        <f t="shared" si="79"/>
        <v>0.28564447398256387</v>
      </c>
    </row>
    <row r="647" spans="1:16" x14ac:dyDescent="0.3">
      <c r="A647" s="17">
        <v>40946</v>
      </c>
      <c r="B647" s="13">
        <v>26375</v>
      </c>
      <c r="C647" s="13">
        <v>53210</v>
      </c>
      <c r="D647" s="14">
        <v>1981.59</v>
      </c>
      <c r="E647" s="28">
        <f t="shared" si="73"/>
        <v>1.7090770983669845E-3</v>
      </c>
      <c r="F647" s="39">
        <f t="shared" si="73"/>
        <v>-1.4075255700478628E-3</v>
      </c>
      <c r="H647" s="64">
        <f t="shared" si="75"/>
        <v>0.3</v>
      </c>
      <c r="I647" s="65">
        <f t="shared" si="76"/>
        <v>0.5</v>
      </c>
      <c r="J647" s="66">
        <v>0.5</v>
      </c>
      <c r="K647" s="65">
        <f t="shared" si="74"/>
        <v>0.5</v>
      </c>
      <c r="L647" s="28">
        <f t="shared" si="77"/>
        <v>4.7792610303398764E-4</v>
      </c>
      <c r="M647" s="71">
        <f t="shared" si="80"/>
        <v>1.5077576415956084E-4</v>
      </c>
      <c r="N647" s="51">
        <v>40946</v>
      </c>
      <c r="O647" s="77">
        <f t="shared" si="78"/>
        <v>0.42423452185105848</v>
      </c>
      <c r="P647" s="39">
        <f t="shared" si="79"/>
        <v>0.29115680831932433</v>
      </c>
    </row>
    <row r="648" spans="1:16" x14ac:dyDescent="0.3">
      <c r="A648" s="17">
        <v>40947</v>
      </c>
      <c r="B648" s="13">
        <v>26675</v>
      </c>
      <c r="C648" s="13">
        <v>53225</v>
      </c>
      <c r="D648" s="14">
        <v>2003.73</v>
      </c>
      <c r="E648" s="28">
        <f t="shared" si="73"/>
        <v>1.1374407582938284E-2</v>
      </c>
      <c r="F648" s="39">
        <f t="shared" si="73"/>
        <v>2.8190189813948052E-4</v>
      </c>
      <c r="H648" s="64">
        <f t="shared" si="75"/>
        <v>0.3</v>
      </c>
      <c r="I648" s="65">
        <f t="shared" si="76"/>
        <v>0.5</v>
      </c>
      <c r="J648" s="66">
        <v>0.5</v>
      </c>
      <c r="K648" s="65">
        <f t="shared" si="74"/>
        <v>0.5</v>
      </c>
      <c r="L648" s="28">
        <f t="shared" si="77"/>
        <v>1.5077576415956084E-4</v>
      </c>
      <c r="M648" s="71">
        <f t="shared" si="80"/>
        <v>5.8281547405388823E-3</v>
      </c>
      <c r="N648" s="51">
        <v>40947</v>
      </c>
      <c r="O648" s="77">
        <f t="shared" si="78"/>
        <v>0.43006267659159736</v>
      </c>
      <c r="P648" s="39">
        <f t="shared" si="79"/>
        <v>0.30558270456233627</v>
      </c>
    </row>
    <row r="649" spans="1:16" x14ac:dyDescent="0.3">
      <c r="A649" s="18">
        <v>40948</v>
      </c>
      <c r="B649" s="15">
        <v>26790</v>
      </c>
      <c r="C649" s="15">
        <v>53245</v>
      </c>
      <c r="D649" s="70">
        <v>2014.62</v>
      </c>
      <c r="E649" s="71">
        <f t="shared" si="73"/>
        <v>4.3111527647610171E-3</v>
      </c>
      <c r="F649" s="39">
        <f t="shared" si="73"/>
        <v>3.7576326914035008E-4</v>
      </c>
      <c r="H649" s="64">
        <f t="shared" si="75"/>
        <v>0.2</v>
      </c>
      <c r="I649" s="65">
        <f t="shared" si="76"/>
        <v>0.3</v>
      </c>
      <c r="J649" s="66">
        <v>0.3</v>
      </c>
      <c r="K649" s="65">
        <f t="shared" si="74"/>
        <v>0.7</v>
      </c>
      <c r="L649" s="28">
        <f t="shared" si="77"/>
        <v>3.6096536035791211E-3</v>
      </c>
      <c r="M649" s="71">
        <f t="shared" si="80"/>
        <v>1.5563801178265502E-3</v>
      </c>
      <c r="N649" s="50">
        <v>40948</v>
      </c>
      <c r="O649" s="77">
        <f t="shared" si="78"/>
        <v>0.43161905670942391</v>
      </c>
      <c r="P649" s="39">
        <f t="shared" si="79"/>
        <v>0.31267836897454937</v>
      </c>
    </row>
    <row r="650" spans="1:16" x14ac:dyDescent="0.3">
      <c r="A650" s="17">
        <v>40949</v>
      </c>
      <c r="B650" s="13">
        <v>26495</v>
      </c>
      <c r="C650" s="13">
        <v>53245</v>
      </c>
      <c r="D650" s="14">
        <v>1993.71</v>
      </c>
      <c r="E650" s="28">
        <f t="shared" si="73"/>
        <v>-1.1011571481896243E-2</v>
      </c>
      <c r="F650" s="39">
        <f t="shared" si="73"/>
        <v>0</v>
      </c>
      <c r="H650" s="64">
        <f t="shared" si="75"/>
        <v>0.2</v>
      </c>
      <c r="I650" s="65">
        <f t="shared" si="76"/>
        <v>0.3</v>
      </c>
      <c r="J650" s="66">
        <v>0.3</v>
      </c>
      <c r="K650" s="65">
        <f t="shared" si="74"/>
        <v>0.7</v>
      </c>
      <c r="L650" s="28">
        <f t="shared" si="77"/>
        <v>1.5563801178265502E-3</v>
      </c>
      <c r="M650" s="71">
        <f t="shared" si="80"/>
        <v>-3.3034714445688727E-3</v>
      </c>
      <c r="N650" s="51">
        <v>40949</v>
      </c>
      <c r="O650" s="77">
        <f t="shared" si="78"/>
        <v>0.42831558526485503</v>
      </c>
      <c r="P650" s="39">
        <f t="shared" si="79"/>
        <v>0.29905391141170501</v>
      </c>
    </row>
    <row r="651" spans="1:16" x14ac:dyDescent="0.3">
      <c r="A651" s="18">
        <v>40952</v>
      </c>
      <c r="B651" s="15">
        <v>26645</v>
      </c>
      <c r="C651" s="15">
        <v>53255</v>
      </c>
      <c r="D651" s="16">
        <v>2005.74</v>
      </c>
      <c r="E651" s="28">
        <f t="shared" si="73"/>
        <v>5.6614455557653098E-3</v>
      </c>
      <c r="F651" s="39">
        <f t="shared" si="73"/>
        <v>1.8781106207166332E-4</v>
      </c>
      <c r="H651" s="64">
        <f t="shared" si="75"/>
        <v>0.3</v>
      </c>
      <c r="I651" s="65">
        <f t="shared" si="76"/>
        <v>0.5</v>
      </c>
      <c r="J651" s="66">
        <v>0.3</v>
      </c>
      <c r="K651" s="65">
        <f t="shared" si="74"/>
        <v>0.7</v>
      </c>
      <c r="L651" s="28">
        <f t="shared" si="77"/>
        <v>-3.3034714445688727E-3</v>
      </c>
      <c r="M651" s="71">
        <f t="shared" si="80"/>
        <v>1.829901410179757E-3</v>
      </c>
      <c r="N651" s="50">
        <v>40952</v>
      </c>
      <c r="O651" s="77">
        <f t="shared" si="78"/>
        <v>0.43014548667503477</v>
      </c>
      <c r="P651" s="39">
        <f t="shared" si="79"/>
        <v>0.30689237264943903</v>
      </c>
    </row>
    <row r="652" spans="1:16" x14ac:dyDescent="0.3">
      <c r="A652" s="17">
        <v>40953</v>
      </c>
      <c r="B652" s="13">
        <v>26620</v>
      </c>
      <c r="C652" s="13">
        <v>53230</v>
      </c>
      <c r="D652" s="14">
        <v>2002.64</v>
      </c>
      <c r="E652" s="28">
        <f t="shared" si="73"/>
        <v>-9.3826233814975346E-4</v>
      </c>
      <c r="F652" s="39">
        <f t="shared" si="73"/>
        <v>-4.6943948924982326E-4</v>
      </c>
      <c r="H652" s="64">
        <f t="shared" si="75"/>
        <v>0.2</v>
      </c>
      <c r="I652" s="65">
        <f t="shared" si="76"/>
        <v>0.3</v>
      </c>
      <c r="J652" s="66">
        <v>0.3</v>
      </c>
      <c r="K652" s="65">
        <f t="shared" si="74"/>
        <v>0.7</v>
      </c>
      <c r="L652" s="28">
        <f t="shared" si="77"/>
        <v>1.829901410179757E-3</v>
      </c>
      <c r="M652" s="71">
        <f t="shared" si="80"/>
        <v>-6.1008634391980228E-4</v>
      </c>
      <c r="N652" s="51">
        <v>40953</v>
      </c>
      <c r="O652" s="77">
        <f t="shared" si="78"/>
        <v>0.42953540033111498</v>
      </c>
      <c r="P652" s="39">
        <f t="shared" si="79"/>
        <v>0.30487248654495236</v>
      </c>
    </row>
    <row r="653" spans="1:16" x14ac:dyDescent="0.3">
      <c r="A653" s="17">
        <v>40954</v>
      </c>
      <c r="B653" s="13">
        <v>26955</v>
      </c>
      <c r="C653" s="13">
        <v>53250</v>
      </c>
      <c r="D653" s="14">
        <v>2025.32</v>
      </c>
      <c r="E653" s="28">
        <f t="shared" si="73"/>
        <v>1.258452291510137E-2</v>
      </c>
      <c r="F653" s="39">
        <f t="shared" si="73"/>
        <v>3.7572797294749272E-4</v>
      </c>
      <c r="H653" s="64">
        <f t="shared" si="75"/>
        <v>0.2</v>
      </c>
      <c r="I653" s="65">
        <f t="shared" si="76"/>
        <v>0.3</v>
      </c>
      <c r="J653" s="66">
        <v>0.2</v>
      </c>
      <c r="K653" s="65">
        <f t="shared" si="74"/>
        <v>0.8</v>
      </c>
      <c r="L653" s="28">
        <f t="shared" si="77"/>
        <v>-5.6320405902980934E-4</v>
      </c>
      <c r="M653" s="71">
        <f t="shared" si="80"/>
        <v>2.8174869613782688E-3</v>
      </c>
      <c r="N653" s="51">
        <v>40954</v>
      </c>
      <c r="O653" s="77">
        <f t="shared" si="78"/>
        <v>0.43235288729249327</v>
      </c>
      <c r="P653" s="39">
        <f t="shared" si="79"/>
        <v>0.31965023391584246</v>
      </c>
    </row>
    <row r="654" spans="1:16" x14ac:dyDescent="0.3">
      <c r="A654" s="18">
        <v>40955</v>
      </c>
      <c r="B654" s="15">
        <v>26600</v>
      </c>
      <c r="C654" s="15">
        <v>53285</v>
      </c>
      <c r="D654" s="70">
        <v>1997.45</v>
      </c>
      <c r="E654" s="71">
        <f t="shared" si="73"/>
        <v>-1.3170098312001444E-2</v>
      </c>
      <c r="F654" s="39">
        <f t="shared" si="73"/>
        <v>6.5727699530526706E-4</v>
      </c>
      <c r="H654" s="64">
        <f t="shared" si="75"/>
        <v>0.2</v>
      </c>
      <c r="I654" s="65">
        <f t="shared" si="76"/>
        <v>0.3</v>
      </c>
      <c r="J654" s="66">
        <v>0.3</v>
      </c>
      <c r="K654" s="65">
        <f t="shared" si="74"/>
        <v>0.7</v>
      </c>
      <c r="L654" s="28">
        <f t="shared" si="77"/>
        <v>4.0383664555936555E-3</v>
      </c>
      <c r="M654" s="71">
        <f t="shared" si="80"/>
        <v>-3.4909355968867463E-3</v>
      </c>
      <c r="N654" s="50">
        <v>40955</v>
      </c>
      <c r="O654" s="77">
        <f t="shared" si="78"/>
        <v>0.42886195169560654</v>
      </c>
      <c r="P654" s="39">
        <f t="shared" si="79"/>
        <v>0.30149080626034386</v>
      </c>
    </row>
    <row r="655" spans="1:16" x14ac:dyDescent="0.3">
      <c r="A655" s="17">
        <v>40956</v>
      </c>
      <c r="B655" s="13">
        <v>26960</v>
      </c>
      <c r="C655" s="13">
        <v>53285</v>
      </c>
      <c r="D655" s="14">
        <v>2023.47</v>
      </c>
      <c r="E655" s="28">
        <f t="shared" si="73"/>
        <v>1.3533834586466176E-2</v>
      </c>
      <c r="F655" s="39">
        <f t="shared" si="73"/>
        <v>0</v>
      </c>
      <c r="H655" s="64">
        <f t="shared" si="75"/>
        <v>0.3</v>
      </c>
      <c r="I655" s="65">
        <f t="shared" si="76"/>
        <v>0.5</v>
      </c>
      <c r="J655" s="66">
        <v>0.3</v>
      </c>
      <c r="K655" s="65">
        <f t="shared" si="74"/>
        <v>0.7</v>
      </c>
      <c r="L655" s="28">
        <f t="shared" si="77"/>
        <v>-3.4909355968867463E-3</v>
      </c>
      <c r="M655" s="71">
        <f t="shared" si="80"/>
        <v>4.0601503759398524E-3</v>
      </c>
      <c r="N655" s="51">
        <v>40956</v>
      </c>
      <c r="O655" s="77">
        <f t="shared" si="78"/>
        <v>0.43292210207154641</v>
      </c>
      <c r="P655" s="39">
        <f t="shared" si="79"/>
        <v>0.31844481801477786</v>
      </c>
    </row>
    <row r="656" spans="1:16" x14ac:dyDescent="0.3">
      <c r="A656" s="18">
        <v>40959</v>
      </c>
      <c r="B656" s="15">
        <v>27035</v>
      </c>
      <c r="C656" s="15">
        <v>53220</v>
      </c>
      <c r="D656" s="16">
        <v>2024.9</v>
      </c>
      <c r="E656" s="28">
        <f t="shared" si="73"/>
        <v>2.7818991097923185E-3</v>
      </c>
      <c r="F656" s="39">
        <f t="shared" si="73"/>
        <v>-1.2198554940414663E-3</v>
      </c>
      <c r="H656" s="64">
        <f t="shared" si="75"/>
        <v>0.2</v>
      </c>
      <c r="I656" s="65">
        <f t="shared" si="76"/>
        <v>0.3</v>
      </c>
      <c r="J656" s="66">
        <v>0.3</v>
      </c>
      <c r="K656" s="65">
        <f t="shared" si="74"/>
        <v>0.7</v>
      </c>
      <c r="L656" s="28">
        <f t="shared" si="77"/>
        <v>4.0601503759398524E-3</v>
      </c>
      <c r="M656" s="71">
        <f t="shared" si="80"/>
        <v>-1.9329112891330836E-5</v>
      </c>
      <c r="N656" s="50">
        <v>40959</v>
      </c>
      <c r="O656" s="77">
        <f t="shared" si="78"/>
        <v>0.43290277295865509</v>
      </c>
      <c r="P656" s="39">
        <f t="shared" si="79"/>
        <v>0.31937657192749258</v>
      </c>
    </row>
    <row r="657" spans="1:16" x14ac:dyDescent="0.3">
      <c r="A657" s="17">
        <v>40960</v>
      </c>
      <c r="B657" s="13">
        <v>27040</v>
      </c>
      <c r="C657" s="13">
        <v>53275</v>
      </c>
      <c r="D657" s="14">
        <v>2024.24</v>
      </c>
      <c r="E657" s="28">
        <f t="shared" ref="E657:F720" si="81">B657/B656-1</f>
        <v>1.8494544109493027E-4</v>
      </c>
      <c r="F657" s="39">
        <f t="shared" si="81"/>
        <v>1.0334460729048978E-3</v>
      </c>
      <c r="H657" s="64">
        <f t="shared" si="75"/>
        <v>0.2</v>
      </c>
      <c r="I657" s="65">
        <f t="shared" si="76"/>
        <v>0.3</v>
      </c>
      <c r="J657" s="66">
        <v>0.3</v>
      </c>
      <c r="K657" s="65">
        <f t="shared" ref="K657:K720" si="82">1-J657</f>
        <v>0.7</v>
      </c>
      <c r="L657" s="28">
        <f t="shared" si="77"/>
        <v>-1.9329112891330836E-5</v>
      </c>
      <c r="M657" s="71">
        <f t="shared" si="80"/>
        <v>7.7889588336190754E-4</v>
      </c>
      <c r="N657" s="51">
        <v>40960</v>
      </c>
      <c r="O657" s="77">
        <f t="shared" si="78"/>
        <v>0.43368166884201698</v>
      </c>
      <c r="P657" s="39">
        <f t="shared" si="79"/>
        <v>0.31894653166008569</v>
      </c>
    </row>
    <row r="658" spans="1:16" x14ac:dyDescent="0.3">
      <c r="A658" s="17">
        <v>40961</v>
      </c>
      <c r="B658" s="13">
        <v>27040</v>
      </c>
      <c r="C658" s="13">
        <v>53230</v>
      </c>
      <c r="D658" s="14">
        <v>2028.65</v>
      </c>
      <c r="E658" s="28">
        <f t="shared" si="81"/>
        <v>0</v>
      </c>
      <c r="F658" s="39">
        <f t="shared" si="81"/>
        <v>-8.4467386203657124E-4</v>
      </c>
      <c r="H658" s="64">
        <f t="shared" ref="H658:H721" si="83">IF($D657&lt;=1850,0.9,IF(AND($D657&lt;=1900,$D657&gt;1850),0.7,IF(AND($D657&lt;=1950,$D657&gt;1900),0.5,IF(AND($D657&lt;=2000,$D657&gt;1950),0.3,IF($D657&gt;2000,0.2,0)))))</f>
        <v>0.2</v>
      </c>
      <c r="I658" s="65">
        <f t="shared" ref="I658:I721" si="84">IF($D657&lt;=1850,1,IF(AND($D657&lt;=1900,$D657&gt;1850),0.9,IF(AND($D657&lt;=1950,$D657&gt;1900),0.7,IF(AND($D657&lt;=2000,$D657&gt;1950),0.5,IF($D657&gt;2000,0.3,0)))))</f>
        <v>0.3</v>
      </c>
      <c r="J658" s="66">
        <v>0.2</v>
      </c>
      <c r="K658" s="65">
        <f t="shared" si="82"/>
        <v>0.8</v>
      </c>
      <c r="L658" s="28">
        <f t="shared" ref="L658:L721" si="85">E657*J658+F657*K658</f>
        <v>8.6374594654290424E-4</v>
      </c>
      <c r="M658" s="71">
        <f t="shared" si="80"/>
        <v>-6.7573908962925699E-4</v>
      </c>
      <c r="N658" s="51">
        <v>40961</v>
      </c>
      <c r="O658" s="77">
        <f t="shared" ref="O658:O721" si="86">O657+M658</f>
        <v>0.43300592975238772</v>
      </c>
      <c r="P658" s="39">
        <f t="shared" ref="P658:P721" si="87">D658/$D$16-1</f>
        <v>0.32181998253775879</v>
      </c>
    </row>
    <row r="659" spans="1:16" x14ac:dyDescent="0.3">
      <c r="A659" s="18">
        <v>40962</v>
      </c>
      <c r="B659" s="15">
        <v>26810</v>
      </c>
      <c r="C659" s="15">
        <v>53280</v>
      </c>
      <c r="D659" s="70">
        <v>2007.8</v>
      </c>
      <c r="E659" s="71">
        <f t="shared" si="81"/>
        <v>-8.5059171597633432E-3</v>
      </c>
      <c r="F659" s="39">
        <f t="shared" si="81"/>
        <v>9.3931993236906486E-4</v>
      </c>
      <c r="H659" s="64">
        <f t="shared" si="83"/>
        <v>0.2</v>
      </c>
      <c r="I659" s="65">
        <f t="shared" si="84"/>
        <v>0.3</v>
      </c>
      <c r="J659" s="66">
        <v>0.3</v>
      </c>
      <c r="K659" s="65">
        <f t="shared" si="82"/>
        <v>0.7</v>
      </c>
      <c r="L659" s="28">
        <f t="shared" si="85"/>
        <v>-5.9127170342559987E-4</v>
      </c>
      <c r="M659" s="71">
        <f t="shared" si="80"/>
        <v>-1.8942511952706575E-3</v>
      </c>
      <c r="N659" s="50">
        <v>40962</v>
      </c>
      <c r="O659" s="77">
        <f t="shared" si="86"/>
        <v>0.43111167855711707</v>
      </c>
      <c r="P659" s="39">
        <f t="shared" si="87"/>
        <v>0.30823461954467857</v>
      </c>
    </row>
    <row r="660" spans="1:16" x14ac:dyDescent="0.3">
      <c r="A660" s="17">
        <v>40963</v>
      </c>
      <c r="B660" s="13">
        <v>26925</v>
      </c>
      <c r="C660" s="13">
        <v>53310</v>
      </c>
      <c r="D660" s="14">
        <v>2019.89</v>
      </c>
      <c r="E660" s="28">
        <f t="shared" si="81"/>
        <v>4.289444237224993E-3</v>
      </c>
      <c r="F660" s="39">
        <f t="shared" si="81"/>
        <v>5.6306306306308507E-4</v>
      </c>
      <c r="H660" s="64">
        <f t="shared" si="83"/>
        <v>0.2</v>
      </c>
      <c r="I660" s="65">
        <f t="shared" si="84"/>
        <v>0.3</v>
      </c>
      <c r="J660" s="66">
        <v>0.2</v>
      </c>
      <c r="K660" s="65">
        <f t="shared" si="82"/>
        <v>0.8</v>
      </c>
      <c r="L660" s="28">
        <f t="shared" si="85"/>
        <v>-9.4972748605741679E-4</v>
      </c>
      <c r="M660" s="71">
        <f t="shared" ref="M660:M723" si="88">E660*J660+F660*K660</f>
        <v>1.3083392978954667E-3</v>
      </c>
      <c r="N660" s="51">
        <v>40963</v>
      </c>
      <c r="O660" s="77">
        <f t="shared" si="86"/>
        <v>0.43242001785501255</v>
      </c>
      <c r="P660" s="39">
        <f t="shared" si="87"/>
        <v>0.31611217535217695</v>
      </c>
    </row>
    <row r="661" spans="1:16" x14ac:dyDescent="0.3">
      <c r="A661" s="18">
        <v>40966</v>
      </c>
      <c r="B661" s="15">
        <v>26570</v>
      </c>
      <c r="C661" s="15">
        <v>53315</v>
      </c>
      <c r="D661" s="16">
        <v>1991.16</v>
      </c>
      <c r="E661" s="28">
        <f t="shared" si="81"/>
        <v>-1.3184772516248833E-2</v>
      </c>
      <c r="F661" s="39">
        <f t="shared" si="81"/>
        <v>9.3791033577206306E-5</v>
      </c>
      <c r="H661" s="64">
        <f t="shared" si="83"/>
        <v>0.2</v>
      </c>
      <c r="I661" s="65">
        <f t="shared" si="84"/>
        <v>0.3</v>
      </c>
      <c r="J661" s="66">
        <v>0.3</v>
      </c>
      <c r="K661" s="65">
        <f t="shared" si="82"/>
        <v>0.7</v>
      </c>
      <c r="L661" s="28">
        <f t="shared" si="85"/>
        <v>1.6809774153116572E-3</v>
      </c>
      <c r="M661" s="71">
        <f t="shared" si="88"/>
        <v>-3.8897780313706049E-3</v>
      </c>
      <c r="N661" s="50">
        <v>40966</v>
      </c>
      <c r="O661" s="77">
        <f t="shared" si="86"/>
        <v>0.42853023982364197</v>
      </c>
      <c r="P661" s="39">
        <f t="shared" si="87"/>
        <v>0.29739239219672386</v>
      </c>
    </row>
    <row r="662" spans="1:16" x14ac:dyDescent="0.3">
      <c r="A662" s="17">
        <v>40967</v>
      </c>
      <c r="B662" s="13">
        <v>26775</v>
      </c>
      <c r="C662" s="13">
        <v>53355</v>
      </c>
      <c r="D662" s="14">
        <v>2003.69</v>
      </c>
      <c r="E662" s="28">
        <f t="shared" si="81"/>
        <v>7.7154685735791873E-3</v>
      </c>
      <c r="F662" s="39">
        <f t="shared" si="81"/>
        <v>7.502579011535726E-4</v>
      </c>
      <c r="H662" s="64">
        <f t="shared" si="83"/>
        <v>0.3</v>
      </c>
      <c r="I662" s="65">
        <f t="shared" si="84"/>
        <v>0.5</v>
      </c>
      <c r="J662" s="66">
        <v>0.3</v>
      </c>
      <c r="K662" s="65">
        <f t="shared" si="82"/>
        <v>0.7</v>
      </c>
      <c r="L662" s="28">
        <f t="shared" si="85"/>
        <v>-3.8897780313706049E-3</v>
      </c>
      <c r="M662" s="71">
        <f t="shared" si="88"/>
        <v>2.8398211028812571E-3</v>
      </c>
      <c r="N662" s="51">
        <v>40967</v>
      </c>
      <c r="O662" s="77">
        <f t="shared" si="86"/>
        <v>0.43137006092652325</v>
      </c>
      <c r="P662" s="39">
        <f t="shared" si="87"/>
        <v>0.30555664151582684</v>
      </c>
    </row>
    <row r="663" spans="1:16" x14ac:dyDescent="0.3">
      <c r="A663" s="17">
        <v>40968</v>
      </c>
      <c r="B663" s="13">
        <v>27070</v>
      </c>
      <c r="C663" s="13">
        <v>53365</v>
      </c>
      <c r="D663" s="14">
        <v>2030.25</v>
      </c>
      <c r="E663" s="28">
        <f t="shared" si="81"/>
        <v>1.1017740429505096E-2</v>
      </c>
      <c r="F663" s="39">
        <f t="shared" si="81"/>
        <v>1.8742385905734515E-4</v>
      </c>
      <c r="H663" s="64">
        <f t="shared" si="83"/>
        <v>0.2</v>
      </c>
      <c r="I663" s="65">
        <f t="shared" si="84"/>
        <v>0.3</v>
      </c>
      <c r="J663" s="66">
        <v>0.3</v>
      </c>
      <c r="K663" s="65">
        <f t="shared" si="82"/>
        <v>0.7</v>
      </c>
      <c r="L663" s="28">
        <f t="shared" si="85"/>
        <v>2.8398211028812571E-3</v>
      </c>
      <c r="M663" s="71">
        <f t="shared" si="88"/>
        <v>3.4365188301916701E-3</v>
      </c>
      <c r="N663" s="51">
        <v>40968</v>
      </c>
      <c r="O663" s="77">
        <f t="shared" si="86"/>
        <v>0.43480657975671494</v>
      </c>
      <c r="P663" s="39">
        <f t="shared" si="87"/>
        <v>0.32286250439813902</v>
      </c>
    </row>
    <row r="664" spans="1:16" x14ac:dyDescent="0.3">
      <c r="A664" s="18">
        <v>40970</v>
      </c>
      <c r="B664" s="15">
        <v>27105</v>
      </c>
      <c r="C664" s="15">
        <v>53325</v>
      </c>
      <c r="D664" s="70">
        <v>2034.63</v>
      </c>
      <c r="E664" s="71">
        <f t="shared" si="81"/>
        <v>1.2929442186921936E-3</v>
      </c>
      <c r="F664" s="39">
        <f t="shared" si="81"/>
        <v>-7.4955495174744424E-4</v>
      </c>
      <c r="H664" s="64">
        <f t="shared" si="83"/>
        <v>0.2</v>
      </c>
      <c r="I664" s="65">
        <f t="shared" si="84"/>
        <v>0.3</v>
      </c>
      <c r="J664" s="66">
        <v>0.3</v>
      </c>
      <c r="K664" s="65">
        <f t="shared" si="82"/>
        <v>0.7</v>
      </c>
      <c r="L664" s="28">
        <f t="shared" si="85"/>
        <v>3.4365188301916701E-3</v>
      </c>
      <c r="M664" s="71">
        <f t="shared" si="88"/>
        <v>-1.3680520061555286E-4</v>
      </c>
      <c r="N664" s="50">
        <v>40970</v>
      </c>
      <c r="O664" s="77">
        <f t="shared" si="86"/>
        <v>0.4346697745560994</v>
      </c>
      <c r="P664" s="39">
        <f t="shared" si="87"/>
        <v>0.32571640799093005</v>
      </c>
    </row>
    <row r="665" spans="1:16" x14ac:dyDescent="0.3">
      <c r="A665" s="17">
        <v>40973</v>
      </c>
      <c r="B665" s="13">
        <v>26855</v>
      </c>
      <c r="C665" s="13">
        <v>53295</v>
      </c>
      <c r="D665" s="14">
        <v>2016.06</v>
      </c>
      <c r="E665" s="28">
        <f t="shared" si="81"/>
        <v>-9.2233905183545239E-3</v>
      </c>
      <c r="F665" s="39">
        <f t="shared" si="81"/>
        <v>-5.6258790436003459E-4</v>
      </c>
      <c r="H665" s="64">
        <f t="shared" si="83"/>
        <v>0.2</v>
      </c>
      <c r="I665" s="65">
        <f t="shared" si="84"/>
        <v>0.3</v>
      </c>
      <c r="J665" s="66">
        <v>0.3</v>
      </c>
      <c r="K665" s="65">
        <f t="shared" si="82"/>
        <v>0.7</v>
      </c>
      <c r="L665" s="28">
        <f t="shared" si="85"/>
        <v>-1.3680520061555286E-4</v>
      </c>
      <c r="M665" s="71">
        <f t="shared" si="88"/>
        <v>-3.1608286885583814E-3</v>
      </c>
      <c r="N665" s="51">
        <v>40973</v>
      </c>
      <c r="O665" s="77">
        <f t="shared" si="86"/>
        <v>0.43150894586754102</v>
      </c>
      <c r="P665" s="39">
        <f t="shared" si="87"/>
        <v>0.31361663864889167</v>
      </c>
    </row>
    <row r="666" spans="1:16" x14ac:dyDescent="0.3">
      <c r="A666" s="18">
        <v>40974</v>
      </c>
      <c r="B666" s="15">
        <v>26620</v>
      </c>
      <c r="C666" s="15">
        <v>53290</v>
      </c>
      <c r="D666" s="16">
        <v>2000.36</v>
      </c>
      <c r="E666" s="28">
        <f t="shared" si="81"/>
        <v>-8.7506981940048689E-3</v>
      </c>
      <c r="F666" s="39">
        <f t="shared" si="81"/>
        <v>-9.3817431278786501E-5</v>
      </c>
      <c r="H666" s="64">
        <f t="shared" si="83"/>
        <v>0.2</v>
      </c>
      <c r="I666" s="65">
        <f t="shared" si="84"/>
        <v>0.3</v>
      </c>
      <c r="J666" s="66">
        <v>0.2</v>
      </c>
      <c r="K666" s="65">
        <f t="shared" si="82"/>
        <v>0.8</v>
      </c>
      <c r="L666" s="28">
        <f t="shared" si="85"/>
        <v>-2.2947484271589325E-3</v>
      </c>
      <c r="M666" s="71">
        <f t="shared" si="88"/>
        <v>-1.8251935838240032E-3</v>
      </c>
      <c r="N666" s="50">
        <v>40974</v>
      </c>
      <c r="O666" s="77">
        <f t="shared" si="86"/>
        <v>0.42968375228371702</v>
      </c>
      <c r="P666" s="39">
        <f t="shared" si="87"/>
        <v>0.3033868928939103</v>
      </c>
    </row>
    <row r="667" spans="1:16" x14ac:dyDescent="0.3">
      <c r="A667" s="17">
        <v>40975</v>
      </c>
      <c r="B667" s="13">
        <v>26400</v>
      </c>
      <c r="C667" s="13">
        <v>53290</v>
      </c>
      <c r="D667" s="14">
        <v>1982.15</v>
      </c>
      <c r="E667" s="28">
        <f t="shared" si="81"/>
        <v>-8.2644628099173278E-3</v>
      </c>
      <c r="F667" s="39">
        <f t="shared" si="81"/>
        <v>0</v>
      </c>
      <c r="H667" s="64">
        <f t="shared" si="83"/>
        <v>0.2</v>
      </c>
      <c r="I667" s="65">
        <f t="shared" si="84"/>
        <v>0.3</v>
      </c>
      <c r="J667" s="66">
        <v>0.2</v>
      </c>
      <c r="K667" s="65">
        <f t="shared" si="82"/>
        <v>0.8</v>
      </c>
      <c r="L667" s="28">
        <f t="shared" si="85"/>
        <v>-1.8251935838240032E-3</v>
      </c>
      <c r="M667" s="71">
        <f t="shared" si="88"/>
        <v>-1.6528925619834656E-3</v>
      </c>
      <c r="N667" s="51">
        <v>40975</v>
      </c>
      <c r="O667" s="77">
        <f t="shared" si="86"/>
        <v>0.42803085972173355</v>
      </c>
      <c r="P667" s="39">
        <f t="shared" si="87"/>
        <v>0.29152169097045766</v>
      </c>
    </row>
    <row r="668" spans="1:16" x14ac:dyDescent="0.3">
      <c r="A668" s="17">
        <v>40976</v>
      </c>
      <c r="B668" s="13">
        <v>26700</v>
      </c>
      <c r="C668" s="13">
        <v>53325</v>
      </c>
      <c r="D668" s="14">
        <v>2000.76</v>
      </c>
      <c r="E668" s="28">
        <f t="shared" si="81"/>
        <v>1.1363636363636465E-2</v>
      </c>
      <c r="F668" s="39">
        <f t="shared" si="81"/>
        <v>6.5678363670484963E-4</v>
      </c>
      <c r="H668" s="64">
        <f t="shared" si="83"/>
        <v>0.3</v>
      </c>
      <c r="I668" s="65">
        <f t="shared" si="84"/>
        <v>0.5</v>
      </c>
      <c r="J668" s="66">
        <v>0.3</v>
      </c>
      <c r="K668" s="65">
        <f t="shared" si="82"/>
        <v>0.7</v>
      </c>
      <c r="L668" s="28">
        <f t="shared" si="85"/>
        <v>-2.4793388429751981E-3</v>
      </c>
      <c r="M668" s="71">
        <f t="shared" si="88"/>
        <v>3.8688394547843341E-3</v>
      </c>
      <c r="N668" s="51">
        <v>40976</v>
      </c>
      <c r="O668" s="77">
        <f t="shared" si="86"/>
        <v>0.43189969917651788</v>
      </c>
      <c r="P668" s="39">
        <f t="shared" si="87"/>
        <v>0.30364752335900547</v>
      </c>
    </row>
    <row r="669" spans="1:16" x14ac:dyDescent="0.3">
      <c r="A669" s="18">
        <v>40977</v>
      </c>
      <c r="B669" s="15">
        <v>26935</v>
      </c>
      <c r="C669" s="15">
        <v>53320</v>
      </c>
      <c r="D669" s="70">
        <v>2018.3</v>
      </c>
      <c r="E669" s="71">
        <f t="shared" si="81"/>
        <v>8.8014981273407678E-3</v>
      </c>
      <c r="F669" s="39">
        <f t="shared" si="81"/>
        <v>-9.3764650726635423E-5</v>
      </c>
      <c r="H669" s="64">
        <f t="shared" si="83"/>
        <v>0.2</v>
      </c>
      <c r="I669" s="65">
        <f t="shared" si="84"/>
        <v>0.3</v>
      </c>
      <c r="J669" s="66">
        <v>0.3</v>
      </c>
      <c r="K669" s="65">
        <f t="shared" si="82"/>
        <v>0.7</v>
      </c>
      <c r="L669" s="28">
        <f t="shared" si="85"/>
        <v>3.8688394547843341E-3</v>
      </c>
      <c r="M669" s="71">
        <f t="shared" si="88"/>
        <v>2.5748141826935854E-3</v>
      </c>
      <c r="N669" s="50">
        <v>40977</v>
      </c>
      <c r="O669" s="77">
        <f t="shared" si="86"/>
        <v>0.43447451335921144</v>
      </c>
      <c r="P669" s="39">
        <f t="shared" si="87"/>
        <v>0.31507616925342408</v>
      </c>
    </row>
    <row r="670" spans="1:16" x14ac:dyDescent="0.3">
      <c r="A670" s="17">
        <v>40980</v>
      </c>
      <c r="B670" s="13">
        <v>26780</v>
      </c>
      <c r="C670" s="13">
        <v>53045</v>
      </c>
      <c r="D670" s="14">
        <v>2002.5</v>
      </c>
      <c r="E670" s="28">
        <f t="shared" si="81"/>
        <v>-5.7545943939112387E-3</v>
      </c>
      <c r="F670" s="39">
        <f t="shared" si="81"/>
        <v>-5.1575393848461992E-3</v>
      </c>
      <c r="H670" s="64">
        <f t="shared" si="83"/>
        <v>0.2</v>
      </c>
      <c r="I670" s="65">
        <f t="shared" si="84"/>
        <v>0.3</v>
      </c>
      <c r="J670" s="66">
        <v>0.3</v>
      </c>
      <c r="K670" s="65">
        <f t="shared" si="82"/>
        <v>0.7</v>
      </c>
      <c r="L670" s="28">
        <f t="shared" si="85"/>
        <v>2.5748141826935854E-3</v>
      </c>
      <c r="M670" s="71">
        <f t="shared" si="88"/>
        <v>-5.3366558875657111E-3</v>
      </c>
      <c r="N670" s="51">
        <v>40980</v>
      </c>
      <c r="O670" s="77">
        <f t="shared" si="86"/>
        <v>0.42913785747164573</v>
      </c>
      <c r="P670" s="39">
        <f t="shared" si="87"/>
        <v>0.30478126588216892</v>
      </c>
    </row>
    <row r="671" spans="1:16" x14ac:dyDescent="0.3">
      <c r="A671" s="18">
        <v>40981</v>
      </c>
      <c r="B671" s="15">
        <v>27090</v>
      </c>
      <c r="C671" s="15">
        <v>53030</v>
      </c>
      <c r="D671" s="16">
        <v>2025.04</v>
      </c>
      <c r="E671" s="28">
        <f t="shared" si="81"/>
        <v>1.1575802837938687E-2</v>
      </c>
      <c r="F671" s="39">
        <f t="shared" si="81"/>
        <v>-2.8277877274007768E-4</v>
      </c>
      <c r="H671" s="64">
        <f t="shared" si="83"/>
        <v>0.2</v>
      </c>
      <c r="I671" s="65">
        <f t="shared" si="84"/>
        <v>0.3</v>
      </c>
      <c r="J671" s="66">
        <v>0.2</v>
      </c>
      <c r="K671" s="65">
        <f t="shared" si="82"/>
        <v>0.8</v>
      </c>
      <c r="L671" s="28">
        <f t="shared" si="85"/>
        <v>-5.2769503866592071E-3</v>
      </c>
      <c r="M671" s="71">
        <f t="shared" si="88"/>
        <v>2.0889375493956751E-3</v>
      </c>
      <c r="N671" s="50">
        <v>40981</v>
      </c>
      <c r="O671" s="77">
        <f t="shared" si="86"/>
        <v>0.43122679502104139</v>
      </c>
      <c r="P671" s="39">
        <f t="shared" si="87"/>
        <v>0.3194677925902758</v>
      </c>
    </row>
    <row r="672" spans="1:16" x14ac:dyDescent="0.3">
      <c r="A672" s="17">
        <v>40982</v>
      </c>
      <c r="B672" s="13">
        <v>27395</v>
      </c>
      <c r="C672" s="13">
        <v>53010</v>
      </c>
      <c r="D672" s="14">
        <v>2045.08</v>
      </c>
      <c r="E672" s="28">
        <f t="shared" si="81"/>
        <v>1.1258767072720666E-2</v>
      </c>
      <c r="F672" s="39">
        <f t="shared" si="81"/>
        <v>-3.771450122571629E-4</v>
      </c>
      <c r="H672" s="64">
        <f t="shared" si="83"/>
        <v>0.2</v>
      </c>
      <c r="I672" s="65">
        <f t="shared" si="84"/>
        <v>0.3</v>
      </c>
      <c r="J672" s="66">
        <v>0.3</v>
      </c>
      <c r="K672" s="65">
        <f t="shared" si="82"/>
        <v>0.7</v>
      </c>
      <c r="L672" s="28">
        <f t="shared" si="85"/>
        <v>3.2747957104635518E-3</v>
      </c>
      <c r="M672" s="71">
        <f t="shared" si="88"/>
        <v>3.1136286132361856E-3</v>
      </c>
      <c r="N672" s="51">
        <v>40982</v>
      </c>
      <c r="O672" s="77">
        <f t="shared" si="86"/>
        <v>0.43434042363427755</v>
      </c>
      <c r="P672" s="39">
        <f t="shared" si="87"/>
        <v>0.33252537889153855</v>
      </c>
    </row>
    <row r="673" spans="1:16" x14ac:dyDescent="0.3">
      <c r="A673" s="17">
        <v>40983</v>
      </c>
      <c r="B673" s="13">
        <v>27390</v>
      </c>
      <c r="C673" s="13">
        <v>52950</v>
      </c>
      <c r="D673" s="14">
        <v>2043.76</v>
      </c>
      <c r="E673" s="28">
        <f t="shared" si="81"/>
        <v>-1.8251505749222741E-4</v>
      </c>
      <c r="F673" s="39">
        <f t="shared" si="81"/>
        <v>-1.1318619128466434E-3</v>
      </c>
      <c r="H673" s="64">
        <f t="shared" si="83"/>
        <v>0.2</v>
      </c>
      <c r="I673" s="65">
        <f t="shared" si="84"/>
        <v>0.3</v>
      </c>
      <c r="J673" s="66">
        <v>0.3</v>
      </c>
      <c r="K673" s="65">
        <f t="shared" si="82"/>
        <v>0.7</v>
      </c>
      <c r="L673" s="28">
        <f t="shared" si="85"/>
        <v>3.1136286132361856E-3</v>
      </c>
      <c r="M673" s="71">
        <f t="shared" si="88"/>
        <v>-8.4705785624031857E-4</v>
      </c>
      <c r="N673" s="51">
        <v>40983</v>
      </c>
      <c r="O673" s="77">
        <f t="shared" si="86"/>
        <v>0.43349336577803721</v>
      </c>
      <c r="P673" s="39">
        <f t="shared" si="87"/>
        <v>0.33166529835672498</v>
      </c>
    </row>
    <row r="674" spans="1:16" x14ac:dyDescent="0.3">
      <c r="A674" s="18">
        <v>40984</v>
      </c>
      <c r="B674" s="15">
        <v>27285</v>
      </c>
      <c r="C674" s="15">
        <v>52940</v>
      </c>
      <c r="D674" s="70">
        <v>2034.44</v>
      </c>
      <c r="E674" s="71">
        <f t="shared" si="81"/>
        <v>-3.8335158817086601E-3</v>
      </c>
      <c r="F674" s="39">
        <f t="shared" si="81"/>
        <v>-1.8885741265339817E-4</v>
      </c>
      <c r="H674" s="64">
        <f t="shared" si="83"/>
        <v>0.2</v>
      </c>
      <c r="I674" s="65">
        <f t="shared" si="84"/>
        <v>0.3</v>
      </c>
      <c r="J674" s="66">
        <v>0.3</v>
      </c>
      <c r="K674" s="65">
        <f t="shared" si="82"/>
        <v>0.7</v>
      </c>
      <c r="L674" s="28">
        <f t="shared" si="85"/>
        <v>-8.4705785624031857E-4</v>
      </c>
      <c r="M674" s="71">
        <f t="shared" si="88"/>
        <v>-1.2822549533699767E-3</v>
      </c>
      <c r="N674" s="50">
        <v>40984</v>
      </c>
      <c r="O674" s="77">
        <f t="shared" si="86"/>
        <v>0.43221111082466723</v>
      </c>
      <c r="P674" s="39">
        <f t="shared" si="87"/>
        <v>0.32559260852001004</v>
      </c>
    </row>
    <row r="675" spans="1:16" x14ac:dyDescent="0.3">
      <c r="A675" s="17">
        <v>40987</v>
      </c>
      <c r="B675" s="13">
        <v>27410</v>
      </c>
      <c r="C675" s="13">
        <v>52825</v>
      </c>
      <c r="D675" s="14">
        <v>2047</v>
      </c>
      <c r="E675" s="28">
        <f t="shared" si="81"/>
        <v>4.5812717610409504E-3</v>
      </c>
      <c r="F675" s="39">
        <f t="shared" si="81"/>
        <v>-2.172270494899875E-3</v>
      </c>
      <c r="H675" s="64">
        <f t="shared" si="83"/>
        <v>0.2</v>
      </c>
      <c r="I675" s="65">
        <f t="shared" si="84"/>
        <v>0.3</v>
      </c>
      <c r="J675" s="66">
        <v>0.2</v>
      </c>
      <c r="K675" s="65">
        <f t="shared" si="82"/>
        <v>0.8</v>
      </c>
      <c r="L675" s="28">
        <f t="shared" si="85"/>
        <v>-9.1778910646445066E-4</v>
      </c>
      <c r="M675" s="71">
        <f t="shared" si="88"/>
        <v>-8.2156204371170989E-4</v>
      </c>
      <c r="N675" s="51">
        <v>40987</v>
      </c>
      <c r="O675" s="77">
        <f t="shared" si="86"/>
        <v>0.43138954878095553</v>
      </c>
      <c r="P675" s="39">
        <f t="shared" si="87"/>
        <v>0.33377640512399487</v>
      </c>
    </row>
    <row r="676" spans="1:16" x14ac:dyDescent="0.3">
      <c r="A676" s="18">
        <v>40988</v>
      </c>
      <c r="B676" s="15">
        <v>27325</v>
      </c>
      <c r="C676" s="15">
        <v>52850</v>
      </c>
      <c r="D676" s="16">
        <v>2042.15</v>
      </c>
      <c r="E676" s="28">
        <f t="shared" si="81"/>
        <v>-3.1010580080262917E-3</v>
      </c>
      <c r="F676" s="39">
        <f t="shared" si="81"/>
        <v>4.7326076668241512E-4</v>
      </c>
      <c r="H676" s="64">
        <f t="shared" si="83"/>
        <v>0.2</v>
      </c>
      <c r="I676" s="65">
        <f t="shared" si="84"/>
        <v>0.3</v>
      </c>
      <c r="J676" s="66">
        <v>0.3</v>
      </c>
      <c r="K676" s="65">
        <f t="shared" si="82"/>
        <v>0.7</v>
      </c>
      <c r="L676" s="28">
        <f t="shared" si="85"/>
        <v>-1.4620781811762744E-4</v>
      </c>
      <c r="M676" s="71">
        <f t="shared" si="88"/>
        <v>-5.9903486573019687E-4</v>
      </c>
      <c r="N676" s="50">
        <v>40988</v>
      </c>
      <c r="O676" s="77">
        <f t="shared" si="86"/>
        <v>0.43079051391522533</v>
      </c>
      <c r="P676" s="39">
        <f t="shared" si="87"/>
        <v>0.33061626073471739</v>
      </c>
    </row>
    <row r="677" spans="1:16" x14ac:dyDescent="0.3">
      <c r="A677" s="17">
        <v>40989</v>
      </c>
      <c r="B677" s="13">
        <v>27165</v>
      </c>
      <c r="C677" s="13">
        <v>52810</v>
      </c>
      <c r="D677" s="14">
        <v>2027.23</v>
      </c>
      <c r="E677" s="28">
        <f t="shared" si="81"/>
        <v>-5.8554437328454112E-3</v>
      </c>
      <c r="F677" s="39">
        <f t="shared" si="81"/>
        <v>-7.5685903500477547E-4</v>
      </c>
      <c r="H677" s="64">
        <f t="shared" si="83"/>
        <v>0.2</v>
      </c>
      <c r="I677" s="65">
        <f t="shared" si="84"/>
        <v>0.3</v>
      </c>
      <c r="J677" s="66">
        <v>0.2</v>
      </c>
      <c r="K677" s="65">
        <f t="shared" si="82"/>
        <v>0.8</v>
      </c>
      <c r="L677" s="28">
        <f t="shared" si="85"/>
        <v>-2.4160298825932631E-4</v>
      </c>
      <c r="M677" s="71">
        <f t="shared" si="88"/>
        <v>-1.7765759745729027E-3</v>
      </c>
      <c r="N677" s="51">
        <v>40989</v>
      </c>
      <c r="O677" s="77">
        <f t="shared" si="86"/>
        <v>0.4290139379406524</v>
      </c>
      <c r="P677" s="39">
        <f t="shared" si="87"/>
        <v>0.32089474438667143</v>
      </c>
    </row>
    <row r="678" spans="1:16" x14ac:dyDescent="0.3">
      <c r="A678" s="17">
        <v>40990</v>
      </c>
      <c r="B678" s="13">
        <v>27185</v>
      </c>
      <c r="C678" s="13">
        <v>52860</v>
      </c>
      <c r="D678" s="14">
        <v>2026.12</v>
      </c>
      <c r="E678" s="28">
        <f t="shared" si="81"/>
        <v>7.3624148720785598E-4</v>
      </c>
      <c r="F678" s="39">
        <f t="shared" si="81"/>
        <v>9.4679038060974108E-4</v>
      </c>
      <c r="H678" s="64">
        <f t="shared" si="83"/>
        <v>0.2</v>
      </c>
      <c r="I678" s="65">
        <f t="shared" si="84"/>
        <v>0.3</v>
      </c>
      <c r="J678" s="66">
        <v>0.2</v>
      </c>
      <c r="K678" s="65">
        <f t="shared" si="82"/>
        <v>0.8</v>
      </c>
      <c r="L678" s="28">
        <f t="shared" si="85"/>
        <v>-1.7765759745729027E-3</v>
      </c>
      <c r="M678" s="71">
        <f t="shared" si="88"/>
        <v>9.0468060192936415E-4</v>
      </c>
      <c r="N678" s="51">
        <v>40990</v>
      </c>
      <c r="O678" s="77">
        <f t="shared" si="86"/>
        <v>0.42991861854258179</v>
      </c>
      <c r="P678" s="39">
        <f t="shared" si="87"/>
        <v>0.32017149484603258</v>
      </c>
    </row>
    <row r="679" spans="1:16" x14ac:dyDescent="0.3">
      <c r="A679" s="18">
        <v>40991</v>
      </c>
      <c r="B679" s="15">
        <v>27150</v>
      </c>
      <c r="C679" s="15">
        <v>52795</v>
      </c>
      <c r="D679" s="70">
        <v>2026.83</v>
      </c>
      <c r="E679" s="71">
        <f t="shared" si="81"/>
        <v>-1.2874747103182038E-3</v>
      </c>
      <c r="F679" s="39">
        <f t="shared" si="81"/>
        <v>-1.2296632614453573E-3</v>
      </c>
      <c r="H679" s="64">
        <f t="shared" si="83"/>
        <v>0.2</v>
      </c>
      <c r="I679" s="65">
        <f t="shared" si="84"/>
        <v>0.3</v>
      </c>
      <c r="J679" s="66">
        <v>0.2</v>
      </c>
      <c r="K679" s="65">
        <f t="shared" si="82"/>
        <v>0.8</v>
      </c>
      <c r="L679" s="28">
        <f t="shared" si="85"/>
        <v>9.0468060192936415E-4</v>
      </c>
      <c r="M679" s="71">
        <f t="shared" si="88"/>
        <v>-1.2412255512199268E-3</v>
      </c>
      <c r="N679" s="50">
        <v>40991</v>
      </c>
      <c r="O679" s="77">
        <f t="shared" si="86"/>
        <v>0.42867739299136187</v>
      </c>
      <c r="P679" s="39">
        <f t="shared" si="87"/>
        <v>0.32063411392157626</v>
      </c>
    </row>
    <row r="680" spans="1:16" x14ac:dyDescent="0.3">
      <c r="A680" s="17">
        <v>40994</v>
      </c>
      <c r="B680" s="13">
        <v>27125</v>
      </c>
      <c r="C680" s="13">
        <v>52865</v>
      </c>
      <c r="D680" s="14">
        <v>2019.19</v>
      </c>
      <c r="E680" s="28">
        <f t="shared" si="81"/>
        <v>-9.2081031307555961E-4</v>
      </c>
      <c r="F680" s="39">
        <f t="shared" si="81"/>
        <v>1.3258831328724074E-3</v>
      </c>
      <c r="H680" s="64">
        <f t="shared" si="83"/>
        <v>0.2</v>
      </c>
      <c r="I680" s="65">
        <f t="shared" si="84"/>
        <v>0.3</v>
      </c>
      <c r="J680" s="66">
        <v>0.2</v>
      </c>
      <c r="K680" s="65">
        <f t="shared" si="82"/>
        <v>0.8</v>
      </c>
      <c r="L680" s="28">
        <f t="shared" si="85"/>
        <v>-1.2412255512199268E-3</v>
      </c>
      <c r="M680" s="71">
        <f t="shared" si="88"/>
        <v>8.7654444368281395E-4</v>
      </c>
      <c r="N680" s="51">
        <v>40994</v>
      </c>
      <c r="O680" s="77">
        <f t="shared" si="86"/>
        <v>0.42955393743504466</v>
      </c>
      <c r="P680" s="39">
        <f t="shared" si="87"/>
        <v>0.31565607203826063</v>
      </c>
    </row>
    <row r="681" spans="1:16" x14ac:dyDescent="0.3">
      <c r="A681" s="18">
        <v>40995</v>
      </c>
      <c r="B681" s="15">
        <v>27420</v>
      </c>
      <c r="C681" s="15">
        <v>52870</v>
      </c>
      <c r="D681" s="16">
        <v>2039.76</v>
      </c>
      <c r="E681" s="28">
        <f t="shared" si="81"/>
        <v>1.0875576036866397E-2</v>
      </c>
      <c r="F681" s="39">
        <f t="shared" si="81"/>
        <v>9.4580535325849979E-5</v>
      </c>
      <c r="H681" s="64">
        <f t="shared" si="83"/>
        <v>0.2</v>
      </c>
      <c r="I681" s="65">
        <f t="shared" si="84"/>
        <v>0.3</v>
      </c>
      <c r="J681" s="66">
        <v>0.2</v>
      </c>
      <c r="K681" s="65">
        <f t="shared" si="82"/>
        <v>0.8</v>
      </c>
      <c r="L681" s="28">
        <f t="shared" si="85"/>
        <v>8.7654444368281395E-4</v>
      </c>
      <c r="M681" s="71">
        <f t="shared" si="88"/>
        <v>2.2507796356339596E-3</v>
      </c>
      <c r="N681" s="50">
        <v>40995</v>
      </c>
      <c r="O681" s="77">
        <f t="shared" si="86"/>
        <v>0.43180471707067863</v>
      </c>
      <c r="P681" s="39">
        <f t="shared" si="87"/>
        <v>0.32905899370577418</v>
      </c>
    </row>
    <row r="682" spans="1:16" x14ac:dyDescent="0.3">
      <c r="A682" s="17">
        <v>40996</v>
      </c>
      <c r="B682" s="13">
        <v>27360</v>
      </c>
      <c r="C682" s="13">
        <v>52895</v>
      </c>
      <c r="D682" s="14">
        <v>2031.74</v>
      </c>
      <c r="E682" s="28">
        <f t="shared" si="81"/>
        <v>-2.1881838074397919E-3</v>
      </c>
      <c r="F682" s="39">
        <f t="shared" si="81"/>
        <v>4.7285795347074E-4</v>
      </c>
      <c r="H682" s="64">
        <f t="shared" si="83"/>
        <v>0.2</v>
      </c>
      <c r="I682" s="65">
        <f t="shared" si="84"/>
        <v>0.3</v>
      </c>
      <c r="J682" s="66">
        <v>0.3</v>
      </c>
      <c r="K682" s="65">
        <f t="shared" si="82"/>
        <v>0.7</v>
      </c>
      <c r="L682" s="28">
        <f t="shared" si="85"/>
        <v>3.3288791857880137E-3</v>
      </c>
      <c r="M682" s="71">
        <f t="shared" si="88"/>
        <v>-3.2545457480241951E-4</v>
      </c>
      <c r="N682" s="51">
        <v>40996</v>
      </c>
      <c r="O682" s="77">
        <f t="shared" si="86"/>
        <v>0.4314792624958762</v>
      </c>
      <c r="P682" s="39">
        <f t="shared" si="87"/>
        <v>0.32383335288061832</v>
      </c>
    </row>
    <row r="683" spans="1:16" x14ac:dyDescent="0.3">
      <c r="A683" s="17">
        <v>40997</v>
      </c>
      <c r="B683" s="13">
        <v>27090</v>
      </c>
      <c r="C683" s="13">
        <v>52975</v>
      </c>
      <c r="D683" s="14">
        <v>2014.41</v>
      </c>
      <c r="E683" s="28">
        <f t="shared" si="81"/>
        <v>-9.8684210526315264E-3</v>
      </c>
      <c r="F683" s="39">
        <f t="shared" si="81"/>
        <v>1.5124302864164552E-3</v>
      </c>
      <c r="H683" s="64">
        <f t="shared" si="83"/>
        <v>0.2</v>
      </c>
      <c r="I683" s="65">
        <f t="shared" si="84"/>
        <v>0.3</v>
      </c>
      <c r="J683" s="66">
        <v>0.2</v>
      </c>
      <c r="K683" s="65">
        <f t="shared" si="82"/>
        <v>0.8</v>
      </c>
      <c r="L683" s="28">
        <f t="shared" si="85"/>
        <v>-5.9350398711366392E-5</v>
      </c>
      <c r="M683" s="71">
        <f t="shared" si="88"/>
        <v>-7.6373998139314127E-4</v>
      </c>
      <c r="N683" s="51">
        <v>40997</v>
      </c>
      <c r="O683" s="77">
        <f t="shared" si="86"/>
        <v>0.43071552251448308</v>
      </c>
      <c r="P683" s="39">
        <f t="shared" si="87"/>
        <v>0.31254153798037465</v>
      </c>
    </row>
    <row r="684" spans="1:16" x14ac:dyDescent="0.3">
      <c r="A684" s="18">
        <v>40998</v>
      </c>
      <c r="B684" s="15">
        <v>27025</v>
      </c>
      <c r="C684" s="15">
        <v>52980</v>
      </c>
      <c r="D684" s="70">
        <v>2014.04</v>
      </c>
      <c r="E684" s="71">
        <f t="shared" si="81"/>
        <v>-2.3994093761535717E-3</v>
      </c>
      <c r="F684" s="39">
        <f t="shared" si="81"/>
        <v>9.4384143463965842E-5</v>
      </c>
      <c r="H684" s="64">
        <f t="shared" si="83"/>
        <v>0.2</v>
      </c>
      <c r="I684" s="65">
        <f t="shared" si="84"/>
        <v>0.3</v>
      </c>
      <c r="J684" s="66">
        <v>0.2</v>
      </c>
      <c r="K684" s="65">
        <f t="shared" si="82"/>
        <v>0.8</v>
      </c>
      <c r="L684" s="28">
        <f t="shared" si="85"/>
        <v>-7.6373998139314127E-4</v>
      </c>
      <c r="M684" s="71">
        <f t="shared" si="88"/>
        <v>-4.0437456045954172E-4</v>
      </c>
      <c r="N684" s="50">
        <v>40998</v>
      </c>
      <c r="O684" s="77">
        <f t="shared" si="86"/>
        <v>0.43031114795402353</v>
      </c>
      <c r="P684" s="39">
        <f t="shared" si="87"/>
        <v>0.31230045480016155</v>
      </c>
    </row>
    <row r="685" spans="1:16" x14ac:dyDescent="0.3">
      <c r="A685" s="17">
        <v>41001</v>
      </c>
      <c r="B685" s="13">
        <v>27250</v>
      </c>
      <c r="C685" s="13">
        <v>53010</v>
      </c>
      <c r="D685" s="14">
        <v>2029.29</v>
      </c>
      <c r="E685" s="28">
        <f t="shared" si="81"/>
        <v>8.3256244218317121E-3</v>
      </c>
      <c r="F685" s="39">
        <f t="shared" si="81"/>
        <v>5.662514156286047E-4</v>
      </c>
      <c r="H685" s="64">
        <f t="shared" si="83"/>
        <v>0.2</v>
      </c>
      <c r="I685" s="65">
        <f t="shared" si="84"/>
        <v>0.3</v>
      </c>
      <c r="J685" s="66">
        <v>0.2</v>
      </c>
      <c r="K685" s="65">
        <f t="shared" si="82"/>
        <v>0.8</v>
      </c>
      <c r="L685" s="28">
        <f t="shared" si="85"/>
        <v>-4.0437456045954172E-4</v>
      </c>
      <c r="M685" s="71">
        <f t="shared" si="88"/>
        <v>2.1181260168692262E-3</v>
      </c>
      <c r="N685" s="51">
        <v>41001</v>
      </c>
      <c r="O685" s="77">
        <f t="shared" si="86"/>
        <v>0.43242927397089276</v>
      </c>
      <c r="P685" s="39">
        <f t="shared" si="87"/>
        <v>0.32223699128191097</v>
      </c>
    </row>
    <row r="686" spans="1:16" x14ac:dyDescent="0.3">
      <c r="A686" s="18">
        <v>41002</v>
      </c>
      <c r="B686" s="15">
        <v>27640</v>
      </c>
      <c r="C686" s="15">
        <v>53050</v>
      </c>
      <c r="D686" s="16">
        <v>2049.2800000000002</v>
      </c>
      <c r="E686" s="28">
        <f t="shared" si="81"/>
        <v>1.431192660550451E-2</v>
      </c>
      <c r="F686" s="39">
        <f t="shared" si="81"/>
        <v>7.5457460856442893E-4</v>
      </c>
      <c r="H686" s="64">
        <f t="shared" si="83"/>
        <v>0.2</v>
      </c>
      <c r="I686" s="65">
        <f t="shared" si="84"/>
        <v>0.3</v>
      </c>
      <c r="J686" s="66">
        <v>0.3</v>
      </c>
      <c r="K686" s="65">
        <f t="shared" si="82"/>
        <v>0.7</v>
      </c>
      <c r="L686" s="28">
        <f t="shared" si="85"/>
        <v>2.8940633174895369E-3</v>
      </c>
      <c r="M686" s="71">
        <f t="shared" si="88"/>
        <v>4.8217802076464533E-3</v>
      </c>
      <c r="N686" s="50">
        <v>41002</v>
      </c>
      <c r="O686" s="77">
        <f t="shared" si="86"/>
        <v>0.43725105417853921</v>
      </c>
      <c r="P686" s="39">
        <f t="shared" si="87"/>
        <v>0.33526199877503693</v>
      </c>
    </row>
    <row r="687" spans="1:16" x14ac:dyDescent="0.3">
      <c r="A687" s="17">
        <v>41003</v>
      </c>
      <c r="B687" s="13">
        <v>27345</v>
      </c>
      <c r="C687" s="13">
        <v>53000</v>
      </c>
      <c r="D687" s="14">
        <v>2018.61</v>
      </c>
      <c r="E687" s="28">
        <f t="shared" si="81"/>
        <v>-1.0672937771345925E-2</v>
      </c>
      <c r="F687" s="39">
        <f t="shared" si="81"/>
        <v>-9.4250706880305568E-4</v>
      </c>
      <c r="H687" s="64">
        <f t="shared" si="83"/>
        <v>0.2</v>
      </c>
      <c r="I687" s="65">
        <f t="shared" si="84"/>
        <v>0.3</v>
      </c>
      <c r="J687" s="66">
        <v>0.3</v>
      </c>
      <c r="K687" s="65">
        <f t="shared" si="82"/>
        <v>0.7</v>
      </c>
      <c r="L687" s="28">
        <f t="shared" si="85"/>
        <v>4.8217802076464533E-3</v>
      </c>
      <c r="M687" s="71">
        <f t="shared" si="88"/>
        <v>-3.8616362795659163E-3</v>
      </c>
      <c r="N687" s="51">
        <v>41003</v>
      </c>
      <c r="O687" s="77">
        <f t="shared" si="86"/>
        <v>0.43338941789897328</v>
      </c>
      <c r="P687" s="39">
        <f t="shared" si="87"/>
        <v>0.31527815786387259</v>
      </c>
    </row>
    <row r="688" spans="1:16" x14ac:dyDescent="0.3">
      <c r="A688" s="17">
        <v>41004</v>
      </c>
      <c r="B688" s="13">
        <v>27415</v>
      </c>
      <c r="C688" s="13">
        <v>52965</v>
      </c>
      <c r="D688" s="14">
        <v>2028.77</v>
      </c>
      <c r="E688" s="28">
        <f t="shared" si="81"/>
        <v>2.5598829767781162E-3</v>
      </c>
      <c r="F688" s="39">
        <f t="shared" si="81"/>
        <v>-6.6037735849056034E-4</v>
      </c>
      <c r="H688" s="64">
        <f t="shared" si="83"/>
        <v>0.2</v>
      </c>
      <c r="I688" s="65">
        <f t="shared" si="84"/>
        <v>0.3</v>
      </c>
      <c r="J688" s="66">
        <v>0.2</v>
      </c>
      <c r="K688" s="65">
        <f t="shared" si="82"/>
        <v>0.8</v>
      </c>
      <c r="L688" s="28">
        <f t="shared" si="85"/>
        <v>-2.8885932093116297E-3</v>
      </c>
      <c r="M688" s="71">
        <f t="shared" si="88"/>
        <v>-1.6325291436825062E-5</v>
      </c>
      <c r="N688" s="51">
        <v>41004</v>
      </c>
      <c r="O688" s="77">
        <f t="shared" si="86"/>
        <v>0.43337309260753648</v>
      </c>
      <c r="P688" s="39">
        <f t="shared" si="87"/>
        <v>0.32189817167728729</v>
      </c>
    </row>
    <row r="689" spans="1:16" x14ac:dyDescent="0.3">
      <c r="A689" s="18">
        <v>41005</v>
      </c>
      <c r="B689" s="15">
        <v>27380</v>
      </c>
      <c r="C689" s="15">
        <v>52985</v>
      </c>
      <c r="D689" s="70">
        <v>2029.03</v>
      </c>
      <c r="E689" s="71">
        <f t="shared" si="81"/>
        <v>-1.2766733540032771E-3</v>
      </c>
      <c r="F689" s="39">
        <f t="shared" si="81"/>
        <v>3.7760785424345578E-4</v>
      </c>
      <c r="H689" s="64">
        <f t="shared" si="83"/>
        <v>0.2</v>
      </c>
      <c r="I689" s="65">
        <f t="shared" si="84"/>
        <v>0.3</v>
      </c>
      <c r="J689" s="66">
        <v>0.3</v>
      </c>
      <c r="K689" s="65">
        <f t="shared" si="82"/>
        <v>0.7</v>
      </c>
      <c r="L689" s="28">
        <f t="shared" si="85"/>
        <v>3.0570074209004263E-4</v>
      </c>
      <c r="M689" s="71">
        <f t="shared" si="88"/>
        <v>-1.1867650823056409E-4</v>
      </c>
      <c r="N689" s="50">
        <v>41005</v>
      </c>
      <c r="O689" s="77">
        <f t="shared" si="86"/>
        <v>0.43325441609930593</v>
      </c>
      <c r="P689" s="39">
        <f t="shared" si="87"/>
        <v>0.32206758147959902</v>
      </c>
    </row>
    <row r="690" spans="1:16" x14ac:dyDescent="0.3">
      <c r="A690" s="17">
        <v>41008</v>
      </c>
      <c r="B690" s="13">
        <v>27025</v>
      </c>
      <c r="C690" s="13">
        <v>53010</v>
      </c>
      <c r="D690" s="14">
        <v>1997.08</v>
      </c>
      <c r="E690" s="28">
        <f t="shared" si="81"/>
        <v>-1.2965668371073824E-2</v>
      </c>
      <c r="F690" s="39">
        <f t="shared" si="81"/>
        <v>4.7183165046704723E-4</v>
      </c>
      <c r="H690" s="64">
        <f t="shared" si="83"/>
        <v>0.2</v>
      </c>
      <c r="I690" s="65">
        <f t="shared" si="84"/>
        <v>0.3</v>
      </c>
      <c r="J690" s="66">
        <v>0.2</v>
      </c>
      <c r="K690" s="65">
        <f t="shared" si="82"/>
        <v>0.8</v>
      </c>
      <c r="L690" s="28">
        <f t="shared" si="85"/>
        <v>4.6751612594109215E-5</v>
      </c>
      <c r="M690" s="71">
        <f t="shared" si="88"/>
        <v>-2.215668353841127E-3</v>
      </c>
      <c r="N690" s="51">
        <v>41008</v>
      </c>
      <c r="O690" s="77">
        <f t="shared" si="86"/>
        <v>0.4310387477454648</v>
      </c>
      <c r="P690" s="39">
        <f t="shared" si="87"/>
        <v>0.30124972308013076</v>
      </c>
    </row>
    <row r="691" spans="1:16" x14ac:dyDescent="0.3">
      <c r="A691" s="18">
        <v>41009</v>
      </c>
      <c r="B691" s="15">
        <v>26980</v>
      </c>
      <c r="C691" s="15">
        <v>53100</v>
      </c>
      <c r="D691" s="16">
        <v>1994.41</v>
      </c>
      <c r="E691" s="28">
        <f t="shared" si="81"/>
        <v>-1.6651248843663202E-3</v>
      </c>
      <c r="F691" s="39">
        <f t="shared" si="81"/>
        <v>1.6977928692698541E-3</v>
      </c>
      <c r="H691" s="64">
        <f t="shared" si="83"/>
        <v>0.3</v>
      </c>
      <c r="I691" s="65">
        <f t="shared" si="84"/>
        <v>0.5</v>
      </c>
      <c r="J691" s="66">
        <v>0.3</v>
      </c>
      <c r="K691" s="65">
        <f t="shared" si="82"/>
        <v>0.7</v>
      </c>
      <c r="L691" s="28">
        <f t="shared" si="85"/>
        <v>-3.5594183559952142E-3</v>
      </c>
      <c r="M691" s="71">
        <f t="shared" si="88"/>
        <v>6.8891754317900161E-4</v>
      </c>
      <c r="N691" s="50">
        <v>41009</v>
      </c>
      <c r="O691" s="77">
        <f t="shared" si="86"/>
        <v>0.43172766528864381</v>
      </c>
      <c r="P691" s="39">
        <f t="shared" si="87"/>
        <v>0.29951001472562133</v>
      </c>
    </row>
    <row r="692" spans="1:16" x14ac:dyDescent="0.3">
      <c r="A692" s="17">
        <v>41011</v>
      </c>
      <c r="B692" s="13">
        <v>26855</v>
      </c>
      <c r="C692" s="13">
        <v>53100</v>
      </c>
      <c r="D692" s="14">
        <v>1986.63</v>
      </c>
      <c r="E692" s="28">
        <f t="shared" si="81"/>
        <v>-4.633061527057114E-3</v>
      </c>
      <c r="F692" s="39">
        <f t="shared" si="81"/>
        <v>0</v>
      </c>
      <c r="H692" s="64">
        <f t="shared" si="83"/>
        <v>0.3</v>
      </c>
      <c r="I692" s="65">
        <f t="shared" si="84"/>
        <v>0.5</v>
      </c>
      <c r="J692" s="66">
        <v>0.3</v>
      </c>
      <c r="K692" s="65">
        <f t="shared" si="82"/>
        <v>0.7</v>
      </c>
      <c r="L692" s="28">
        <f t="shared" si="85"/>
        <v>6.8891754317900161E-4</v>
      </c>
      <c r="M692" s="71">
        <f t="shared" si="88"/>
        <v>-1.3899184581171343E-3</v>
      </c>
      <c r="N692" s="51">
        <v>41011</v>
      </c>
      <c r="O692" s="77">
        <f t="shared" si="86"/>
        <v>0.43033774683052667</v>
      </c>
      <c r="P692" s="39">
        <f t="shared" si="87"/>
        <v>0.29444075217952226</v>
      </c>
    </row>
    <row r="693" spans="1:16" x14ac:dyDescent="0.3">
      <c r="A693" s="17">
        <v>41012</v>
      </c>
      <c r="B693" s="13">
        <v>27090</v>
      </c>
      <c r="C693" s="13">
        <v>53125</v>
      </c>
      <c r="D693" s="14">
        <v>2008.91</v>
      </c>
      <c r="E693" s="28">
        <f t="shared" si="81"/>
        <v>8.7506981940048689E-3</v>
      </c>
      <c r="F693" s="39">
        <f t="shared" si="81"/>
        <v>4.7080979284364055E-4</v>
      </c>
      <c r="H693" s="64">
        <f t="shared" si="83"/>
        <v>0.3</v>
      </c>
      <c r="I693" s="65">
        <f t="shared" si="84"/>
        <v>0.5</v>
      </c>
      <c r="J693" s="66">
        <v>0.3</v>
      </c>
      <c r="K693" s="65">
        <f t="shared" si="82"/>
        <v>0.7</v>
      </c>
      <c r="L693" s="28">
        <f t="shared" si="85"/>
        <v>-1.3899184581171343E-3</v>
      </c>
      <c r="M693" s="71">
        <f t="shared" si="88"/>
        <v>2.9547763131920089E-3</v>
      </c>
      <c r="N693" s="51">
        <v>41012</v>
      </c>
      <c r="O693" s="77">
        <f t="shared" si="86"/>
        <v>0.43329252314371869</v>
      </c>
      <c r="P693" s="39">
        <f t="shared" si="87"/>
        <v>0.30895786908531742</v>
      </c>
    </row>
    <row r="694" spans="1:16" x14ac:dyDescent="0.3">
      <c r="A694" s="18">
        <v>41015</v>
      </c>
      <c r="B694" s="15">
        <v>26880</v>
      </c>
      <c r="C694" s="15">
        <v>53150</v>
      </c>
      <c r="D694" s="70">
        <v>1992.63</v>
      </c>
      <c r="E694" s="71">
        <f t="shared" si="81"/>
        <v>-7.7519379844961378E-3</v>
      </c>
      <c r="F694" s="39">
        <f t="shared" si="81"/>
        <v>4.7058823529422256E-4</v>
      </c>
      <c r="H694" s="64">
        <f t="shared" si="83"/>
        <v>0.2</v>
      </c>
      <c r="I694" s="65">
        <f t="shared" si="84"/>
        <v>0.3</v>
      </c>
      <c r="J694" s="66">
        <v>0.3</v>
      </c>
      <c r="K694" s="65">
        <f t="shared" si="82"/>
        <v>0.7</v>
      </c>
      <c r="L694" s="28">
        <f t="shared" si="85"/>
        <v>2.9547763131920089E-3</v>
      </c>
      <c r="M694" s="71">
        <f t="shared" si="88"/>
        <v>-1.9961696306428855E-3</v>
      </c>
      <c r="N694" s="50">
        <v>41015</v>
      </c>
      <c r="O694" s="77">
        <f t="shared" si="86"/>
        <v>0.43129635351307583</v>
      </c>
      <c r="P694" s="39">
        <f t="shared" si="87"/>
        <v>0.29835020915594823</v>
      </c>
    </row>
    <row r="695" spans="1:16" x14ac:dyDescent="0.3">
      <c r="A695" s="17">
        <v>41016</v>
      </c>
      <c r="B695" s="13">
        <v>26800</v>
      </c>
      <c r="C695" s="13">
        <v>53130</v>
      </c>
      <c r="D695" s="14">
        <v>1985.3</v>
      </c>
      <c r="E695" s="28">
        <f t="shared" si="81"/>
        <v>-2.9761904761904656E-3</v>
      </c>
      <c r="F695" s="39">
        <f t="shared" si="81"/>
        <v>-3.7629350893697566E-4</v>
      </c>
      <c r="H695" s="64">
        <f t="shared" si="83"/>
        <v>0.3</v>
      </c>
      <c r="I695" s="65">
        <f t="shared" si="84"/>
        <v>0.5</v>
      </c>
      <c r="J695" s="66">
        <v>0.3</v>
      </c>
      <c r="K695" s="65">
        <f t="shared" si="82"/>
        <v>0.7</v>
      </c>
      <c r="L695" s="28">
        <f t="shared" si="85"/>
        <v>-1.9961696306428855E-3</v>
      </c>
      <c r="M695" s="71">
        <f t="shared" si="88"/>
        <v>-1.1562625991130226E-3</v>
      </c>
      <c r="N695" s="51">
        <v>41016</v>
      </c>
      <c r="O695" s="77">
        <f t="shared" si="86"/>
        <v>0.43014009091396282</v>
      </c>
      <c r="P695" s="39">
        <f t="shared" si="87"/>
        <v>0.29357415588308111</v>
      </c>
    </row>
    <row r="696" spans="1:16" x14ac:dyDescent="0.3">
      <c r="A696" s="18">
        <v>41017</v>
      </c>
      <c r="B696" s="15">
        <v>27045</v>
      </c>
      <c r="C696" s="15">
        <v>53185</v>
      </c>
      <c r="D696" s="16">
        <v>2004.53</v>
      </c>
      <c r="E696" s="28">
        <f t="shared" si="81"/>
        <v>9.141791044776193E-3</v>
      </c>
      <c r="F696" s="39">
        <f t="shared" si="81"/>
        <v>1.0351966873705098E-3</v>
      </c>
      <c r="H696" s="64">
        <f t="shared" si="83"/>
        <v>0.3</v>
      </c>
      <c r="I696" s="65">
        <f t="shared" si="84"/>
        <v>0.5</v>
      </c>
      <c r="J696" s="66">
        <v>0.3</v>
      </c>
      <c r="K696" s="65">
        <f t="shared" si="82"/>
        <v>0.7</v>
      </c>
      <c r="L696" s="28">
        <f t="shared" si="85"/>
        <v>-1.1562625991130226E-3</v>
      </c>
      <c r="M696" s="71">
        <f t="shared" si="88"/>
        <v>3.467174994592215E-3</v>
      </c>
      <c r="N696" s="50">
        <v>41017</v>
      </c>
      <c r="O696" s="77">
        <f t="shared" si="86"/>
        <v>0.43360726590855503</v>
      </c>
      <c r="P696" s="39">
        <f t="shared" si="87"/>
        <v>0.30610396549252639</v>
      </c>
    </row>
    <row r="697" spans="1:16" x14ac:dyDescent="0.3">
      <c r="A697" s="17">
        <v>41018</v>
      </c>
      <c r="B697" s="13">
        <v>27005</v>
      </c>
      <c r="C697" s="13">
        <v>53195</v>
      </c>
      <c r="D697" s="14">
        <v>1999.86</v>
      </c>
      <c r="E697" s="28">
        <f t="shared" si="81"/>
        <v>-1.4790164540580131E-3</v>
      </c>
      <c r="F697" s="39">
        <f t="shared" si="81"/>
        <v>1.880229387984933E-4</v>
      </c>
      <c r="H697" s="64">
        <f t="shared" si="83"/>
        <v>0.2</v>
      </c>
      <c r="I697" s="65">
        <f t="shared" si="84"/>
        <v>0.3</v>
      </c>
      <c r="J697" s="66">
        <v>0.3</v>
      </c>
      <c r="K697" s="65">
        <f t="shared" si="82"/>
        <v>0.7</v>
      </c>
      <c r="L697" s="28">
        <f t="shared" si="85"/>
        <v>3.467174994592215E-3</v>
      </c>
      <c r="M697" s="71">
        <f t="shared" si="88"/>
        <v>-3.1208887905845859E-4</v>
      </c>
      <c r="N697" s="51">
        <v>41018</v>
      </c>
      <c r="O697" s="77">
        <f t="shared" si="86"/>
        <v>0.43329517702949655</v>
      </c>
      <c r="P697" s="39">
        <f t="shared" si="87"/>
        <v>0.30306110481254156</v>
      </c>
    </row>
    <row r="698" spans="1:16" x14ac:dyDescent="0.3">
      <c r="A698" s="17">
        <v>41019</v>
      </c>
      <c r="B698" s="13">
        <v>26640</v>
      </c>
      <c r="C698" s="13">
        <v>53210</v>
      </c>
      <c r="D698" s="14">
        <v>1974.65</v>
      </c>
      <c r="E698" s="28">
        <f t="shared" si="81"/>
        <v>-1.3516015552675453E-2</v>
      </c>
      <c r="F698" s="39">
        <f t="shared" si="81"/>
        <v>2.8198138922830296E-4</v>
      </c>
      <c r="H698" s="64">
        <f t="shared" si="83"/>
        <v>0.3</v>
      </c>
      <c r="I698" s="65">
        <f t="shared" si="84"/>
        <v>0.5</v>
      </c>
      <c r="J698" s="66">
        <v>0.3</v>
      </c>
      <c r="K698" s="65">
        <f t="shared" si="82"/>
        <v>0.7</v>
      </c>
      <c r="L698" s="28">
        <f t="shared" si="85"/>
        <v>-3.1208887905845859E-4</v>
      </c>
      <c r="M698" s="71">
        <f t="shared" si="88"/>
        <v>-3.8574176933428234E-3</v>
      </c>
      <c r="N698" s="51">
        <v>41019</v>
      </c>
      <c r="O698" s="77">
        <f t="shared" si="86"/>
        <v>0.42943775933615375</v>
      </c>
      <c r="P698" s="39">
        <f t="shared" si="87"/>
        <v>0.28663486974992503</v>
      </c>
    </row>
    <row r="699" spans="1:16" x14ac:dyDescent="0.3">
      <c r="A699" s="18">
        <v>41022</v>
      </c>
      <c r="B699" s="15">
        <v>26620</v>
      </c>
      <c r="C699" s="15">
        <v>53225</v>
      </c>
      <c r="D699" s="70">
        <v>1972.63</v>
      </c>
      <c r="E699" s="71">
        <f t="shared" si="81"/>
        <v>-7.5075075075070608E-4</v>
      </c>
      <c r="F699" s="39">
        <f t="shared" si="81"/>
        <v>2.8190189813948052E-4</v>
      </c>
      <c r="H699" s="64">
        <f t="shared" si="83"/>
        <v>0.3</v>
      </c>
      <c r="I699" s="65">
        <f t="shared" si="84"/>
        <v>0.5</v>
      </c>
      <c r="J699" s="66">
        <v>0.3</v>
      </c>
      <c r="K699" s="65">
        <f t="shared" si="82"/>
        <v>0.7</v>
      </c>
      <c r="L699" s="28">
        <f t="shared" si="85"/>
        <v>-3.8574176933428234E-3</v>
      </c>
      <c r="M699" s="71">
        <f t="shared" si="88"/>
        <v>-2.7893896527575457E-5</v>
      </c>
      <c r="N699" s="50">
        <v>41022</v>
      </c>
      <c r="O699" s="77">
        <f t="shared" si="86"/>
        <v>0.42940986543962617</v>
      </c>
      <c r="P699" s="39">
        <f t="shared" si="87"/>
        <v>0.28531868590119513</v>
      </c>
    </row>
    <row r="700" spans="1:16" x14ac:dyDescent="0.3">
      <c r="A700" s="17">
        <v>41023</v>
      </c>
      <c r="B700" s="13">
        <v>26485</v>
      </c>
      <c r="C700" s="13">
        <v>53250</v>
      </c>
      <c r="D700" s="14">
        <v>1963.42</v>
      </c>
      <c r="E700" s="28">
        <f t="shared" si="81"/>
        <v>-5.0713749060856683E-3</v>
      </c>
      <c r="F700" s="39">
        <f t="shared" si="81"/>
        <v>4.6970408642565964E-4</v>
      </c>
      <c r="H700" s="64">
        <f t="shared" si="83"/>
        <v>0.3</v>
      </c>
      <c r="I700" s="65">
        <f t="shared" si="84"/>
        <v>0.5</v>
      </c>
      <c r="J700" s="66">
        <v>0.3</v>
      </c>
      <c r="K700" s="65">
        <f t="shared" si="82"/>
        <v>0.7</v>
      </c>
      <c r="L700" s="28">
        <f t="shared" si="85"/>
        <v>-2.7893896527575457E-5</v>
      </c>
      <c r="M700" s="71">
        <f t="shared" si="88"/>
        <v>-1.1926196113277387E-3</v>
      </c>
      <c r="N700" s="51">
        <v>41023</v>
      </c>
      <c r="O700" s="77">
        <f t="shared" si="86"/>
        <v>0.42821724582829845</v>
      </c>
      <c r="P700" s="39">
        <f t="shared" si="87"/>
        <v>0.27931766944238112</v>
      </c>
    </row>
    <row r="701" spans="1:16" x14ac:dyDescent="0.3">
      <c r="A701" s="18">
        <v>41024</v>
      </c>
      <c r="B701" s="15">
        <v>26490</v>
      </c>
      <c r="C701" s="15">
        <v>53215</v>
      </c>
      <c r="D701" s="16">
        <v>1961.98</v>
      </c>
      <c r="E701" s="28">
        <f t="shared" si="81"/>
        <v>1.8878610534267537E-4</v>
      </c>
      <c r="F701" s="39">
        <f t="shared" si="81"/>
        <v>-6.5727699530515604E-4</v>
      </c>
      <c r="H701" s="64">
        <f t="shared" si="83"/>
        <v>0.3</v>
      </c>
      <c r="I701" s="65">
        <f t="shared" si="84"/>
        <v>0.5</v>
      </c>
      <c r="J701" s="66">
        <v>0.3</v>
      </c>
      <c r="K701" s="65">
        <f t="shared" si="82"/>
        <v>0.7</v>
      </c>
      <c r="L701" s="28">
        <f t="shared" si="85"/>
        <v>-1.1926196113277387E-3</v>
      </c>
      <c r="M701" s="71">
        <f t="shared" si="88"/>
        <v>-4.034580651108066E-4</v>
      </c>
      <c r="N701" s="50">
        <v>41024</v>
      </c>
      <c r="O701" s="77">
        <f t="shared" si="86"/>
        <v>0.42781378776318763</v>
      </c>
      <c r="P701" s="39">
        <f t="shared" si="87"/>
        <v>0.27837939976803883</v>
      </c>
    </row>
    <row r="702" spans="1:16" x14ac:dyDescent="0.3">
      <c r="A702" s="17">
        <v>41025</v>
      </c>
      <c r="B702" s="13">
        <v>26580</v>
      </c>
      <c r="C702" s="13">
        <v>53230</v>
      </c>
      <c r="D702" s="14">
        <v>1964.04</v>
      </c>
      <c r="E702" s="28">
        <f t="shared" si="81"/>
        <v>3.3975084937711841E-3</v>
      </c>
      <c r="F702" s="39">
        <f t="shared" si="81"/>
        <v>2.8187541106827751E-4</v>
      </c>
      <c r="H702" s="64">
        <f t="shared" si="83"/>
        <v>0.3</v>
      </c>
      <c r="I702" s="65">
        <f t="shared" si="84"/>
        <v>0.5</v>
      </c>
      <c r="J702" s="66">
        <v>0.5</v>
      </c>
      <c r="K702" s="65">
        <f t="shared" si="82"/>
        <v>0.5</v>
      </c>
      <c r="L702" s="28">
        <f t="shared" si="85"/>
        <v>-2.3424544498124034E-4</v>
      </c>
      <c r="M702" s="71">
        <f t="shared" si="88"/>
        <v>1.8396919524197308E-3</v>
      </c>
      <c r="N702" s="51">
        <v>41025</v>
      </c>
      <c r="O702" s="77">
        <f t="shared" si="86"/>
        <v>0.42965347971560736</v>
      </c>
      <c r="P702" s="39">
        <f t="shared" si="87"/>
        <v>0.27972164666327837</v>
      </c>
    </row>
    <row r="703" spans="1:16" x14ac:dyDescent="0.3">
      <c r="A703" s="17">
        <v>41026</v>
      </c>
      <c r="B703" s="13">
        <v>26440</v>
      </c>
      <c r="C703" s="13">
        <v>53280</v>
      </c>
      <c r="D703" s="14">
        <v>1975.35</v>
      </c>
      <c r="E703" s="28">
        <f t="shared" si="81"/>
        <v>-5.2671181339353224E-3</v>
      </c>
      <c r="F703" s="39">
        <f t="shared" si="81"/>
        <v>9.3931993236906486E-4</v>
      </c>
      <c r="H703" s="64">
        <f t="shared" si="83"/>
        <v>0.3</v>
      </c>
      <c r="I703" s="65">
        <f t="shared" si="84"/>
        <v>0.5</v>
      </c>
      <c r="J703" s="66">
        <v>0.5</v>
      </c>
      <c r="K703" s="65">
        <f t="shared" si="82"/>
        <v>0.5</v>
      </c>
      <c r="L703" s="28">
        <f t="shared" si="85"/>
        <v>1.8396919524197308E-3</v>
      </c>
      <c r="M703" s="71">
        <f t="shared" si="88"/>
        <v>-2.1638991007831287E-3</v>
      </c>
      <c r="N703" s="51">
        <v>41026</v>
      </c>
      <c r="O703" s="77">
        <f t="shared" si="86"/>
        <v>0.42748958061482423</v>
      </c>
      <c r="P703" s="39">
        <f t="shared" si="87"/>
        <v>0.28709097306384135</v>
      </c>
    </row>
    <row r="704" spans="1:16" x14ac:dyDescent="0.3">
      <c r="A704" s="18">
        <v>41029</v>
      </c>
      <c r="B704" s="15">
        <v>26565</v>
      </c>
      <c r="C704" s="15">
        <v>53350</v>
      </c>
      <c r="D704" s="70">
        <v>1981.99</v>
      </c>
      <c r="E704" s="71">
        <f t="shared" si="81"/>
        <v>4.7276853252646855E-3</v>
      </c>
      <c r="F704" s="39">
        <f t="shared" si="81"/>
        <v>1.3138138138137911E-3</v>
      </c>
      <c r="H704" s="64">
        <f t="shared" si="83"/>
        <v>0.3</v>
      </c>
      <c r="I704" s="65">
        <f t="shared" si="84"/>
        <v>0.5</v>
      </c>
      <c r="J704" s="66">
        <v>0.30000000000000004</v>
      </c>
      <c r="K704" s="65">
        <f t="shared" si="82"/>
        <v>0.7</v>
      </c>
      <c r="L704" s="28">
        <f t="shared" si="85"/>
        <v>-9.2261148752225157E-4</v>
      </c>
      <c r="M704" s="71">
        <f t="shared" si="88"/>
        <v>2.3379752672490596E-3</v>
      </c>
      <c r="N704" s="50">
        <v>41029</v>
      </c>
      <c r="O704" s="77">
        <f t="shared" si="86"/>
        <v>0.42982755588207328</v>
      </c>
      <c r="P704" s="39">
        <f t="shared" si="87"/>
        <v>0.2914174387844195</v>
      </c>
    </row>
    <row r="705" spans="1:16" x14ac:dyDescent="0.3">
      <c r="A705" s="17">
        <v>41031</v>
      </c>
      <c r="B705" s="13">
        <v>26770</v>
      </c>
      <c r="C705" s="13">
        <v>53350</v>
      </c>
      <c r="D705" s="14">
        <v>1999.07</v>
      </c>
      <c r="E705" s="28">
        <f t="shared" si="81"/>
        <v>7.716920760399093E-3</v>
      </c>
      <c r="F705" s="39">
        <f t="shared" si="81"/>
        <v>0</v>
      </c>
      <c r="H705" s="64">
        <f t="shared" si="83"/>
        <v>0.3</v>
      </c>
      <c r="I705" s="65">
        <f t="shared" si="84"/>
        <v>0.5</v>
      </c>
      <c r="J705" s="66">
        <v>0.5</v>
      </c>
      <c r="K705" s="65">
        <f t="shared" si="82"/>
        <v>0.5</v>
      </c>
      <c r="L705" s="28">
        <f t="shared" si="85"/>
        <v>3.0207495695392383E-3</v>
      </c>
      <c r="M705" s="71">
        <f t="shared" si="88"/>
        <v>3.8584603801995465E-3</v>
      </c>
      <c r="N705" s="51">
        <v>41031</v>
      </c>
      <c r="O705" s="77">
        <f t="shared" si="86"/>
        <v>0.43368601626227282</v>
      </c>
      <c r="P705" s="39">
        <f t="shared" si="87"/>
        <v>0.3025463596439788</v>
      </c>
    </row>
    <row r="706" spans="1:16" x14ac:dyDescent="0.3">
      <c r="A706" s="18">
        <v>41032</v>
      </c>
      <c r="B706" s="15">
        <v>26720</v>
      </c>
      <c r="C706" s="15">
        <v>53380</v>
      </c>
      <c r="D706" s="16">
        <v>1995.11</v>
      </c>
      <c r="E706" s="28">
        <f t="shared" si="81"/>
        <v>-1.8677624206201449E-3</v>
      </c>
      <c r="F706" s="39">
        <f t="shared" si="81"/>
        <v>5.6232427366453841E-4</v>
      </c>
      <c r="H706" s="64">
        <f t="shared" si="83"/>
        <v>0.3</v>
      </c>
      <c r="I706" s="65">
        <f t="shared" si="84"/>
        <v>0.5</v>
      </c>
      <c r="J706" s="66">
        <v>0.5</v>
      </c>
      <c r="K706" s="65">
        <f t="shared" si="82"/>
        <v>0.5</v>
      </c>
      <c r="L706" s="28">
        <f t="shared" si="85"/>
        <v>3.8584603801995465E-3</v>
      </c>
      <c r="M706" s="71">
        <f t="shared" si="88"/>
        <v>-6.5271907347780322E-4</v>
      </c>
      <c r="N706" s="50">
        <v>41032</v>
      </c>
      <c r="O706" s="77">
        <f t="shared" si="86"/>
        <v>0.43303329718879502</v>
      </c>
      <c r="P706" s="39">
        <f t="shared" si="87"/>
        <v>0.29996611803953765</v>
      </c>
    </row>
    <row r="707" spans="1:16" x14ac:dyDescent="0.3">
      <c r="A707" s="17">
        <v>41033</v>
      </c>
      <c r="B707" s="13">
        <v>26550</v>
      </c>
      <c r="C707" s="13">
        <v>53405</v>
      </c>
      <c r="D707" s="14">
        <v>1989.15</v>
      </c>
      <c r="E707" s="28">
        <f t="shared" si="81"/>
        <v>-6.3622754491018396E-3</v>
      </c>
      <c r="F707" s="39">
        <f t="shared" si="81"/>
        <v>4.683402023228922E-4</v>
      </c>
      <c r="H707" s="64">
        <f t="shared" si="83"/>
        <v>0.3</v>
      </c>
      <c r="I707" s="65">
        <f t="shared" si="84"/>
        <v>0.5</v>
      </c>
      <c r="J707" s="66">
        <v>0.3</v>
      </c>
      <c r="K707" s="65">
        <f t="shared" si="82"/>
        <v>0.7</v>
      </c>
      <c r="L707" s="28">
        <f t="shared" si="85"/>
        <v>-1.6670173462086653E-4</v>
      </c>
      <c r="M707" s="71">
        <f t="shared" si="88"/>
        <v>-1.5808444931045273E-3</v>
      </c>
      <c r="N707" s="51">
        <v>41033</v>
      </c>
      <c r="O707" s="77">
        <f t="shared" si="86"/>
        <v>0.43145245269569049</v>
      </c>
      <c r="P707" s="39">
        <f t="shared" si="87"/>
        <v>0.29608272410962133</v>
      </c>
    </row>
    <row r="708" spans="1:16" x14ac:dyDescent="0.3">
      <c r="A708" s="17">
        <v>41036</v>
      </c>
      <c r="B708" s="13">
        <v>26070</v>
      </c>
      <c r="C708" s="13">
        <v>53460</v>
      </c>
      <c r="D708" s="14">
        <v>1956.44</v>
      </c>
      <c r="E708" s="28">
        <f t="shared" si="81"/>
        <v>-1.8079096045197751E-2</v>
      </c>
      <c r="F708" s="39">
        <f t="shared" si="81"/>
        <v>1.029866117404632E-3</v>
      </c>
      <c r="H708" s="64">
        <f t="shared" si="83"/>
        <v>0.3</v>
      </c>
      <c r="I708" s="65">
        <f t="shared" si="84"/>
        <v>0.5</v>
      </c>
      <c r="J708" s="66">
        <v>0.3</v>
      </c>
      <c r="K708" s="65">
        <f t="shared" si="82"/>
        <v>0.7</v>
      </c>
      <c r="L708" s="28">
        <f t="shared" si="85"/>
        <v>-1.5808444931045273E-3</v>
      </c>
      <c r="M708" s="71">
        <f t="shared" si="88"/>
        <v>-4.7028225313760826E-3</v>
      </c>
      <c r="N708" s="51">
        <v>41036</v>
      </c>
      <c r="O708" s="77">
        <f t="shared" si="86"/>
        <v>0.42674963016431439</v>
      </c>
      <c r="P708" s="39">
        <f t="shared" si="87"/>
        <v>0.27476966782647216</v>
      </c>
    </row>
    <row r="709" spans="1:16" x14ac:dyDescent="0.3">
      <c r="A709" s="18">
        <v>41037</v>
      </c>
      <c r="B709" s="15">
        <v>26245</v>
      </c>
      <c r="C709" s="15">
        <v>53460</v>
      </c>
      <c r="D709" s="70">
        <v>1967.01</v>
      </c>
      <c r="E709" s="71">
        <f t="shared" si="81"/>
        <v>6.7126965861143972E-3</v>
      </c>
      <c r="F709" s="39">
        <f t="shared" si="81"/>
        <v>0</v>
      </c>
      <c r="H709" s="64">
        <f t="shared" si="83"/>
        <v>0.3</v>
      </c>
      <c r="I709" s="65">
        <f t="shared" si="84"/>
        <v>0.5</v>
      </c>
      <c r="J709" s="66">
        <v>0.3</v>
      </c>
      <c r="K709" s="65">
        <f t="shared" si="82"/>
        <v>0.7</v>
      </c>
      <c r="L709" s="28">
        <f t="shared" si="85"/>
        <v>-4.7028225313760826E-3</v>
      </c>
      <c r="M709" s="71">
        <f t="shared" si="88"/>
        <v>2.0138089758343189E-3</v>
      </c>
      <c r="N709" s="50">
        <v>41037</v>
      </c>
      <c r="O709" s="77">
        <f t="shared" si="86"/>
        <v>0.42876343914014869</v>
      </c>
      <c r="P709" s="39">
        <f t="shared" si="87"/>
        <v>0.28165682786660939</v>
      </c>
    </row>
    <row r="710" spans="1:16" x14ac:dyDescent="0.3">
      <c r="A710" s="17">
        <v>41038</v>
      </c>
      <c r="B710" s="13">
        <v>26035</v>
      </c>
      <c r="C710" s="13">
        <v>53460</v>
      </c>
      <c r="D710" s="14">
        <v>1950.29</v>
      </c>
      <c r="E710" s="28">
        <f t="shared" si="81"/>
        <v>-8.0015240998285719E-3</v>
      </c>
      <c r="F710" s="39">
        <f t="shared" si="81"/>
        <v>0</v>
      </c>
      <c r="H710" s="64">
        <f t="shared" si="83"/>
        <v>0.3</v>
      </c>
      <c r="I710" s="65">
        <f t="shared" si="84"/>
        <v>0.5</v>
      </c>
      <c r="J710" s="66">
        <v>0.5</v>
      </c>
      <c r="K710" s="65">
        <f t="shared" si="82"/>
        <v>0.5</v>
      </c>
      <c r="L710" s="28">
        <f t="shared" si="85"/>
        <v>3.3563482930571986E-3</v>
      </c>
      <c r="M710" s="71">
        <f t="shared" si="88"/>
        <v>-4.000762049914286E-3</v>
      </c>
      <c r="N710" s="51">
        <v>41038</v>
      </c>
      <c r="O710" s="77">
        <f t="shared" si="86"/>
        <v>0.42476267709023441</v>
      </c>
      <c r="P710" s="39">
        <f t="shared" si="87"/>
        <v>0.27076247442563561</v>
      </c>
    </row>
    <row r="711" spans="1:16" x14ac:dyDescent="0.3">
      <c r="A711" s="18">
        <v>41039</v>
      </c>
      <c r="B711" s="15">
        <v>25945</v>
      </c>
      <c r="C711" s="15">
        <v>53445</v>
      </c>
      <c r="D711" s="16">
        <v>1944.93</v>
      </c>
      <c r="E711" s="28">
        <f t="shared" si="81"/>
        <v>-3.4568849625503661E-3</v>
      </c>
      <c r="F711" s="39">
        <f t="shared" si="81"/>
        <v>-2.8058361391691822E-4</v>
      </c>
      <c r="H711" s="64">
        <f t="shared" si="83"/>
        <v>0.3</v>
      </c>
      <c r="I711" s="65">
        <f t="shared" si="84"/>
        <v>0.5</v>
      </c>
      <c r="J711" s="66">
        <v>0.3</v>
      </c>
      <c r="K711" s="65">
        <f t="shared" si="82"/>
        <v>0.7</v>
      </c>
      <c r="L711" s="28">
        <f t="shared" si="85"/>
        <v>-2.4004572299485714E-3</v>
      </c>
      <c r="M711" s="71">
        <f t="shared" si="88"/>
        <v>-1.2334740185069525E-3</v>
      </c>
      <c r="N711" s="50">
        <v>41039</v>
      </c>
      <c r="O711" s="77">
        <f t="shared" si="86"/>
        <v>0.42352920307172748</v>
      </c>
      <c r="P711" s="39">
        <f t="shared" si="87"/>
        <v>0.26727002619336182</v>
      </c>
    </row>
    <row r="712" spans="1:16" x14ac:dyDescent="0.3">
      <c r="A712" s="17">
        <v>41040</v>
      </c>
      <c r="B712" s="13">
        <v>25495</v>
      </c>
      <c r="C712" s="13">
        <v>53520</v>
      </c>
      <c r="D712" s="14">
        <v>1917.13</v>
      </c>
      <c r="E712" s="28">
        <f t="shared" si="81"/>
        <v>-1.7344382347273091E-2</v>
      </c>
      <c r="F712" s="39">
        <f t="shared" si="81"/>
        <v>1.4033118158855995E-3</v>
      </c>
      <c r="H712" s="64">
        <f t="shared" si="83"/>
        <v>0.5</v>
      </c>
      <c r="I712" s="65">
        <f t="shared" si="84"/>
        <v>0.7</v>
      </c>
      <c r="J712" s="66">
        <v>0.5</v>
      </c>
      <c r="K712" s="65">
        <f t="shared" si="82"/>
        <v>0.5</v>
      </c>
      <c r="L712" s="28">
        <f t="shared" si="85"/>
        <v>-1.8687342882336422E-3</v>
      </c>
      <c r="M712" s="71">
        <f t="shared" si="88"/>
        <v>-7.9705352656937456E-3</v>
      </c>
      <c r="N712" s="51">
        <v>41040</v>
      </c>
      <c r="O712" s="77">
        <f t="shared" si="86"/>
        <v>0.41555866780603373</v>
      </c>
      <c r="P712" s="39">
        <f t="shared" si="87"/>
        <v>0.24915620886925471</v>
      </c>
    </row>
    <row r="713" spans="1:16" x14ac:dyDescent="0.3">
      <c r="A713" s="17">
        <v>41043</v>
      </c>
      <c r="B713" s="13">
        <v>25505</v>
      </c>
      <c r="C713" s="13">
        <v>53465</v>
      </c>
      <c r="D713" s="14">
        <v>1913.73</v>
      </c>
      <c r="E713" s="28">
        <f t="shared" si="81"/>
        <v>3.9223377132779902E-4</v>
      </c>
      <c r="F713" s="39">
        <f t="shared" si="81"/>
        <v>-1.0276532137518668E-3</v>
      </c>
      <c r="H713" s="64">
        <f t="shared" si="83"/>
        <v>0.5</v>
      </c>
      <c r="I713" s="65">
        <f t="shared" si="84"/>
        <v>0.7</v>
      </c>
      <c r="J713" s="66">
        <v>0.5</v>
      </c>
      <c r="K713" s="65">
        <f t="shared" si="82"/>
        <v>0.5</v>
      </c>
      <c r="L713" s="28">
        <f t="shared" si="85"/>
        <v>-7.9705352656937456E-3</v>
      </c>
      <c r="M713" s="71">
        <f t="shared" si="88"/>
        <v>-3.1770972121203389E-4</v>
      </c>
      <c r="N713" s="51">
        <v>41043</v>
      </c>
      <c r="O713" s="77">
        <f t="shared" si="86"/>
        <v>0.4152409580848217</v>
      </c>
      <c r="P713" s="39">
        <f t="shared" si="87"/>
        <v>0.24694084991594667</v>
      </c>
    </row>
    <row r="714" spans="1:16" x14ac:dyDescent="0.3">
      <c r="A714" s="18">
        <v>41044</v>
      </c>
      <c r="B714" s="15">
        <v>25390</v>
      </c>
      <c r="C714" s="15">
        <v>53510</v>
      </c>
      <c r="D714" s="70">
        <v>1898.96</v>
      </c>
      <c r="E714" s="71">
        <f t="shared" si="81"/>
        <v>-4.5089198196431868E-3</v>
      </c>
      <c r="F714" s="39">
        <f t="shared" si="81"/>
        <v>8.4167212194885543E-4</v>
      </c>
      <c r="H714" s="64">
        <f t="shared" si="83"/>
        <v>0.5</v>
      </c>
      <c r="I714" s="65">
        <f t="shared" si="84"/>
        <v>0.7</v>
      </c>
      <c r="J714" s="66">
        <v>0.7</v>
      </c>
      <c r="K714" s="65">
        <f t="shared" si="82"/>
        <v>0.30000000000000004</v>
      </c>
      <c r="L714" s="28">
        <f t="shared" si="85"/>
        <v>-3.3732324196100814E-5</v>
      </c>
      <c r="M714" s="71">
        <f t="shared" si="88"/>
        <v>-2.903742237165574E-3</v>
      </c>
      <c r="N714" s="50">
        <v>41044</v>
      </c>
      <c r="O714" s="77">
        <f t="shared" si="86"/>
        <v>0.41233721584765615</v>
      </c>
      <c r="P714" s="39">
        <f t="shared" si="87"/>
        <v>0.2373170699923115</v>
      </c>
    </row>
    <row r="715" spans="1:16" x14ac:dyDescent="0.3">
      <c r="A715" s="17">
        <v>41045</v>
      </c>
      <c r="B715" s="13">
        <v>24560</v>
      </c>
      <c r="C715" s="13">
        <v>53490</v>
      </c>
      <c r="D715" s="14">
        <v>1840.53</v>
      </c>
      <c r="E715" s="28">
        <f t="shared" si="81"/>
        <v>-3.2690035447026422E-2</v>
      </c>
      <c r="F715" s="39">
        <f t="shared" si="81"/>
        <v>-3.7376191366100819E-4</v>
      </c>
      <c r="H715" s="64">
        <f t="shared" si="83"/>
        <v>0.7</v>
      </c>
      <c r="I715" s="65">
        <f t="shared" si="84"/>
        <v>0.9</v>
      </c>
      <c r="J715" s="66">
        <v>0.7</v>
      </c>
      <c r="K715" s="65">
        <f t="shared" si="82"/>
        <v>0.30000000000000004</v>
      </c>
      <c r="L715" s="28">
        <f t="shared" si="85"/>
        <v>-2.903742237165574E-3</v>
      </c>
      <c r="M715" s="71">
        <f t="shared" si="88"/>
        <v>-2.2995153387016798E-2</v>
      </c>
      <c r="N715" s="51">
        <v>41045</v>
      </c>
      <c r="O715" s="77">
        <f t="shared" si="86"/>
        <v>0.38934206246063935</v>
      </c>
      <c r="P715" s="39">
        <f t="shared" si="87"/>
        <v>0.1992454748035497</v>
      </c>
    </row>
    <row r="716" spans="1:16" x14ac:dyDescent="0.3">
      <c r="A716" s="18">
        <v>41046</v>
      </c>
      <c r="B716" s="15">
        <v>24550</v>
      </c>
      <c r="C716" s="15">
        <v>53505</v>
      </c>
      <c r="D716" s="16">
        <v>1845.24</v>
      </c>
      <c r="E716" s="28">
        <f t="shared" si="81"/>
        <v>-4.071661237784463E-4</v>
      </c>
      <c r="F716" s="39">
        <f t="shared" si="81"/>
        <v>2.8042624789681447E-4</v>
      </c>
      <c r="H716" s="64">
        <f t="shared" si="83"/>
        <v>0.9</v>
      </c>
      <c r="I716" s="65">
        <f t="shared" si="84"/>
        <v>1</v>
      </c>
      <c r="J716" s="66">
        <v>0.9</v>
      </c>
      <c r="K716" s="65">
        <f t="shared" si="82"/>
        <v>9.9999999999999978E-2</v>
      </c>
      <c r="L716" s="28">
        <f t="shared" si="85"/>
        <v>-2.9458408093689884E-2</v>
      </c>
      <c r="M716" s="71">
        <f t="shared" si="88"/>
        <v>-3.3840688661092023E-4</v>
      </c>
      <c r="N716" s="50">
        <v>41046</v>
      </c>
      <c r="O716" s="77">
        <f t="shared" si="86"/>
        <v>0.38900365557402844</v>
      </c>
      <c r="P716" s="39">
        <f t="shared" si="87"/>
        <v>0.20231439853004418</v>
      </c>
    </row>
    <row r="717" spans="1:16" x14ac:dyDescent="0.3">
      <c r="A717" s="17">
        <v>41047</v>
      </c>
      <c r="B717" s="13">
        <v>23740</v>
      </c>
      <c r="C717" s="13">
        <v>53550</v>
      </c>
      <c r="D717" s="14">
        <v>1782.46</v>
      </c>
      <c r="E717" s="28">
        <f t="shared" si="81"/>
        <v>-3.2993890020366567E-2</v>
      </c>
      <c r="F717" s="39">
        <f t="shared" si="81"/>
        <v>8.41042893187538E-4</v>
      </c>
      <c r="H717" s="64">
        <f t="shared" si="83"/>
        <v>0.9</v>
      </c>
      <c r="I717" s="65">
        <f t="shared" si="84"/>
        <v>1</v>
      </c>
      <c r="J717" s="66">
        <v>0.9</v>
      </c>
      <c r="K717" s="65">
        <f t="shared" si="82"/>
        <v>9.9999999999999978E-2</v>
      </c>
      <c r="L717" s="28">
        <f t="shared" si="85"/>
        <v>-3.3840688661092023E-4</v>
      </c>
      <c r="M717" s="71">
        <f t="shared" si="88"/>
        <v>-2.9610396729011158E-2</v>
      </c>
      <c r="N717" s="51">
        <v>41047</v>
      </c>
      <c r="O717" s="77">
        <f t="shared" si="86"/>
        <v>0.35939325884501727</v>
      </c>
      <c r="P717" s="39">
        <f t="shared" si="87"/>
        <v>0.16140844703337365</v>
      </c>
    </row>
    <row r="718" spans="1:16" x14ac:dyDescent="0.3">
      <c r="A718" s="17">
        <v>41050</v>
      </c>
      <c r="B718" s="13">
        <v>23985</v>
      </c>
      <c r="C718" s="13">
        <v>53500</v>
      </c>
      <c r="D718" s="14">
        <v>1799.13</v>
      </c>
      <c r="E718" s="28">
        <f t="shared" si="81"/>
        <v>1.032013479359728E-2</v>
      </c>
      <c r="F718" s="39">
        <f t="shared" si="81"/>
        <v>-9.3370681605975392E-4</v>
      </c>
      <c r="H718" s="64">
        <f t="shared" si="83"/>
        <v>0.9</v>
      </c>
      <c r="I718" s="65">
        <f t="shared" si="84"/>
        <v>1</v>
      </c>
      <c r="J718" s="66">
        <v>0.9</v>
      </c>
      <c r="K718" s="65">
        <f t="shared" si="82"/>
        <v>9.9999999999999978E-2</v>
      </c>
      <c r="L718" s="28">
        <f t="shared" si="85"/>
        <v>-2.9610396729011158E-2</v>
      </c>
      <c r="M718" s="71">
        <f t="shared" si="88"/>
        <v>9.1947506326315771E-3</v>
      </c>
      <c r="N718" s="51">
        <v>41050</v>
      </c>
      <c r="O718" s="77">
        <f t="shared" si="86"/>
        <v>0.36858800947764886</v>
      </c>
      <c r="P718" s="39">
        <f t="shared" si="87"/>
        <v>0.17227022166621064</v>
      </c>
    </row>
    <row r="719" spans="1:16" x14ac:dyDescent="0.3">
      <c r="A719" s="18">
        <v>41051</v>
      </c>
      <c r="B719" s="15">
        <v>24405</v>
      </c>
      <c r="C719" s="15">
        <v>53545</v>
      </c>
      <c r="D719" s="70">
        <v>1828.69</v>
      </c>
      <c r="E719" s="71">
        <f t="shared" si="81"/>
        <v>1.7510944340212609E-2</v>
      </c>
      <c r="F719" s="39">
        <f t="shared" si="81"/>
        <v>8.4112149532700187E-4</v>
      </c>
      <c r="H719" s="64">
        <f t="shared" si="83"/>
        <v>0.9</v>
      </c>
      <c r="I719" s="65">
        <f t="shared" si="84"/>
        <v>1</v>
      </c>
      <c r="J719" s="66">
        <v>1</v>
      </c>
      <c r="K719" s="65">
        <f t="shared" si="82"/>
        <v>0</v>
      </c>
      <c r="L719" s="28">
        <f t="shared" si="85"/>
        <v>1.032013479359728E-2</v>
      </c>
      <c r="M719" s="71">
        <f t="shared" si="88"/>
        <v>1.7510944340212609E-2</v>
      </c>
      <c r="N719" s="50">
        <v>41051</v>
      </c>
      <c r="O719" s="77">
        <f t="shared" si="86"/>
        <v>0.38609895381786147</v>
      </c>
      <c r="P719" s="39">
        <f t="shared" si="87"/>
        <v>0.19153081303673591</v>
      </c>
    </row>
    <row r="720" spans="1:16" x14ac:dyDescent="0.3">
      <c r="A720" s="17">
        <v>41052</v>
      </c>
      <c r="B720" s="13">
        <v>24120</v>
      </c>
      <c r="C720" s="13">
        <v>53585</v>
      </c>
      <c r="D720" s="14">
        <v>1808.62</v>
      </c>
      <c r="E720" s="28">
        <f t="shared" si="81"/>
        <v>-1.1677934849416149E-2</v>
      </c>
      <c r="F720" s="39">
        <f t="shared" si="81"/>
        <v>7.470352040339634E-4</v>
      </c>
      <c r="H720" s="64">
        <f t="shared" si="83"/>
        <v>0.9</v>
      </c>
      <c r="I720" s="65">
        <f t="shared" si="84"/>
        <v>1</v>
      </c>
      <c r="J720" s="66">
        <v>1</v>
      </c>
      <c r="K720" s="65">
        <f t="shared" si="82"/>
        <v>0</v>
      </c>
      <c r="L720" s="28">
        <f t="shared" si="85"/>
        <v>1.7510944340212609E-2</v>
      </c>
      <c r="M720" s="71">
        <f t="shared" si="88"/>
        <v>-1.1677934849416149E-2</v>
      </c>
      <c r="N720" s="51">
        <v>41052</v>
      </c>
      <c r="O720" s="77">
        <f t="shared" si="86"/>
        <v>0.37442101896844532</v>
      </c>
      <c r="P720" s="39">
        <f t="shared" si="87"/>
        <v>0.17845367945059087</v>
      </c>
    </row>
    <row r="721" spans="1:16" x14ac:dyDescent="0.3">
      <c r="A721" s="18">
        <v>41053</v>
      </c>
      <c r="B721" s="15">
        <v>24205</v>
      </c>
      <c r="C721" s="15">
        <v>53580</v>
      </c>
      <c r="D721" s="16">
        <v>1814.47</v>
      </c>
      <c r="E721" s="28">
        <f t="shared" ref="E721:F784" si="89">B721/B720-1</f>
        <v>3.5240464344941103E-3</v>
      </c>
      <c r="F721" s="39">
        <f t="shared" si="89"/>
        <v>-9.3309694877308225E-5</v>
      </c>
      <c r="H721" s="64">
        <f t="shared" si="83"/>
        <v>0.9</v>
      </c>
      <c r="I721" s="65">
        <f t="shared" si="84"/>
        <v>1</v>
      </c>
      <c r="J721" s="66">
        <v>0.9</v>
      </c>
      <c r="K721" s="65">
        <f t="shared" ref="K721:K784" si="90">1-J721</f>
        <v>9.9999999999999978E-2</v>
      </c>
      <c r="L721" s="28">
        <f t="shared" si="85"/>
        <v>-1.0435437844071138E-2</v>
      </c>
      <c r="M721" s="71">
        <f t="shared" si="88"/>
        <v>3.1623108215569685E-3</v>
      </c>
      <c r="N721" s="50">
        <v>41053</v>
      </c>
      <c r="O721" s="77">
        <f t="shared" si="86"/>
        <v>0.37758332979000231</v>
      </c>
      <c r="P721" s="39">
        <f t="shared" si="87"/>
        <v>0.18226540000260627</v>
      </c>
    </row>
    <row r="722" spans="1:16" x14ac:dyDescent="0.3">
      <c r="A722" s="17">
        <v>41054</v>
      </c>
      <c r="B722" s="13">
        <v>24325</v>
      </c>
      <c r="C722" s="13">
        <v>53615</v>
      </c>
      <c r="D722" s="14">
        <v>1824.17</v>
      </c>
      <c r="E722" s="28">
        <f t="shared" si="89"/>
        <v>4.9576533774013942E-3</v>
      </c>
      <c r="F722" s="39">
        <f t="shared" si="89"/>
        <v>6.5322881672269517E-4</v>
      </c>
      <c r="H722" s="64">
        <f t="shared" ref="H722:H785" si="91">IF($D721&lt;=1850,0.9,IF(AND($D721&lt;=1900,$D721&gt;1850),0.7,IF(AND($D721&lt;=1950,$D721&gt;1900),0.5,IF(AND($D721&lt;=2000,$D721&gt;1950),0.3,IF($D721&gt;2000,0.2,0)))))</f>
        <v>0.9</v>
      </c>
      <c r="I722" s="65">
        <f t="shared" ref="I722:I785" si="92">IF($D721&lt;=1850,1,IF(AND($D721&lt;=1900,$D721&gt;1850),0.9,IF(AND($D721&lt;=1950,$D721&gt;1900),0.7,IF(AND($D721&lt;=2000,$D721&gt;1950),0.5,IF($D721&gt;2000,0.3,0)))))</f>
        <v>1</v>
      </c>
      <c r="J722" s="66">
        <v>1</v>
      </c>
      <c r="K722" s="65">
        <f t="shared" si="90"/>
        <v>0</v>
      </c>
      <c r="L722" s="28">
        <f t="shared" ref="L722:L785" si="93">E721*J722+F721*K722</f>
        <v>3.5240464344941103E-3</v>
      </c>
      <c r="M722" s="71">
        <f t="shared" si="88"/>
        <v>4.9576533774013942E-3</v>
      </c>
      <c r="N722" s="51">
        <v>41054</v>
      </c>
      <c r="O722" s="77">
        <f t="shared" ref="O722:O785" si="94">O721+M722</f>
        <v>0.3825409831674037</v>
      </c>
      <c r="P722" s="39">
        <f t="shared" ref="P722:P785" si="95">D722/$D$16-1</f>
        <v>0.18858568878116166</v>
      </c>
    </row>
    <row r="723" spans="1:16" x14ac:dyDescent="0.3">
      <c r="A723" s="17">
        <v>41058</v>
      </c>
      <c r="B723" s="13">
        <v>24705</v>
      </c>
      <c r="C723" s="13">
        <v>53590</v>
      </c>
      <c r="D723" s="14">
        <v>1849.91</v>
      </c>
      <c r="E723" s="28">
        <f t="shared" si="89"/>
        <v>1.5621788283658677E-2</v>
      </c>
      <c r="F723" s="39">
        <f t="shared" si="89"/>
        <v>-4.6628741956544761E-4</v>
      </c>
      <c r="H723" s="64">
        <f t="shared" si="91"/>
        <v>0.9</v>
      </c>
      <c r="I723" s="65">
        <f t="shared" si="92"/>
        <v>1</v>
      </c>
      <c r="J723" s="66">
        <v>1</v>
      </c>
      <c r="K723" s="65">
        <f t="shared" si="90"/>
        <v>0</v>
      </c>
      <c r="L723" s="28">
        <f t="shared" si="93"/>
        <v>4.9576533774013942E-3</v>
      </c>
      <c r="M723" s="71">
        <f t="shared" si="88"/>
        <v>1.5621788283658677E-2</v>
      </c>
      <c r="N723" s="51">
        <v>41058</v>
      </c>
      <c r="O723" s="77">
        <f t="shared" si="94"/>
        <v>0.39816277145106238</v>
      </c>
      <c r="P723" s="39">
        <f t="shared" si="95"/>
        <v>0.20535725921002901</v>
      </c>
    </row>
    <row r="724" spans="1:16" x14ac:dyDescent="0.3">
      <c r="A724" s="18">
        <v>41059</v>
      </c>
      <c r="B724" s="15">
        <v>24555</v>
      </c>
      <c r="C724" s="15">
        <v>53625</v>
      </c>
      <c r="D724" s="70">
        <v>1844.86</v>
      </c>
      <c r="E724" s="71">
        <f t="shared" si="89"/>
        <v>-6.0716454159076561E-3</v>
      </c>
      <c r="F724" s="39">
        <f t="shared" si="89"/>
        <v>6.5310692293341077E-4</v>
      </c>
      <c r="H724" s="64">
        <f t="shared" si="91"/>
        <v>0.9</v>
      </c>
      <c r="I724" s="65">
        <f t="shared" si="92"/>
        <v>1</v>
      </c>
      <c r="J724" s="66">
        <v>1</v>
      </c>
      <c r="K724" s="65">
        <f t="shared" si="90"/>
        <v>0</v>
      </c>
      <c r="L724" s="28">
        <f t="shared" si="93"/>
        <v>1.5621788283658677E-2</v>
      </c>
      <c r="M724" s="71">
        <f t="shared" ref="M724:M787" si="96">E724*J724+F724*K724</f>
        <v>-6.0716454159076561E-3</v>
      </c>
      <c r="N724" s="50">
        <v>41059</v>
      </c>
      <c r="O724" s="77">
        <f t="shared" si="94"/>
        <v>0.39209112603515472</v>
      </c>
      <c r="P724" s="39">
        <f t="shared" si="95"/>
        <v>0.20206679958820373</v>
      </c>
    </row>
    <row r="725" spans="1:16" x14ac:dyDescent="0.3">
      <c r="A725" s="17">
        <v>41060</v>
      </c>
      <c r="B725" s="13">
        <v>24505</v>
      </c>
      <c r="C725" s="13">
        <v>53695</v>
      </c>
      <c r="D725" s="14">
        <v>1843.47</v>
      </c>
      <c r="E725" s="28">
        <f t="shared" si="89"/>
        <v>-2.0362451639177603E-3</v>
      </c>
      <c r="F725" s="39">
        <f t="shared" si="89"/>
        <v>1.3053613053612967E-3</v>
      </c>
      <c r="H725" s="64">
        <f t="shared" si="91"/>
        <v>0.9</v>
      </c>
      <c r="I725" s="65">
        <f t="shared" si="92"/>
        <v>1</v>
      </c>
      <c r="J725" s="66">
        <v>0.9</v>
      </c>
      <c r="K725" s="65">
        <f t="shared" si="90"/>
        <v>9.9999999999999978E-2</v>
      </c>
      <c r="L725" s="28">
        <f t="shared" si="93"/>
        <v>-5.399170182023549E-3</v>
      </c>
      <c r="M725" s="71">
        <f t="shared" si="96"/>
        <v>-1.7020845169898545E-3</v>
      </c>
      <c r="N725" s="51">
        <v>41060</v>
      </c>
      <c r="O725" s="77">
        <f t="shared" si="94"/>
        <v>0.39038904151816489</v>
      </c>
      <c r="P725" s="39">
        <f t="shared" si="95"/>
        <v>0.20116110872199844</v>
      </c>
    </row>
    <row r="726" spans="1:16" x14ac:dyDescent="0.3">
      <c r="A726" s="18">
        <v>41061</v>
      </c>
      <c r="B726" s="15">
        <v>24435</v>
      </c>
      <c r="C726" s="15">
        <v>53725</v>
      </c>
      <c r="D726" s="16">
        <v>1834.51</v>
      </c>
      <c r="E726" s="28">
        <f t="shared" si="89"/>
        <v>-2.8565598857376306E-3</v>
      </c>
      <c r="F726" s="39">
        <f t="shared" si="89"/>
        <v>5.5871123940787193E-4</v>
      </c>
      <c r="H726" s="64">
        <f t="shared" si="91"/>
        <v>0.9</v>
      </c>
      <c r="I726" s="65">
        <f t="shared" si="92"/>
        <v>1</v>
      </c>
      <c r="J726" s="66">
        <v>0.9</v>
      </c>
      <c r="K726" s="65">
        <f t="shared" si="90"/>
        <v>9.9999999999999978E-2</v>
      </c>
      <c r="L726" s="28">
        <f t="shared" si="93"/>
        <v>-1.7020845169898545E-3</v>
      </c>
      <c r="M726" s="71">
        <f t="shared" si="96"/>
        <v>-2.5150327732230806E-3</v>
      </c>
      <c r="N726" s="50">
        <v>41061</v>
      </c>
      <c r="O726" s="77">
        <f t="shared" si="94"/>
        <v>0.38787400874494182</v>
      </c>
      <c r="P726" s="39">
        <f t="shared" si="95"/>
        <v>0.19532298630386902</v>
      </c>
    </row>
    <row r="727" spans="1:16" x14ac:dyDescent="0.3">
      <c r="A727" s="17">
        <v>41064</v>
      </c>
      <c r="B727" s="13">
        <v>23825</v>
      </c>
      <c r="C727" s="13">
        <v>53775</v>
      </c>
      <c r="D727" s="14">
        <v>1783.13</v>
      </c>
      <c r="E727" s="28">
        <f t="shared" si="89"/>
        <v>-2.4964190710047074E-2</v>
      </c>
      <c r="F727" s="39">
        <f t="shared" si="89"/>
        <v>9.3066542577946443E-4</v>
      </c>
      <c r="H727" s="64">
        <f t="shared" si="91"/>
        <v>0.9</v>
      </c>
      <c r="I727" s="65">
        <f t="shared" si="92"/>
        <v>1</v>
      </c>
      <c r="J727" s="66">
        <v>0.9</v>
      </c>
      <c r="K727" s="65">
        <f t="shared" si="90"/>
        <v>9.9999999999999978E-2</v>
      </c>
      <c r="L727" s="28">
        <f t="shared" si="93"/>
        <v>-2.5150327732230806E-3</v>
      </c>
      <c r="M727" s="71">
        <f t="shared" si="96"/>
        <v>-2.2374705096464421E-2</v>
      </c>
      <c r="N727" s="51">
        <v>41064</v>
      </c>
      <c r="O727" s="77">
        <f t="shared" si="94"/>
        <v>0.36549930364847738</v>
      </c>
      <c r="P727" s="39">
        <f t="shared" si="95"/>
        <v>0.16184500306240812</v>
      </c>
    </row>
    <row r="728" spans="1:16" x14ac:dyDescent="0.3">
      <c r="A728" s="17">
        <v>41065</v>
      </c>
      <c r="B728" s="13">
        <v>24065</v>
      </c>
      <c r="C728" s="13">
        <v>53750</v>
      </c>
      <c r="D728" s="14">
        <v>1801.85</v>
      </c>
      <c r="E728" s="28">
        <f t="shared" si="89"/>
        <v>1.007345225603351E-2</v>
      </c>
      <c r="F728" s="39">
        <f t="shared" si="89"/>
        <v>-4.6490004649002437E-4</v>
      </c>
      <c r="H728" s="64">
        <f t="shared" si="91"/>
        <v>0.9</v>
      </c>
      <c r="I728" s="65">
        <f t="shared" si="92"/>
        <v>1</v>
      </c>
      <c r="J728" s="66">
        <v>0.9</v>
      </c>
      <c r="K728" s="65">
        <f t="shared" si="90"/>
        <v>9.9999999999999978E-2</v>
      </c>
      <c r="L728" s="28">
        <f t="shared" si="93"/>
        <v>-2.2374705096464421E-2</v>
      </c>
      <c r="M728" s="71">
        <f t="shared" si="96"/>
        <v>9.0196170257811573E-3</v>
      </c>
      <c r="N728" s="51">
        <v>41065</v>
      </c>
      <c r="O728" s="77">
        <f t="shared" si="94"/>
        <v>0.37451892067425852</v>
      </c>
      <c r="P728" s="39">
        <f t="shared" si="95"/>
        <v>0.17404250882885686</v>
      </c>
    </row>
    <row r="729" spans="1:16" x14ac:dyDescent="0.3">
      <c r="A729" s="18">
        <v>41067</v>
      </c>
      <c r="B729" s="15">
        <v>24685</v>
      </c>
      <c r="C729" s="15">
        <v>53740</v>
      </c>
      <c r="D729" s="70">
        <v>1847.95</v>
      </c>
      <c r="E729" s="71">
        <f t="shared" si="89"/>
        <v>2.5763557033035456E-2</v>
      </c>
      <c r="F729" s="39">
        <f t="shared" si="89"/>
        <v>-1.8604651162790198E-4</v>
      </c>
      <c r="H729" s="64">
        <f t="shared" si="91"/>
        <v>0.9</v>
      </c>
      <c r="I729" s="65">
        <f t="shared" si="92"/>
        <v>1</v>
      </c>
      <c r="J729" s="66">
        <v>1</v>
      </c>
      <c r="K729" s="65">
        <f t="shared" si="90"/>
        <v>0</v>
      </c>
      <c r="L729" s="28">
        <f t="shared" si="93"/>
        <v>1.007345225603351E-2</v>
      </c>
      <c r="M729" s="71">
        <f t="shared" si="96"/>
        <v>2.5763557033035456E-2</v>
      </c>
      <c r="N729" s="50">
        <v>41067</v>
      </c>
      <c r="O729" s="77">
        <f t="shared" si="94"/>
        <v>0.40028247770729397</v>
      </c>
      <c r="P729" s="39">
        <f t="shared" si="95"/>
        <v>0.20408016993106326</v>
      </c>
    </row>
    <row r="730" spans="1:16" x14ac:dyDescent="0.3">
      <c r="A730" s="17">
        <v>41068</v>
      </c>
      <c r="B730" s="13">
        <v>24555</v>
      </c>
      <c r="C730" s="13">
        <v>53805</v>
      </c>
      <c r="D730" s="14">
        <v>1835.64</v>
      </c>
      <c r="E730" s="28">
        <f t="shared" si="89"/>
        <v>-5.2663560866923476E-3</v>
      </c>
      <c r="F730" s="39">
        <f t="shared" si="89"/>
        <v>1.2095273539263207E-3</v>
      </c>
      <c r="H730" s="64">
        <f t="shared" si="91"/>
        <v>0.9</v>
      </c>
      <c r="I730" s="65">
        <f t="shared" si="92"/>
        <v>1</v>
      </c>
      <c r="J730" s="66">
        <v>1</v>
      </c>
      <c r="K730" s="65">
        <f t="shared" si="90"/>
        <v>0</v>
      </c>
      <c r="L730" s="28">
        <f t="shared" si="93"/>
        <v>2.5763557033035456E-2</v>
      </c>
      <c r="M730" s="71">
        <f t="shared" si="96"/>
        <v>-5.2663560866923476E-3</v>
      </c>
      <c r="N730" s="51">
        <v>41068</v>
      </c>
      <c r="O730" s="77">
        <f t="shared" si="94"/>
        <v>0.39501612162060162</v>
      </c>
      <c r="P730" s="39">
        <f t="shared" si="95"/>
        <v>0.19605926736776258</v>
      </c>
    </row>
    <row r="731" spans="1:16" x14ac:dyDescent="0.3">
      <c r="A731" s="18">
        <v>41071</v>
      </c>
      <c r="B731" s="15">
        <v>24980</v>
      </c>
      <c r="C731" s="15">
        <v>53710</v>
      </c>
      <c r="D731" s="16">
        <v>1867.04</v>
      </c>
      <c r="E731" s="28">
        <f t="shared" si="89"/>
        <v>1.7308083893300852E-2</v>
      </c>
      <c r="F731" s="39">
        <f t="shared" si="89"/>
        <v>-1.7656351640181756E-3</v>
      </c>
      <c r="H731" s="64">
        <f t="shared" si="91"/>
        <v>0.9</v>
      </c>
      <c r="I731" s="65">
        <f t="shared" si="92"/>
        <v>1</v>
      </c>
      <c r="J731" s="66">
        <v>0.9</v>
      </c>
      <c r="K731" s="65">
        <f t="shared" si="90"/>
        <v>9.9999999999999978E-2</v>
      </c>
      <c r="L731" s="28">
        <f t="shared" si="93"/>
        <v>-4.6187677426304807E-3</v>
      </c>
      <c r="M731" s="71">
        <f t="shared" si="96"/>
        <v>1.5400711987568949E-2</v>
      </c>
      <c r="N731" s="50">
        <v>41071</v>
      </c>
      <c r="O731" s="77">
        <f t="shared" si="94"/>
        <v>0.41041683360817055</v>
      </c>
      <c r="P731" s="39">
        <f t="shared" si="95"/>
        <v>0.21651875887772509</v>
      </c>
    </row>
    <row r="732" spans="1:16" x14ac:dyDescent="0.3">
      <c r="A732" s="17">
        <v>41072</v>
      </c>
      <c r="B732" s="13">
        <v>24795</v>
      </c>
      <c r="C732" s="13">
        <v>53200</v>
      </c>
      <c r="D732" s="14">
        <v>1854.74</v>
      </c>
      <c r="E732" s="28">
        <f t="shared" si="89"/>
        <v>-7.4059247397918471E-3</v>
      </c>
      <c r="F732" s="39">
        <f t="shared" si="89"/>
        <v>-9.4954384658350044E-3</v>
      </c>
      <c r="H732" s="64">
        <f t="shared" si="91"/>
        <v>0.7</v>
      </c>
      <c r="I732" s="65">
        <f t="shared" si="92"/>
        <v>0.9</v>
      </c>
      <c r="J732" s="66">
        <v>0.9</v>
      </c>
      <c r="K732" s="65">
        <f t="shared" si="90"/>
        <v>9.9999999999999978E-2</v>
      </c>
      <c r="L732" s="28">
        <f t="shared" si="93"/>
        <v>1.5400711987568949E-2</v>
      </c>
      <c r="M732" s="71">
        <f t="shared" si="96"/>
        <v>-7.6148761123961623E-3</v>
      </c>
      <c r="N732" s="51">
        <v>41072</v>
      </c>
      <c r="O732" s="77">
        <f t="shared" si="94"/>
        <v>0.40280195749577441</v>
      </c>
      <c r="P732" s="39">
        <f t="shared" si="95"/>
        <v>0.20850437207605199</v>
      </c>
    </row>
    <row r="733" spans="1:16" x14ac:dyDescent="0.3">
      <c r="A733" s="17">
        <v>41073</v>
      </c>
      <c r="B733" s="13">
        <v>24885</v>
      </c>
      <c r="C733" s="13">
        <v>53170</v>
      </c>
      <c r="D733" s="14">
        <v>1859.32</v>
      </c>
      <c r="E733" s="28">
        <f t="shared" si="89"/>
        <v>3.6297640653357721E-3</v>
      </c>
      <c r="F733" s="39">
        <f t="shared" si="89"/>
        <v>-5.6390977443609991E-4</v>
      </c>
      <c r="H733" s="64">
        <f t="shared" si="91"/>
        <v>0.7</v>
      </c>
      <c r="I733" s="65">
        <f t="shared" si="92"/>
        <v>0.9</v>
      </c>
      <c r="J733" s="66">
        <v>0.9</v>
      </c>
      <c r="K733" s="65">
        <f t="shared" si="90"/>
        <v>9.9999999999999978E-2</v>
      </c>
      <c r="L733" s="28">
        <f t="shared" si="93"/>
        <v>-7.6148761123961623E-3</v>
      </c>
      <c r="M733" s="71">
        <f t="shared" si="96"/>
        <v>3.2103966813585849E-3</v>
      </c>
      <c r="N733" s="51">
        <v>41073</v>
      </c>
      <c r="O733" s="77">
        <f t="shared" si="94"/>
        <v>0.40601235417713299</v>
      </c>
      <c r="P733" s="39">
        <f t="shared" si="95"/>
        <v>0.21148859090139038</v>
      </c>
    </row>
    <row r="734" spans="1:16" x14ac:dyDescent="0.3">
      <c r="A734" s="18">
        <v>41074</v>
      </c>
      <c r="B734" s="15">
        <v>24965</v>
      </c>
      <c r="C734" s="15">
        <v>53250</v>
      </c>
      <c r="D734" s="70">
        <v>1871.48</v>
      </c>
      <c r="E734" s="71">
        <f t="shared" si="89"/>
        <v>3.2147880249147054E-3</v>
      </c>
      <c r="F734" s="39">
        <f t="shared" si="89"/>
        <v>1.5046078615761349E-3</v>
      </c>
      <c r="H734" s="64">
        <f t="shared" si="91"/>
        <v>0.7</v>
      </c>
      <c r="I734" s="65">
        <f t="shared" si="92"/>
        <v>0.9</v>
      </c>
      <c r="J734" s="66">
        <v>0.9</v>
      </c>
      <c r="K734" s="65">
        <f t="shared" si="90"/>
        <v>9.9999999999999978E-2</v>
      </c>
      <c r="L734" s="28">
        <f t="shared" si="93"/>
        <v>3.2103966813585849E-3</v>
      </c>
      <c r="M734" s="71">
        <f t="shared" si="96"/>
        <v>3.0437700085808482E-3</v>
      </c>
      <c r="N734" s="50">
        <v>41074</v>
      </c>
      <c r="O734" s="77">
        <f t="shared" si="94"/>
        <v>0.40905612418571385</v>
      </c>
      <c r="P734" s="39">
        <f t="shared" si="95"/>
        <v>0.21941175704028049</v>
      </c>
    </row>
    <row r="735" spans="1:16" x14ac:dyDescent="0.3">
      <c r="A735" s="17">
        <v>41075</v>
      </c>
      <c r="B735" s="13">
        <v>24820</v>
      </c>
      <c r="C735" s="13">
        <v>53250</v>
      </c>
      <c r="D735" s="14">
        <v>1858.16</v>
      </c>
      <c r="E735" s="28">
        <f t="shared" si="89"/>
        <v>-5.8081313839375426E-3</v>
      </c>
      <c r="F735" s="39">
        <f t="shared" si="89"/>
        <v>0</v>
      </c>
      <c r="H735" s="64">
        <f t="shared" si="91"/>
        <v>0.7</v>
      </c>
      <c r="I735" s="65">
        <f t="shared" si="92"/>
        <v>0.9</v>
      </c>
      <c r="J735" s="66">
        <v>0.9</v>
      </c>
      <c r="K735" s="65">
        <f t="shared" si="90"/>
        <v>9.9999999999999978E-2</v>
      </c>
      <c r="L735" s="28">
        <f t="shared" si="93"/>
        <v>3.0437700085808482E-3</v>
      </c>
      <c r="M735" s="71">
        <f t="shared" si="96"/>
        <v>-5.2273182455437883E-3</v>
      </c>
      <c r="N735" s="51">
        <v>41075</v>
      </c>
      <c r="O735" s="77">
        <f t="shared" si="94"/>
        <v>0.40382880594017007</v>
      </c>
      <c r="P735" s="39">
        <f t="shared" si="95"/>
        <v>0.21073276255261475</v>
      </c>
    </row>
    <row r="736" spans="1:16" x14ac:dyDescent="0.3">
      <c r="A736" s="18">
        <v>41078</v>
      </c>
      <c r="B736" s="15">
        <v>25270</v>
      </c>
      <c r="C736" s="15">
        <v>53190</v>
      </c>
      <c r="D736" s="16">
        <v>1891.71</v>
      </c>
      <c r="E736" s="28">
        <f t="shared" si="89"/>
        <v>1.8130539887187824E-2</v>
      </c>
      <c r="F736" s="39">
        <f t="shared" si="89"/>
        <v>-1.1267605633802358E-3</v>
      </c>
      <c r="H736" s="64">
        <f t="shared" si="91"/>
        <v>0.7</v>
      </c>
      <c r="I736" s="65">
        <f t="shared" si="92"/>
        <v>0.9</v>
      </c>
      <c r="J736" s="66">
        <v>0.7</v>
      </c>
      <c r="K736" s="65">
        <f t="shared" si="90"/>
        <v>0.30000000000000004</v>
      </c>
      <c r="L736" s="28">
        <f t="shared" si="93"/>
        <v>-4.0656919687562798E-3</v>
      </c>
      <c r="M736" s="71">
        <f t="shared" si="96"/>
        <v>1.2353349752017406E-2</v>
      </c>
      <c r="N736" s="50">
        <v>41078</v>
      </c>
      <c r="O736" s="77">
        <f t="shared" si="94"/>
        <v>0.41618215569218747</v>
      </c>
      <c r="P736" s="39">
        <f t="shared" si="95"/>
        <v>0.23259314281246346</v>
      </c>
    </row>
    <row r="737" spans="1:16" x14ac:dyDescent="0.3">
      <c r="A737" s="17">
        <v>41079</v>
      </c>
      <c r="B737" s="13">
        <v>25280</v>
      </c>
      <c r="C737" s="13">
        <v>53200</v>
      </c>
      <c r="D737" s="14">
        <v>1891.77</v>
      </c>
      <c r="E737" s="28">
        <f t="shared" si="89"/>
        <v>3.9572615749894346E-4</v>
      </c>
      <c r="F737" s="39">
        <f t="shared" si="89"/>
        <v>1.8800526414741725E-4</v>
      </c>
      <c r="H737" s="64">
        <f t="shared" si="91"/>
        <v>0.7</v>
      </c>
      <c r="I737" s="65">
        <f t="shared" si="92"/>
        <v>0.9</v>
      </c>
      <c r="J737" s="66">
        <v>0.9</v>
      </c>
      <c r="K737" s="65">
        <f t="shared" si="90"/>
        <v>9.9999999999999978E-2</v>
      </c>
      <c r="L737" s="28">
        <f t="shared" si="93"/>
        <v>1.6204809842131018E-2</v>
      </c>
      <c r="M737" s="71">
        <f t="shared" si="96"/>
        <v>3.7495406816379084E-4</v>
      </c>
      <c r="N737" s="51">
        <v>41079</v>
      </c>
      <c r="O737" s="77">
        <f t="shared" si="94"/>
        <v>0.41655710976035126</v>
      </c>
      <c r="P737" s="39">
        <f t="shared" si="95"/>
        <v>0.2326322373822276</v>
      </c>
    </row>
    <row r="738" spans="1:16" x14ac:dyDescent="0.3">
      <c r="A738" s="17">
        <v>41080</v>
      </c>
      <c r="B738" s="13">
        <v>25415</v>
      </c>
      <c r="C738" s="13">
        <v>53160</v>
      </c>
      <c r="D738" s="14">
        <v>1904.12</v>
      </c>
      <c r="E738" s="28">
        <f t="shared" si="89"/>
        <v>5.3401898734177777E-3</v>
      </c>
      <c r="F738" s="39">
        <f t="shared" si="89"/>
        <v>-7.5187969924817022E-4</v>
      </c>
      <c r="H738" s="64">
        <f t="shared" si="91"/>
        <v>0.7</v>
      </c>
      <c r="I738" s="65">
        <f t="shared" si="92"/>
        <v>0.9</v>
      </c>
      <c r="J738" s="66">
        <v>0.9</v>
      </c>
      <c r="K738" s="65">
        <f t="shared" si="90"/>
        <v>9.9999999999999978E-2</v>
      </c>
      <c r="L738" s="28">
        <f t="shared" si="93"/>
        <v>3.7495406816379084E-4</v>
      </c>
      <c r="M738" s="71">
        <f t="shared" si="96"/>
        <v>4.7309829161511835E-3</v>
      </c>
      <c r="N738" s="51">
        <v>41080</v>
      </c>
      <c r="O738" s="77">
        <f t="shared" si="94"/>
        <v>0.42128809267650247</v>
      </c>
      <c r="P738" s="39">
        <f t="shared" si="95"/>
        <v>0.24067920299203771</v>
      </c>
    </row>
    <row r="739" spans="1:16" x14ac:dyDescent="0.3">
      <c r="A739" s="18">
        <v>41081</v>
      </c>
      <c r="B739" s="15">
        <v>25210</v>
      </c>
      <c r="C739" s="15">
        <v>53195</v>
      </c>
      <c r="D739" s="70">
        <v>1889.15</v>
      </c>
      <c r="E739" s="71">
        <f t="shared" si="89"/>
        <v>-8.0661026952587589E-3</v>
      </c>
      <c r="F739" s="39">
        <f t="shared" si="89"/>
        <v>6.5838976674181815E-4</v>
      </c>
      <c r="H739" s="64">
        <f t="shared" si="91"/>
        <v>0.5</v>
      </c>
      <c r="I739" s="65">
        <f t="shared" si="92"/>
        <v>0.7</v>
      </c>
      <c r="J739" s="66">
        <v>0.7</v>
      </c>
      <c r="K739" s="65">
        <f t="shared" si="90"/>
        <v>0.30000000000000004</v>
      </c>
      <c r="L739" s="28">
        <f t="shared" si="93"/>
        <v>3.5125690016179932E-3</v>
      </c>
      <c r="M739" s="71">
        <f t="shared" si="96"/>
        <v>-5.4487549566585858E-3</v>
      </c>
      <c r="N739" s="50">
        <v>41081</v>
      </c>
      <c r="O739" s="77">
        <f t="shared" si="94"/>
        <v>0.41583933771984388</v>
      </c>
      <c r="P739" s="39">
        <f t="shared" si="95"/>
        <v>0.23092510783585496</v>
      </c>
    </row>
    <row r="740" spans="1:16" x14ac:dyDescent="0.3">
      <c r="A740" s="17">
        <v>41082</v>
      </c>
      <c r="B740" s="13">
        <v>24515</v>
      </c>
      <c r="C740" s="13">
        <v>53255</v>
      </c>
      <c r="D740" s="14">
        <v>1847.39</v>
      </c>
      <c r="E740" s="28">
        <f t="shared" si="89"/>
        <v>-2.7568425228084115E-2</v>
      </c>
      <c r="F740" s="39">
        <f t="shared" si="89"/>
        <v>1.1279255569132118E-3</v>
      </c>
      <c r="H740" s="64">
        <f t="shared" si="91"/>
        <v>0.7</v>
      </c>
      <c r="I740" s="65">
        <f t="shared" si="92"/>
        <v>0.9</v>
      </c>
      <c r="J740" s="66">
        <v>0.7</v>
      </c>
      <c r="K740" s="65">
        <f t="shared" si="90"/>
        <v>0.30000000000000004</v>
      </c>
      <c r="L740" s="28">
        <f t="shared" si="93"/>
        <v>-5.4487549566585858E-3</v>
      </c>
      <c r="M740" s="71">
        <f t="shared" si="96"/>
        <v>-1.8959519992584915E-2</v>
      </c>
      <c r="N740" s="51">
        <v>41082</v>
      </c>
      <c r="O740" s="77">
        <f t="shared" si="94"/>
        <v>0.39687981772725894</v>
      </c>
      <c r="P740" s="39">
        <f t="shared" si="95"/>
        <v>0.20371528727993016</v>
      </c>
    </row>
    <row r="741" spans="1:16" x14ac:dyDescent="0.3">
      <c r="A741" s="18">
        <v>41085</v>
      </c>
      <c r="B741" s="15">
        <v>24175</v>
      </c>
      <c r="C741" s="15">
        <v>53265</v>
      </c>
      <c r="D741" s="16">
        <v>1825.38</v>
      </c>
      <c r="E741" s="28">
        <f t="shared" si="89"/>
        <v>-1.3869059759331059E-2</v>
      </c>
      <c r="F741" s="39">
        <f t="shared" si="89"/>
        <v>1.8777579569984049E-4</v>
      </c>
      <c r="H741" s="64">
        <f t="shared" si="91"/>
        <v>0.9</v>
      </c>
      <c r="I741" s="65">
        <f t="shared" si="92"/>
        <v>1</v>
      </c>
      <c r="J741" s="66">
        <v>0.9</v>
      </c>
      <c r="K741" s="65">
        <f t="shared" si="90"/>
        <v>9.9999999999999978E-2</v>
      </c>
      <c r="L741" s="28">
        <f t="shared" si="93"/>
        <v>-2.4698790149584385E-2</v>
      </c>
      <c r="M741" s="71">
        <f t="shared" si="96"/>
        <v>-1.246337620382797E-2</v>
      </c>
      <c r="N741" s="50">
        <v>41085</v>
      </c>
      <c r="O741" s="77">
        <f t="shared" si="94"/>
        <v>0.38441644152343096</v>
      </c>
      <c r="P741" s="39">
        <f t="shared" si="95"/>
        <v>0.1893740959380743</v>
      </c>
    </row>
    <row r="742" spans="1:16" x14ac:dyDescent="0.3">
      <c r="A742" s="17">
        <v>41086</v>
      </c>
      <c r="B742" s="13">
        <v>24055</v>
      </c>
      <c r="C742" s="13">
        <v>53240</v>
      </c>
      <c r="D742" s="14">
        <v>1817.81</v>
      </c>
      <c r="E742" s="28">
        <f t="shared" si="89"/>
        <v>-4.9638055842813333E-3</v>
      </c>
      <c r="F742" s="39">
        <f t="shared" si="89"/>
        <v>-4.6935135642545145E-4</v>
      </c>
      <c r="H742" s="64">
        <f t="shared" si="91"/>
        <v>0.9</v>
      </c>
      <c r="I742" s="65">
        <f t="shared" si="92"/>
        <v>1</v>
      </c>
      <c r="J742" s="66">
        <v>0.9</v>
      </c>
      <c r="K742" s="65">
        <f t="shared" si="90"/>
        <v>9.9999999999999978E-2</v>
      </c>
      <c r="L742" s="28">
        <f t="shared" si="93"/>
        <v>-1.246337620382797E-2</v>
      </c>
      <c r="M742" s="71">
        <f t="shared" si="96"/>
        <v>-4.5143601614957458E-3</v>
      </c>
      <c r="N742" s="51">
        <v>41086</v>
      </c>
      <c r="O742" s="77">
        <f t="shared" si="94"/>
        <v>0.37990208136193521</v>
      </c>
      <c r="P742" s="39">
        <f t="shared" si="95"/>
        <v>0.18444166438614995</v>
      </c>
    </row>
    <row r="743" spans="1:16" x14ac:dyDescent="0.3">
      <c r="A743" s="17">
        <v>41087</v>
      </c>
      <c r="B743" s="13">
        <v>24075</v>
      </c>
      <c r="C743" s="13">
        <v>53300</v>
      </c>
      <c r="D743" s="14">
        <v>1817.65</v>
      </c>
      <c r="E743" s="28">
        <f t="shared" si="89"/>
        <v>8.3142797755142439E-4</v>
      </c>
      <c r="F743" s="39">
        <f t="shared" si="89"/>
        <v>1.1269722013522721E-3</v>
      </c>
      <c r="H743" s="64">
        <f t="shared" si="91"/>
        <v>0.9</v>
      </c>
      <c r="I743" s="65">
        <f t="shared" si="92"/>
        <v>1</v>
      </c>
      <c r="J743" s="66">
        <v>0.9</v>
      </c>
      <c r="K743" s="65">
        <f t="shared" si="90"/>
        <v>9.9999999999999978E-2</v>
      </c>
      <c r="L743" s="28">
        <f t="shared" si="93"/>
        <v>-4.5143601614957458E-3</v>
      </c>
      <c r="M743" s="71">
        <f t="shared" si="96"/>
        <v>8.6098239993150907E-4</v>
      </c>
      <c r="N743" s="51">
        <v>41087</v>
      </c>
      <c r="O743" s="77">
        <f t="shared" si="94"/>
        <v>0.38076306376186669</v>
      </c>
      <c r="P743" s="39">
        <f t="shared" si="95"/>
        <v>0.18433741220011202</v>
      </c>
    </row>
    <row r="744" spans="1:16" x14ac:dyDescent="0.3">
      <c r="A744" s="18">
        <v>41088</v>
      </c>
      <c r="B744" s="15">
        <v>24100</v>
      </c>
      <c r="C744" s="15">
        <v>53300</v>
      </c>
      <c r="D744" s="70">
        <v>1819.18</v>
      </c>
      <c r="E744" s="71">
        <f t="shared" si="89"/>
        <v>1.0384215991692258E-3</v>
      </c>
      <c r="F744" s="39">
        <f t="shared" si="89"/>
        <v>0</v>
      </c>
      <c r="H744" s="64">
        <f t="shared" si="91"/>
        <v>0.9</v>
      </c>
      <c r="I744" s="65">
        <f t="shared" si="92"/>
        <v>1</v>
      </c>
      <c r="J744" s="66">
        <v>0.9</v>
      </c>
      <c r="K744" s="65">
        <f t="shared" si="90"/>
        <v>9.9999999999999978E-2</v>
      </c>
      <c r="L744" s="28">
        <f t="shared" si="93"/>
        <v>8.6098239993150907E-4</v>
      </c>
      <c r="M744" s="71">
        <f t="shared" si="96"/>
        <v>9.3457943925230331E-4</v>
      </c>
      <c r="N744" s="50">
        <v>41088</v>
      </c>
      <c r="O744" s="77">
        <f t="shared" si="94"/>
        <v>0.38169764320111899</v>
      </c>
      <c r="P744" s="39">
        <f t="shared" si="95"/>
        <v>0.18533432372910075</v>
      </c>
    </row>
    <row r="745" spans="1:16" x14ac:dyDescent="0.3">
      <c r="A745" s="17">
        <v>41089</v>
      </c>
      <c r="B745" s="13">
        <v>24595</v>
      </c>
      <c r="C745" s="13">
        <v>53280</v>
      </c>
      <c r="D745" s="14">
        <v>1854.01</v>
      </c>
      <c r="E745" s="28">
        <f t="shared" si="89"/>
        <v>2.0539419087136856E-2</v>
      </c>
      <c r="F745" s="39">
        <f t="shared" si="89"/>
        <v>-3.7523452157595116E-4</v>
      </c>
      <c r="H745" s="64">
        <f t="shared" si="91"/>
        <v>0.9</v>
      </c>
      <c r="I745" s="65">
        <f t="shared" si="92"/>
        <v>1</v>
      </c>
      <c r="J745" s="66">
        <v>1</v>
      </c>
      <c r="K745" s="65">
        <f t="shared" si="90"/>
        <v>0</v>
      </c>
      <c r="L745" s="28">
        <f t="shared" si="93"/>
        <v>1.0384215991692258E-3</v>
      </c>
      <c r="M745" s="71">
        <f t="shared" si="96"/>
        <v>2.0539419087136856E-2</v>
      </c>
      <c r="N745" s="51">
        <v>41089</v>
      </c>
      <c r="O745" s="77">
        <f t="shared" si="94"/>
        <v>0.40223706228825584</v>
      </c>
      <c r="P745" s="39">
        <f t="shared" si="95"/>
        <v>0.20802872147725338</v>
      </c>
    </row>
    <row r="746" spans="1:16" x14ac:dyDescent="0.3">
      <c r="A746" s="18">
        <v>41092</v>
      </c>
      <c r="B746" s="15">
        <v>24560</v>
      </c>
      <c r="C746" s="15">
        <v>53255</v>
      </c>
      <c r="D746" s="16">
        <v>1851.65</v>
      </c>
      <c r="E746" s="28">
        <f t="shared" si="89"/>
        <v>-1.4230534661516803E-3</v>
      </c>
      <c r="F746" s="39">
        <f t="shared" si="89"/>
        <v>-4.6921921921927456E-4</v>
      </c>
      <c r="H746" s="64">
        <f t="shared" si="91"/>
        <v>0.7</v>
      </c>
      <c r="I746" s="65">
        <f t="shared" si="92"/>
        <v>0.9</v>
      </c>
      <c r="J746" s="66">
        <v>0.9</v>
      </c>
      <c r="K746" s="65">
        <f t="shared" si="90"/>
        <v>9.9999999999999978E-2</v>
      </c>
      <c r="L746" s="28">
        <f t="shared" si="93"/>
        <v>1.8447953726265579E-2</v>
      </c>
      <c r="M746" s="71">
        <f t="shared" si="96"/>
        <v>-1.3276700414584397E-3</v>
      </c>
      <c r="N746" s="50">
        <v>41092</v>
      </c>
      <c r="O746" s="77">
        <f t="shared" si="94"/>
        <v>0.40090939224679739</v>
      </c>
      <c r="P746" s="39">
        <f t="shared" si="95"/>
        <v>0.20649100173319268</v>
      </c>
    </row>
    <row r="747" spans="1:16" x14ac:dyDescent="0.3">
      <c r="A747" s="17">
        <v>41093</v>
      </c>
      <c r="B747" s="13">
        <v>24755</v>
      </c>
      <c r="C747" s="13">
        <v>53285</v>
      </c>
      <c r="D747" s="14">
        <v>1867.82</v>
      </c>
      <c r="E747" s="28">
        <f t="shared" si="89"/>
        <v>7.9397394136808686E-3</v>
      </c>
      <c r="F747" s="39">
        <f t="shared" si="89"/>
        <v>5.633273870997435E-4</v>
      </c>
      <c r="H747" s="64">
        <f t="shared" si="91"/>
        <v>0.7</v>
      </c>
      <c r="I747" s="65">
        <f t="shared" si="92"/>
        <v>0.9</v>
      </c>
      <c r="J747" s="66">
        <v>0.7</v>
      </c>
      <c r="K747" s="65">
        <f t="shared" si="90"/>
        <v>0.30000000000000004</v>
      </c>
      <c r="L747" s="28">
        <f t="shared" si="93"/>
        <v>-1.1369031920719585E-3</v>
      </c>
      <c r="M747" s="71">
        <f t="shared" si="96"/>
        <v>5.7268158057065307E-3</v>
      </c>
      <c r="N747" s="51">
        <v>41093</v>
      </c>
      <c r="O747" s="77">
        <f t="shared" si="94"/>
        <v>0.40663620805250394</v>
      </c>
      <c r="P747" s="39">
        <f t="shared" si="95"/>
        <v>0.21702698828466049</v>
      </c>
    </row>
    <row r="748" spans="1:16" x14ac:dyDescent="0.3">
      <c r="A748" s="17">
        <v>41094</v>
      </c>
      <c r="B748" s="13">
        <v>24875</v>
      </c>
      <c r="C748" s="13">
        <v>53330</v>
      </c>
      <c r="D748" s="14">
        <v>1874.45</v>
      </c>
      <c r="E748" s="28">
        <f t="shared" si="89"/>
        <v>4.8475055544334733E-3</v>
      </c>
      <c r="F748" s="39">
        <f t="shared" si="89"/>
        <v>8.4451534202867329E-4</v>
      </c>
      <c r="H748" s="64">
        <f t="shared" si="91"/>
        <v>0.7</v>
      </c>
      <c r="I748" s="65">
        <f t="shared" si="92"/>
        <v>0.9</v>
      </c>
      <c r="J748" s="66">
        <v>0.9</v>
      </c>
      <c r="K748" s="65">
        <f t="shared" si="90"/>
        <v>9.9999999999999978E-2</v>
      </c>
      <c r="L748" s="28">
        <f t="shared" si="93"/>
        <v>7.2020982110227562E-3</v>
      </c>
      <c r="M748" s="71">
        <f t="shared" si="96"/>
        <v>4.4472065331929928E-3</v>
      </c>
      <c r="N748" s="51">
        <v>41094</v>
      </c>
      <c r="O748" s="77">
        <f t="shared" si="94"/>
        <v>0.41108341458569692</v>
      </c>
      <c r="P748" s="39">
        <f t="shared" si="95"/>
        <v>0.22134693824361129</v>
      </c>
    </row>
    <row r="749" spans="1:16" x14ac:dyDescent="0.3">
      <c r="A749" s="18">
        <v>41095</v>
      </c>
      <c r="B749" s="15">
        <v>24835</v>
      </c>
      <c r="C749" s="15">
        <v>53375</v>
      </c>
      <c r="D749" s="70">
        <v>1875.49</v>
      </c>
      <c r="E749" s="71">
        <f t="shared" si="89"/>
        <v>-1.6080402010050232E-3</v>
      </c>
      <c r="F749" s="39">
        <f t="shared" si="89"/>
        <v>8.4380273767115099E-4</v>
      </c>
      <c r="H749" s="64">
        <f t="shared" si="91"/>
        <v>0.7</v>
      </c>
      <c r="I749" s="65">
        <f t="shared" si="92"/>
        <v>0.9</v>
      </c>
      <c r="J749" s="66">
        <v>0.9</v>
      </c>
      <c r="K749" s="65">
        <f t="shared" si="90"/>
        <v>9.9999999999999978E-2</v>
      </c>
      <c r="L749" s="28">
        <f t="shared" si="93"/>
        <v>4.4472065331929928E-3</v>
      </c>
      <c r="M749" s="71">
        <f t="shared" si="96"/>
        <v>-1.3628559071374058E-3</v>
      </c>
      <c r="N749" s="50">
        <v>41095</v>
      </c>
      <c r="O749" s="77">
        <f t="shared" si="94"/>
        <v>0.4097205586785595</v>
      </c>
      <c r="P749" s="39">
        <f t="shared" si="95"/>
        <v>0.22202457745285842</v>
      </c>
    </row>
    <row r="750" spans="1:16" x14ac:dyDescent="0.3">
      <c r="A750" s="17">
        <v>41096</v>
      </c>
      <c r="B750" s="13">
        <v>24575</v>
      </c>
      <c r="C750" s="13">
        <v>53410</v>
      </c>
      <c r="D750" s="14">
        <v>1858.2</v>
      </c>
      <c r="E750" s="28">
        <f t="shared" si="89"/>
        <v>-1.0469096033823289E-2</v>
      </c>
      <c r="F750" s="39">
        <f t="shared" si="89"/>
        <v>6.5573770491811345E-4</v>
      </c>
      <c r="H750" s="64">
        <f t="shared" si="91"/>
        <v>0.7</v>
      </c>
      <c r="I750" s="65">
        <f t="shared" si="92"/>
        <v>0.9</v>
      </c>
      <c r="J750" s="66">
        <v>0.7</v>
      </c>
      <c r="K750" s="65">
        <f t="shared" si="90"/>
        <v>0.30000000000000004</v>
      </c>
      <c r="L750" s="28">
        <f t="shared" si="93"/>
        <v>-8.7248731940217086E-4</v>
      </c>
      <c r="M750" s="71">
        <f t="shared" si="96"/>
        <v>-7.1316459122008668E-3</v>
      </c>
      <c r="N750" s="51">
        <v>41096</v>
      </c>
      <c r="O750" s="77">
        <f t="shared" si="94"/>
        <v>0.40258891276635861</v>
      </c>
      <c r="P750" s="39">
        <f t="shared" si="95"/>
        <v>0.2107588255991244</v>
      </c>
    </row>
    <row r="751" spans="1:16" x14ac:dyDescent="0.3">
      <c r="A751" s="18">
        <v>41099</v>
      </c>
      <c r="B751" s="15">
        <v>24290</v>
      </c>
      <c r="C751" s="15">
        <v>53450</v>
      </c>
      <c r="D751" s="16">
        <v>1836.13</v>
      </c>
      <c r="E751" s="28">
        <f t="shared" si="89"/>
        <v>-1.1597151576805742E-2</v>
      </c>
      <c r="F751" s="39">
        <f t="shared" si="89"/>
        <v>7.4892342258014999E-4</v>
      </c>
      <c r="H751" s="64">
        <f t="shared" si="91"/>
        <v>0.7</v>
      </c>
      <c r="I751" s="65">
        <f t="shared" si="92"/>
        <v>0.9</v>
      </c>
      <c r="J751" s="66">
        <v>0.7</v>
      </c>
      <c r="K751" s="65">
        <f t="shared" si="90"/>
        <v>0.30000000000000004</v>
      </c>
      <c r="L751" s="28">
        <f t="shared" si="93"/>
        <v>-7.1316459122008668E-3</v>
      </c>
      <c r="M751" s="71">
        <f t="shared" si="96"/>
        <v>-7.8933290769899744E-3</v>
      </c>
      <c r="N751" s="50">
        <v>41099</v>
      </c>
      <c r="O751" s="77">
        <f t="shared" si="94"/>
        <v>0.39469558368936863</v>
      </c>
      <c r="P751" s="39">
        <f t="shared" si="95"/>
        <v>0.19637853968750418</v>
      </c>
    </row>
    <row r="752" spans="1:16" x14ac:dyDescent="0.3">
      <c r="A752" s="17">
        <v>41100</v>
      </c>
      <c r="B752" s="13">
        <v>24190</v>
      </c>
      <c r="C752" s="13">
        <v>53445</v>
      </c>
      <c r="D752" s="14">
        <v>1829.45</v>
      </c>
      <c r="E752" s="28">
        <f t="shared" si="89"/>
        <v>-4.1169205434334888E-3</v>
      </c>
      <c r="F752" s="39">
        <f t="shared" si="89"/>
        <v>-9.35453695042332E-5</v>
      </c>
      <c r="H752" s="64">
        <f t="shared" si="91"/>
        <v>0.9</v>
      </c>
      <c r="I752" s="65">
        <f t="shared" si="92"/>
        <v>1</v>
      </c>
      <c r="J752" s="66">
        <v>0.9</v>
      </c>
      <c r="K752" s="65">
        <f t="shared" si="90"/>
        <v>9.9999999999999978E-2</v>
      </c>
      <c r="L752" s="28">
        <f t="shared" si="93"/>
        <v>-1.0362544076867153E-2</v>
      </c>
      <c r="M752" s="71">
        <f t="shared" si="96"/>
        <v>-3.7145830260405634E-3</v>
      </c>
      <c r="N752" s="51">
        <v>41100</v>
      </c>
      <c r="O752" s="77">
        <f t="shared" si="94"/>
        <v>0.39098100066332808</v>
      </c>
      <c r="P752" s="39">
        <f t="shared" si="95"/>
        <v>0.1920260109204166</v>
      </c>
    </row>
    <row r="753" spans="1:16" x14ac:dyDescent="0.3">
      <c r="A753" s="17">
        <v>41101</v>
      </c>
      <c r="B753" s="13">
        <v>24140</v>
      </c>
      <c r="C753" s="13">
        <v>53465</v>
      </c>
      <c r="D753" s="14">
        <v>1826.39</v>
      </c>
      <c r="E753" s="28">
        <f t="shared" si="89"/>
        <v>-2.0669698222406385E-3</v>
      </c>
      <c r="F753" s="39">
        <f t="shared" si="89"/>
        <v>3.7421648423618947E-4</v>
      </c>
      <c r="H753" s="64">
        <f t="shared" si="91"/>
        <v>0.9</v>
      </c>
      <c r="I753" s="65">
        <f t="shared" si="92"/>
        <v>1</v>
      </c>
      <c r="J753" s="66">
        <v>0.9</v>
      </c>
      <c r="K753" s="65">
        <f t="shared" si="90"/>
        <v>9.9999999999999978E-2</v>
      </c>
      <c r="L753" s="28">
        <f t="shared" si="93"/>
        <v>-3.7145830260405634E-3</v>
      </c>
      <c r="M753" s="71">
        <f t="shared" si="96"/>
        <v>-1.8228511915929558E-3</v>
      </c>
      <c r="N753" s="51">
        <v>41101</v>
      </c>
      <c r="O753" s="77">
        <f t="shared" si="94"/>
        <v>0.3891581494717351</v>
      </c>
      <c r="P753" s="39">
        <f t="shared" si="95"/>
        <v>0.19003218786243936</v>
      </c>
    </row>
    <row r="754" spans="1:16" x14ac:dyDescent="0.3">
      <c r="A754" s="18">
        <v>41102</v>
      </c>
      <c r="B754" s="15">
        <v>23675</v>
      </c>
      <c r="C754" s="15">
        <v>53835</v>
      </c>
      <c r="D754" s="70">
        <v>1785.39</v>
      </c>
      <c r="E754" s="71">
        <f t="shared" si="89"/>
        <v>-1.9262634631317277E-2</v>
      </c>
      <c r="F754" s="39">
        <f t="shared" si="89"/>
        <v>6.9204152249136008E-3</v>
      </c>
      <c r="H754" s="64">
        <f t="shared" si="91"/>
        <v>0.9</v>
      </c>
      <c r="I754" s="65">
        <f t="shared" si="92"/>
        <v>1</v>
      </c>
      <c r="J754" s="66">
        <v>0.9</v>
      </c>
      <c r="K754" s="65">
        <f t="shared" si="90"/>
        <v>9.9999999999999978E-2</v>
      </c>
      <c r="L754" s="28">
        <f t="shared" si="93"/>
        <v>-1.8228511915929558E-3</v>
      </c>
      <c r="M754" s="71">
        <f t="shared" si="96"/>
        <v>-1.6644329645694188E-2</v>
      </c>
      <c r="N754" s="50">
        <v>41102</v>
      </c>
      <c r="O754" s="77">
        <f t="shared" si="94"/>
        <v>0.37251381982604093</v>
      </c>
      <c r="P754" s="39">
        <f t="shared" si="95"/>
        <v>0.16331756519019525</v>
      </c>
    </row>
    <row r="755" spans="1:16" x14ac:dyDescent="0.3">
      <c r="A755" s="17">
        <v>41103</v>
      </c>
      <c r="B755" s="13">
        <v>23975</v>
      </c>
      <c r="C755" s="13">
        <v>53885</v>
      </c>
      <c r="D755" s="14">
        <v>1812.89</v>
      </c>
      <c r="E755" s="28">
        <f t="shared" si="89"/>
        <v>1.2671594508975703E-2</v>
      </c>
      <c r="F755" s="39">
        <f t="shared" si="89"/>
        <v>9.2876381536166619E-4</v>
      </c>
      <c r="H755" s="64">
        <f t="shared" si="91"/>
        <v>0.9</v>
      </c>
      <c r="I755" s="65">
        <f t="shared" si="92"/>
        <v>1</v>
      </c>
      <c r="J755" s="66">
        <v>0.9</v>
      </c>
      <c r="K755" s="65">
        <f t="shared" si="90"/>
        <v>9.9999999999999978E-2</v>
      </c>
      <c r="L755" s="28">
        <f t="shared" si="93"/>
        <v>-1.6644329645694188E-2</v>
      </c>
      <c r="M755" s="71">
        <f t="shared" si="96"/>
        <v>1.1497311439614299E-2</v>
      </c>
      <c r="N755" s="51">
        <v>41103</v>
      </c>
      <c r="O755" s="77">
        <f t="shared" si="94"/>
        <v>0.38401113126565523</v>
      </c>
      <c r="P755" s="39">
        <f t="shared" si="95"/>
        <v>0.18123590966548075</v>
      </c>
    </row>
    <row r="756" spans="1:16" x14ac:dyDescent="0.3">
      <c r="A756" s="18">
        <v>41106</v>
      </c>
      <c r="B756" s="15">
        <v>24045</v>
      </c>
      <c r="C756" s="15">
        <v>53895</v>
      </c>
      <c r="D756" s="16">
        <v>1817.79</v>
      </c>
      <c r="E756" s="28">
        <f t="shared" si="89"/>
        <v>2.9197080291971655E-3</v>
      </c>
      <c r="F756" s="39">
        <f t="shared" si="89"/>
        <v>1.855804027095509E-4</v>
      </c>
      <c r="H756" s="64">
        <f t="shared" si="91"/>
        <v>0.9</v>
      </c>
      <c r="I756" s="65">
        <f t="shared" si="92"/>
        <v>1</v>
      </c>
      <c r="J756" s="66">
        <v>1</v>
      </c>
      <c r="K756" s="65">
        <f t="shared" si="90"/>
        <v>0</v>
      </c>
      <c r="L756" s="28">
        <f t="shared" si="93"/>
        <v>1.2671594508975703E-2</v>
      </c>
      <c r="M756" s="71">
        <f t="shared" si="96"/>
        <v>2.9197080291971655E-3</v>
      </c>
      <c r="N756" s="50">
        <v>41106</v>
      </c>
      <c r="O756" s="77">
        <f t="shared" si="94"/>
        <v>0.38693083929485239</v>
      </c>
      <c r="P756" s="39">
        <f t="shared" si="95"/>
        <v>0.18442863286289524</v>
      </c>
    </row>
    <row r="757" spans="1:16" x14ac:dyDescent="0.3">
      <c r="A757" s="17">
        <v>41107</v>
      </c>
      <c r="B757" s="13">
        <v>24105</v>
      </c>
      <c r="C757" s="13">
        <v>53930</v>
      </c>
      <c r="D757" s="14">
        <v>1821.96</v>
      </c>
      <c r="E757" s="28">
        <f t="shared" si="89"/>
        <v>2.4953212726137597E-3</v>
      </c>
      <c r="F757" s="39">
        <f t="shared" si="89"/>
        <v>6.494108915484631E-4</v>
      </c>
      <c r="H757" s="64">
        <f t="shared" si="91"/>
        <v>0.9</v>
      </c>
      <c r="I757" s="65">
        <f t="shared" si="92"/>
        <v>1</v>
      </c>
      <c r="J757" s="66">
        <v>1</v>
      </c>
      <c r="K757" s="65">
        <f t="shared" si="90"/>
        <v>0</v>
      </c>
      <c r="L757" s="28">
        <f t="shared" si="93"/>
        <v>2.9197080291971655E-3</v>
      </c>
      <c r="M757" s="71">
        <f t="shared" si="96"/>
        <v>2.4953212726137597E-3</v>
      </c>
      <c r="N757" s="51">
        <v>41107</v>
      </c>
      <c r="O757" s="77">
        <f t="shared" si="94"/>
        <v>0.38942616056746615</v>
      </c>
      <c r="P757" s="39">
        <f t="shared" si="95"/>
        <v>0.18714570546151132</v>
      </c>
    </row>
    <row r="758" spans="1:16" x14ac:dyDescent="0.3">
      <c r="A758" s="17">
        <v>41108</v>
      </c>
      <c r="B758" s="13">
        <v>23790</v>
      </c>
      <c r="C758" s="13">
        <v>53975</v>
      </c>
      <c r="D758" s="14">
        <v>1794.91</v>
      </c>
      <c r="E758" s="28">
        <f t="shared" si="89"/>
        <v>-1.3067828251400071E-2</v>
      </c>
      <c r="F758" s="39">
        <f t="shared" si="89"/>
        <v>8.3441498238467915E-4</v>
      </c>
      <c r="H758" s="64">
        <f t="shared" si="91"/>
        <v>0.9</v>
      </c>
      <c r="I758" s="65">
        <f t="shared" si="92"/>
        <v>1</v>
      </c>
      <c r="J758" s="66">
        <v>1</v>
      </c>
      <c r="K758" s="65">
        <f t="shared" si="90"/>
        <v>0</v>
      </c>
      <c r="L758" s="28">
        <f t="shared" si="93"/>
        <v>2.4953212726137597E-3</v>
      </c>
      <c r="M758" s="71">
        <f t="shared" si="96"/>
        <v>-1.3067828251400071E-2</v>
      </c>
      <c r="N758" s="51">
        <v>41108</v>
      </c>
      <c r="O758" s="77">
        <f t="shared" si="94"/>
        <v>0.37635833231606608</v>
      </c>
      <c r="P758" s="39">
        <f t="shared" si="95"/>
        <v>0.16952057025945777</v>
      </c>
    </row>
    <row r="759" spans="1:16" x14ac:dyDescent="0.3">
      <c r="A759" s="18">
        <v>41109</v>
      </c>
      <c r="B759" s="15">
        <v>24145</v>
      </c>
      <c r="C759" s="15">
        <v>53990</v>
      </c>
      <c r="D759" s="70">
        <v>1822.96</v>
      </c>
      <c r="E759" s="71">
        <f t="shared" si="89"/>
        <v>1.4922236233711583E-2</v>
      </c>
      <c r="F759" s="39">
        <f t="shared" si="89"/>
        <v>2.7790643816572036E-4</v>
      </c>
      <c r="H759" s="64">
        <f t="shared" si="91"/>
        <v>0.9</v>
      </c>
      <c r="I759" s="65">
        <f t="shared" si="92"/>
        <v>1</v>
      </c>
      <c r="J759" s="66">
        <v>0.9</v>
      </c>
      <c r="K759" s="65">
        <f t="shared" si="90"/>
        <v>9.9999999999999978E-2</v>
      </c>
      <c r="L759" s="28">
        <f t="shared" si="93"/>
        <v>-1.1677603928021597E-2</v>
      </c>
      <c r="M759" s="71">
        <f t="shared" si="96"/>
        <v>1.3457803254156998E-2</v>
      </c>
      <c r="N759" s="50">
        <v>41109</v>
      </c>
      <c r="O759" s="77">
        <f t="shared" si="94"/>
        <v>0.3898161355702231</v>
      </c>
      <c r="P759" s="39">
        <f t="shared" si="95"/>
        <v>0.18779728162424902</v>
      </c>
    </row>
    <row r="760" spans="1:16" x14ac:dyDescent="0.3">
      <c r="A760" s="17">
        <v>41110</v>
      </c>
      <c r="B760" s="13">
        <v>24175</v>
      </c>
      <c r="C760" s="13">
        <v>53955</v>
      </c>
      <c r="D760" s="14">
        <v>1822.93</v>
      </c>
      <c r="E760" s="28">
        <f t="shared" si="89"/>
        <v>1.24249326982806E-3</v>
      </c>
      <c r="F760" s="39">
        <f t="shared" si="89"/>
        <v>-6.4826819781438338E-4</v>
      </c>
      <c r="H760" s="64">
        <f t="shared" si="91"/>
        <v>0.9</v>
      </c>
      <c r="I760" s="65">
        <f t="shared" si="92"/>
        <v>1</v>
      </c>
      <c r="J760" s="66">
        <v>1</v>
      </c>
      <c r="K760" s="65">
        <f t="shared" si="90"/>
        <v>0</v>
      </c>
      <c r="L760" s="28">
        <f t="shared" si="93"/>
        <v>1.4922236233711583E-2</v>
      </c>
      <c r="M760" s="71">
        <f t="shared" si="96"/>
        <v>1.24249326982806E-3</v>
      </c>
      <c r="N760" s="51">
        <v>41110</v>
      </c>
      <c r="O760" s="77">
        <f t="shared" si="94"/>
        <v>0.39105862884005116</v>
      </c>
      <c r="P760" s="39">
        <f t="shared" si="95"/>
        <v>0.18777773433936695</v>
      </c>
    </row>
    <row r="761" spans="1:16" x14ac:dyDescent="0.3">
      <c r="A761" s="18">
        <v>41113</v>
      </c>
      <c r="B761" s="15">
        <v>23715</v>
      </c>
      <c r="C761" s="15">
        <v>54075</v>
      </c>
      <c r="D761" s="16">
        <v>1789.44</v>
      </c>
      <c r="E761" s="28">
        <f t="shared" si="89"/>
        <v>-1.902792140641163E-2</v>
      </c>
      <c r="F761" s="39">
        <f t="shared" si="89"/>
        <v>2.2240756185709643E-3</v>
      </c>
      <c r="H761" s="64">
        <f t="shared" si="91"/>
        <v>0.9</v>
      </c>
      <c r="I761" s="65">
        <f t="shared" si="92"/>
        <v>1</v>
      </c>
      <c r="J761" s="66">
        <v>1</v>
      </c>
      <c r="K761" s="65">
        <f t="shared" si="90"/>
        <v>0</v>
      </c>
      <c r="L761" s="28">
        <f t="shared" si="93"/>
        <v>1.24249326982806E-3</v>
      </c>
      <c r="M761" s="71">
        <f t="shared" si="96"/>
        <v>-1.902792140641163E-2</v>
      </c>
      <c r="N761" s="50">
        <v>41113</v>
      </c>
      <c r="O761" s="77">
        <f t="shared" si="94"/>
        <v>0.37203070743363953</v>
      </c>
      <c r="P761" s="39">
        <f t="shared" si="95"/>
        <v>0.16595644864928261</v>
      </c>
    </row>
    <row r="762" spans="1:16" x14ac:dyDescent="0.3">
      <c r="A762" s="17">
        <v>41114</v>
      </c>
      <c r="B762" s="13">
        <v>23780</v>
      </c>
      <c r="C762" s="13">
        <v>54095</v>
      </c>
      <c r="D762" s="14">
        <v>1793.93</v>
      </c>
      <c r="E762" s="28">
        <f t="shared" si="89"/>
        <v>2.7408812987561593E-3</v>
      </c>
      <c r="F762" s="39">
        <f t="shared" si="89"/>
        <v>3.6985668053635123E-4</v>
      </c>
      <c r="H762" s="64">
        <f t="shared" si="91"/>
        <v>0.9</v>
      </c>
      <c r="I762" s="65">
        <f t="shared" si="92"/>
        <v>1</v>
      </c>
      <c r="J762" s="66">
        <v>0.9</v>
      </c>
      <c r="K762" s="65">
        <f t="shared" si="90"/>
        <v>9.9999999999999978E-2</v>
      </c>
      <c r="L762" s="28">
        <f t="shared" si="93"/>
        <v>-1.6902721703913371E-2</v>
      </c>
      <c r="M762" s="71">
        <f t="shared" si="96"/>
        <v>2.5037788369341786E-3</v>
      </c>
      <c r="N762" s="51">
        <v>41114</v>
      </c>
      <c r="O762" s="77">
        <f t="shared" si="94"/>
        <v>0.37453448627057373</v>
      </c>
      <c r="P762" s="39">
        <f t="shared" si="95"/>
        <v>0.16888202561997478</v>
      </c>
    </row>
    <row r="763" spans="1:16" x14ac:dyDescent="0.3">
      <c r="A763" s="17">
        <v>41115</v>
      </c>
      <c r="B763" s="13">
        <v>23490</v>
      </c>
      <c r="C763" s="13">
        <v>54180</v>
      </c>
      <c r="D763" s="14">
        <v>1769.31</v>
      </c>
      <c r="E763" s="28">
        <f t="shared" si="89"/>
        <v>-1.2195121951219523E-2</v>
      </c>
      <c r="F763" s="39">
        <f t="shared" si="89"/>
        <v>1.5713097328773351E-3</v>
      </c>
      <c r="H763" s="64">
        <f t="shared" si="91"/>
        <v>0.9</v>
      </c>
      <c r="I763" s="65">
        <f t="shared" si="92"/>
        <v>1</v>
      </c>
      <c r="J763" s="66">
        <v>1</v>
      </c>
      <c r="K763" s="65">
        <f t="shared" si="90"/>
        <v>0</v>
      </c>
      <c r="L763" s="28">
        <f t="shared" si="93"/>
        <v>2.7408812987561593E-3</v>
      </c>
      <c r="M763" s="71">
        <f t="shared" si="96"/>
        <v>-1.2195121951219523E-2</v>
      </c>
      <c r="N763" s="51">
        <v>41115</v>
      </c>
      <c r="O763" s="77">
        <f t="shared" si="94"/>
        <v>0.36233936431935421</v>
      </c>
      <c r="P763" s="39">
        <f t="shared" si="95"/>
        <v>0.15284022049337342</v>
      </c>
    </row>
    <row r="764" spans="1:16" x14ac:dyDescent="0.3">
      <c r="A764" s="18">
        <v>41116</v>
      </c>
      <c r="B764" s="15">
        <v>23640</v>
      </c>
      <c r="C764" s="15">
        <v>54180</v>
      </c>
      <c r="D764" s="70">
        <v>1782.47</v>
      </c>
      <c r="E764" s="71">
        <f t="shared" si="89"/>
        <v>6.3856960408683605E-3</v>
      </c>
      <c r="F764" s="39">
        <f t="shared" si="89"/>
        <v>0</v>
      </c>
      <c r="H764" s="64">
        <f t="shared" si="91"/>
        <v>0.9</v>
      </c>
      <c r="I764" s="65">
        <f t="shared" si="92"/>
        <v>1</v>
      </c>
      <c r="J764" s="66">
        <v>0.9</v>
      </c>
      <c r="K764" s="65">
        <f t="shared" si="90"/>
        <v>9.9999999999999978E-2</v>
      </c>
      <c r="L764" s="28">
        <f t="shared" si="93"/>
        <v>-1.0818478782809837E-2</v>
      </c>
      <c r="M764" s="71">
        <f t="shared" si="96"/>
        <v>5.747126436781525E-3</v>
      </c>
      <c r="N764" s="50">
        <v>41116</v>
      </c>
      <c r="O764" s="77">
        <f t="shared" si="94"/>
        <v>0.36808649075613575</v>
      </c>
      <c r="P764" s="39">
        <f t="shared" si="95"/>
        <v>0.16141496279500123</v>
      </c>
    </row>
    <row r="765" spans="1:16" x14ac:dyDescent="0.3">
      <c r="A765" s="17">
        <v>41117</v>
      </c>
      <c r="B765" s="13">
        <v>24340</v>
      </c>
      <c r="C765" s="13">
        <v>54060</v>
      </c>
      <c r="D765" s="14">
        <v>1829.16</v>
      </c>
      <c r="E765" s="28">
        <f t="shared" si="89"/>
        <v>2.9610829103214886E-2</v>
      </c>
      <c r="F765" s="39">
        <f t="shared" si="89"/>
        <v>-2.2148394241418012E-3</v>
      </c>
      <c r="H765" s="64">
        <f t="shared" si="91"/>
        <v>0.9</v>
      </c>
      <c r="I765" s="65">
        <f t="shared" si="92"/>
        <v>1</v>
      </c>
      <c r="J765" s="66">
        <v>1</v>
      </c>
      <c r="K765" s="65">
        <f t="shared" si="90"/>
        <v>0</v>
      </c>
      <c r="L765" s="28">
        <f t="shared" si="93"/>
        <v>6.3856960408683605E-3</v>
      </c>
      <c r="M765" s="71">
        <f t="shared" si="96"/>
        <v>2.9610829103214886E-2</v>
      </c>
      <c r="N765" s="51">
        <v>41117</v>
      </c>
      <c r="O765" s="77">
        <f t="shared" si="94"/>
        <v>0.39769731985935064</v>
      </c>
      <c r="P765" s="39">
        <f t="shared" si="95"/>
        <v>0.19183705383322258</v>
      </c>
    </row>
    <row r="766" spans="1:16" x14ac:dyDescent="0.3">
      <c r="A766" s="18">
        <v>41120</v>
      </c>
      <c r="B766" s="15">
        <v>24555</v>
      </c>
      <c r="C766" s="15">
        <v>54070</v>
      </c>
      <c r="D766" s="16">
        <v>1843.79</v>
      </c>
      <c r="E766" s="28">
        <f t="shared" si="89"/>
        <v>8.8331963845522665E-3</v>
      </c>
      <c r="F766" s="39">
        <f t="shared" si="89"/>
        <v>1.8497965223818191E-4</v>
      </c>
      <c r="H766" s="64">
        <f t="shared" si="91"/>
        <v>0.9</v>
      </c>
      <c r="I766" s="65">
        <f t="shared" si="92"/>
        <v>1</v>
      </c>
      <c r="J766" s="66">
        <v>1</v>
      </c>
      <c r="K766" s="65">
        <f t="shared" si="90"/>
        <v>0</v>
      </c>
      <c r="L766" s="28">
        <f t="shared" si="93"/>
        <v>2.9610829103214886E-2</v>
      </c>
      <c r="M766" s="71">
        <f t="shared" si="96"/>
        <v>8.8331963845522665E-3</v>
      </c>
      <c r="N766" s="50">
        <v>41120</v>
      </c>
      <c r="O766" s="77">
        <f t="shared" si="94"/>
        <v>0.40653051624390291</v>
      </c>
      <c r="P766" s="39">
        <f t="shared" si="95"/>
        <v>0.20136961309407453</v>
      </c>
    </row>
    <row r="767" spans="1:16" x14ac:dyDescent="0.3">
      <c r="A767" s="17">
        <v>41121</v>
      </c>
      <c r="B767" s="13">
        <v>25075</v>
      </c>
      <c r="C767" s="13">
        <v>54070</v>
      </c>
      <c r="D767" s="14">
        <v>1881.99</v>
      </c>
      <c r="E767" s="28">
        <f t="shared" si="89"/>
        <v>2.1176949704744485E-2</v>
      </c>
      <c r="F767" s="39">
        <f t="shared" si="89"/>
        <v>0</v>
      </c>
      <c r="H767" s="64">
        <f t="shared" si="91"/>
        <v>0.9</v>
      </c>
      <c r="I767" s="65">
        <f t="shared" si="92"/>
        <v>1</v>
      </c>
      <c r="J767" s="66">
        <v>1</v>
      </c>
      <c r="K767" s="65">
        <f t="shared" si="90"/>
        <v>0</v>
      </c>
      <c r="L767" s="28">
        <f t="shared" si="93"/>
        <v>8.8331963845522665E-3</v>
      </c>
      <c r="M767" s="71">
        <f t="shared" si="96"/>
        <v>2.1176949704744485E-2</v>
      </c>
      <c r="N767" s="51">
        <v>41121</v>
      </c>
      <c r="O767" s="77">
        <f t="shared" si="94"/>
        <v>0.42770746594864739</v>
      </c>
      <c r="P767" s="39">
        <f t="shared" si="95"/>
        <v>0.22625982251065335</v>
      </c>
    </row>
    <row r="768" spans="1:16" x14ac:dyDescent="0.3">
      <c r="A768" s="17">
        <v>41122</v>
      </c>
      <c r="B768" s="13">
        <v>25090</v>
      </c>
      <c r="C768" s="13">
        <v>54080</v>
      </c>
      <c r="D768" s="14">
        <v>1879.93</v>
      </c>
      <c r="E768" s="28">
        <f t="shared" si="89"/>
        <v>5.9820538384847133E-4</v>
      </c>
      <c r="F768" s="39">
        <f t="shared" si="89"/>
        <v>1.8494544109493027E-4</v>
      </c>
      <c r="H768" s="64">
        <f t="shared" si="91"/>
        <v>0.7</v>
      </c>
      <c r="I768" s="65">
        <f t="shared" si="92"/>
        <v>0.9</v>
      </c>
      <c r="J768" s="66">
        <v>0.9</v>
      </c>
      <c r="K768" s="65">
        <f t="shared" si="90"/>
        <v>9.9999999999999978E-2</v>
      </c>
      <c r="L768" s="28">
        <f t="shared" si="93"/>
        <v>1.9059254734270038E-2</v>
      </c>
      <c r="M768" s="71">
        <f t="shared" si="96"/>
        <v>5.5687938957311718E-4</v>
      </c>
      <c r="N768" s="51">
        <v>41122</v>
      </c>
      <c r="O768" s="77">
        <f t="shared" si="94"/>
        <v>0.4282643453382205</v>
      </c>
      <c r="P768" s="39">
        <f t="shared" si="95"/>
        <v>0.22491757561541381</v>
      </c>
    </row>
    <row r="769" spans="1:16" x14ac:dyDescent="0.3">
      <c r="A769" s="18">
        <v>41123</v>
      </c>
      <c r="B769" s="15">
        <v>24940</v>
      </c>
      <c r="C769" s="15">
        <v>54150</v>
      </c>
      <c r="D769" s="70">
        <v>1869.4</v>
      </c>
      <c r="E769" s="71">
        <f t="shared" si="89"/>
        <v>-5.9784774810681673E-3</v>
      </c>
      <c r="F769" s="39">
        <f t="shared" si="89"/>
        <v>1.2943786982249073E-3</v>
      </c>
      <c r="H769" s="64">
        <f t="shared" si="91"/>
        <v>0.7</v>
      </c>
      <c r="I769" s="65">
        <f t="shared" si="92"/>
        <v>0.9</v>
      </c>
      <c r="J769" s="66">
        <v>0.9</v>
      </c>
      <c r="K769" s="65">
        <f t="shared" si="90"/>
        <v>9.9999999999999978E-2</v>
      </c>
      <c r="L769" s="28">
        <f t="shared" si="93"/>
        <v>5.5687938957311718E-4</v>
      </c>
      <c r="M769" s="71">
        <f t="shared" si="96"/>
        <v>-5.2511918631388604E-3</v>
      </c>
      <c r="N769" s="50">
        <v>41123</v>
      </c>
      <c r="O769" s="77">
        <f t="shared" si="94"/>
        <v>0.42301315347508162</v>
      </c>
      <c r="P769" s="39">
        <f t="shared" si="95"/>
        <v>0.21805647862178623</v>
      </c>
    </row>
    <row r="770" spans="1:16" x14ac:dyDescent="0.3">
      <c r="A770" s="17">
        <v>41124</v>
      </c>
      <c r="B770" s="13">
        <v>24605</v>
      </c>
      <c r="C770" s="13">
        <v>54215</v>
      </c>
      <c r="D770" s="14">
        <v>1848.68</v>
      </c>
      <c r="E770" s="28">
        <f t="shared" si="89"/>
        <v>-1.3432237369687239E-2</v>
      </c>
      <c r="F770" s="39">
        <f t="shared" si="89"/>
        <v>1.2003693444135877E-3</v>
      </c>
      <c r="H770" s="64">
        <f t="shared" si="91"/>
        <v>0.7</v>
      </c>
      <c r="I770" s="65">
        <f t="shared" si="92"/>
        <v>0.9</v>
      </c>
      <c r="J770" s="66">
        <v>0.7</v>
      </c>
      <c r="K770" s="65">
        <f t="shared" si="90"/>
        <v>0.30000000000000004</v>
      </c>
      <c r="L770" s="28">
        <f t="shared" si="93"/>
        <v>-3.7966206272802444E-3</v>
      </c>
      <c r="M770" s="71">
        <f t="shared" si="96"/>
        <v>-9.0424553554569898E-3</v>
      </c>
      <c r="N770" s="51">
        <v>41124</v>
      </c>
      <c r="O770" s="77">
        <f t="shared" si="94"/>
        <v>0.41397069811962461</v>
      </c>
      <c r="P770" s="39">
        <f t="shared" si="95"/>
        <v>0.20455582052986188</v>
      </c>
    </row>
    <row r="771" spans="1:16" x14ac:dyDescent="0.3">
      <c r="A771" s="18">
        <v>41127</v>
      </c>
      <c r="B771" s="15">
        <v>25115</v>
      </c>
      <c r="C771" s="15">
        <v>54215</v>
      </c>
      <c r="D771" s="16">
        <v>1885.88</v>
      </c>
      <c r="E771" s="28">
        <f t="shared" si="89"/>
        <v>2.072749441170485E-2</v>
      </c>
      <c r="F771" s="39">
        <f t="shared" si="89"/>
        <v>0</v>
      </c>
      <c r="H771" s="64">
        <f t="shared" si="91"/>
        <v>0.9</v>
      </c>
      <c r="I771" s="65">
        <f t="shared" si="92"/>
        <v>1</v>
      </c>
      <c r="J771" s="66">
        <v>0.9</v>
      </c>
      <c r="K771" s="65">
        <f t="shared" si="90"/>
        <v>9.9999999999999978E-2</v>
      </c>
      <c r="L771" s="28">
        <f t="shared" si="93"/>
        <v>-1.1968976698277158E-2</v>
      </c>
      <c r="M771" s="71">
        <f t="shared" si="96"/>
        <v>1.8654744970534366E-2</v>
      </c>
      <c r="N771" s="50">
        <v>41127</v>
      </c>
      <c r="O771" s="77">
        <f t="shared" si="94"/>
        <v>0.43262544309015899</v>
      </c>
      <c r="P771" s="39">
        <f t="shared" si="95"/>
        <v>0.22879445378370278</v>
      </c>
    </row>
    <row r="772" spans="1:16" x14ac:dyDescent="0.3">
      <c r="A772" s="17">
        <v>41128</v>
      </c>
      <c r="B772" s="13">
        <v>25165</v>
      </c>
      <c r="C772" s="13">
        <v>54220</v>
      </c>
      <c r="D772" s="14">
        <v>1886.8</v>
      </c>
      <c r="E772" s="28">
        <f t="shared" si="89"/>
        <v>1.990842126219361E-3</v>
      </c>
      <c r="F772" s="39">
        <f t="shared" si="89"/>
        <v>9.2225398874878906E-5</v>
      </c>
      <c r="H772" s="64">
        <f t="shared" si="91"/>
        <v>0.7</v>
      </c>
      <c r="I772" s="65">
        <f t="shared" si="92"/>
        <v>0.9</v>
      </c>
      <c r="J772" s="66">
        <v>0.9</v>
      </c>
      <c r="K772" s="65">
        <f t="shared" si="90"/>
        <v>9.9999999999999978E-2</v>
      </c>
      <c r="L772" s="28">
        <f t="shared" si="93"/>
        <v>1.8654744970534366E-2</v>
      </c>
      <c r="M772" s="71">
        <f t="shared" si="96"/>
        <v>1.8009804534849128E-3</v>
      </c>
      <c r="N772" s="51">
        <v>41128</v>
      </c>
      <c r="O772" s="77">
        <f t="shared" si="94"/>
        <v>0.43442642354364391</v>
      </c>
      <c r="P772" s="39">
        <f t="shared" si="95"/>
        <v>0.2293939038534214</v>
      </c>
    </row>
    <row r="773" spans="1:16" x14ac:dyDescent="0.3">
      <c r="A773" s="17">
        <v>41129</v>
      </c>
      <c r="B773" s="13">
        <v>25395</v>
      </c>
      <c r="C773" s="13">
        <v>54235</v>
      </c>
      <c r="D773" s="14">
        <v>1903.23</v>
      </c>
      <c r="E773" s="28">
        <f t="shared" si="89"/>
        <v>9.1396781243791025E-3</v>
      </c>
      <c r="F773" s="39">
        <f t="shared" si="89"/>
        <v>2.7665068240501078E-4</v>
      </c>
      <c r="H773" s="64">
        <f t="shared" si="91"/>
        <v>0.7</v>
      </c>
      <c r="I773" s="65">
        <f t="shared" si="92"/>
        <v>0.9</v>
      </c>
      <c r="J773" s="66">
        <v>0.9</v>
      </c>
      <c r="K773" s="65">
        <f t="shared" si="90"/>
        <v>9.9999999999999978E-2</v>
      </c>
      <c r="L773" s="28">
        <f t="shared" si="93"/>
        <v>1.8009804534849128E-3</v>
      </c>
      <c r="M773" s="71">
        <f t="shared" si="96"/>
        <v>8.2533753801816937E-3</v>
      </c>
      <c r="N773" s="51">
        <v>41129</v>
      </c>
      <c r="O773" s="77">
        <f t="shared" si="94"/>
        <v>0.44267979892382558</v>
      </c>
      <c r="P773" s="39">
        <f t="shared" si="95"/>
        <v>0.24009930020720116</v>
      </c>
    </row>
    <row r="774" spans="1:16" x14ac:dyDescent="0.3">
      <c r="A774" s="18">
        <v>41130</v>
      </c>
      <c r="B774" s="15">
        <v>25940</v>
      </c>
      <c r="C774" s="15">
        <v>54190</v>
      </c>
      <c r="D774" s="70">
        <v>1940.59</v>
      </c>
      <c r="E774" s="71">
        <f t="shared" si="89"/>
        <v>2.1460917503445476E-2</v>
      </c>
      <c r="F774" s="39">
        <f t="shared" si="89"/>
        <v>-8.2972250391810665E-4</v>
      </c>
      <c r="H774" s="64">
        <f t="shared" si="91"/>
        <v>0.5</v>
      </c>
      <c r="I774" s="65">
        <f t="shared" si="92"/>
        <v>0.7</v>
      </c>
      <c r="J774" s="66">
        <v>0.7</v>
      </c>
      <c r="K774" s="65">
        <f t="shared" si="90"/>
        <v>0.30000000000000004</v>
      </c>
      <c r="L774" s="28">
        <f t="shared" si="93"/>
        <v>6.4807698917868752E-3</v>
      </c>
      <c r="M774" s="71">
        <f t="shared" si="96"/>
        <v>1.4773725501236399E-2</v>
      </c>
      <c r="N774" s="50">
        <v>41130</v>
      </c>
      <c r="O774" s="77">
        <f t="shared" si="94"/>
        <v>0.45745352442506199</v>
      </c>
      <c r="P774" s="39">
        <f t="shared" si="95"/>
        <v>0.26444218564708022</v>
      </c>
    </row>
    <row r="775" spans="1:16" x14ac:dyDescent="0.3">
      <c r="A775" s="17">
        <v>41131</v>
      </c>
      <c r="B775" s="13">
        <v>25995</v>
      </c>
      <c r="C775" s="13">
        <v>54190</v>
      </c>
      <c r="D775" s="14">
        <v>1946.4</v>
      </c>
      <c r="E775" s="28">
        <f t="shared" si="89"/>
        <v>2.1202775636082194E-3</v>
      </c>
      <c r="F775" s="39">
        <f t="shared" si="89"/>
        <v>0</v>
      </c>
      <c r="H775" s="64">
        <f t="shared" si="91"/>
        <v>0.5</v>
      </c>
      <c r="I775" s="65">
        <f t="shared" si="92"/>
        <v>0.7</v>
      </c>
      <c r="J775" s="66">
        <v>0.7</v>
      </c>
      <c r="K775" s="65">
        <f t="shared" si="90"/>
        <v>0.30000000000000004</v>
      </c>
      <c r="L775" s="28">
        <f t="shared" si="93"/>
        <v>1.4773725501236399E-2</v>
      </c>
      <c r="M775" s="71">
        <f t="shared" si="96"/>
        <v>1.4841942945257535E-3</v>
      </c>
      <c r="N775" s="51">
        <v>41131</v>
      </c>
      <c r="O775" s="77">
        <f t="shared" si="94"/>
        <v>0.45893771871958772</v>
      </c>
      <c r="P775" s="39">
        <f t="shared" si="95"/>
        <v>0.26822784315258619</v>
      </c>
    </row>
    <row r="776" spans="1:16" x14ac:dyDescent="0.3">
      <c r="A776" s="18">
        <v>41134</v>
      </c>
      <c r="B776" s="15">
        <v>25805</v>
      </c>
      <c r="C776" s="15">
        <v>54180</v>
      </c>
      <c r="D776" s="16">
        <v>1932.44</v>
      </c>
      <c r="E776" s="28">
        <f t="shared" si="89"/>
        <v>-7.3090979034429182E-3</v>
      </c>
      <c r="F776" s="39">
        <f t="shared" si="89"/>
        <v>-1.8453589223099698E-4</v>
      </c>
      <c r="H776" s="64">
        <f t="shared" si="91"/>
        <v>0.5</v>
      </c>
      <c r="I776" s="65">
        <f t="shared" si="92"/>
        <v>0.7</v>
      </c>
      <c r="J776" s="66">
        <v>0.7</v>
      </c>
      <c r="K776" s="65">
        <f t="shared" si="90"/>
        <v>0.30000000000000004</v>
      </c>
      <c r="L776" s="28">
        <f t="shared" si="93"/>
        <v>1.4841942945257535E-3</v>
      </c>
      <c r="M776" s="71">
        <f t="shared" si="96"/>
        <v>-5.1717293000793415E-3</v>
      </c>
      <c r="N776" s="50">
        <v>41134</v>
      </c>
      <c r="O776" s="77">
        <f t="shared" si="94"/>
        <v>0.45376598941950835</v>
      </c>
      <c r="P776" s="39">
        <f t="shared" si="95"/>
        <v>0.25913183992076827</v>
      </c>
    </row>
    <row r="777" spans="1:16" x14ac:dyDescent="0.3">
      <c r="A777" s="17">
        <v>41135</v>
      </c>
      <c r="B777" s="13">
        <v>26110</v>
      </c>
      <c r="C777" s="13">
        <v>54115</v>
      </c>
      <c r="D777" s="14">
        <v>1956.96</v>
      </c>
      <c r="E777" s="28">
        <f t="shared" si="89"/>
        <v>1.181941484208493E-2</v>
      </c>
      <c r="F777" s="39">
        <f t="shared" si="89"/>
        <v>-1.1997046880767304E-3</v>
      </c>
      <c r="H777" s="64">
        <f t="shared" si="91"/>
        <v>0.5</v>
      </c>
      <c r="I777" s="65">
        <f t="shared" si="92"/>
        <v>0.7</v>
      </c>
      <c r="J777" s="66">
        <v>0.5</v>
      </c>
      <c r="K777" s="65">
        <f t="shared" si="90"/>
        <v>0.5</v>
      </c>
      <c r="L777" s="28">
        <f t="shared" si="93"/>
        <v>-3.7468168978369576E-3</v>
      </c>
      <c r="M777" s="71">
        <f t="shared" si="96"/>
        <v>5.3098550770040998E-3</v>
      </c>
      <c r="N777" s="51">
        <v>41135</v>
      </c>
      <c r="O777" s="77">
        <f t="shared" si="94"/>
        <v>0.45907584449651245</v>
      </c>
      <c r="P777" s="39">
        <f t="shared" si="95"/>
        <v>0.27510848743109584</v>
      </c>
    </row>
    <row r="778" spans="1:16" x14ac:dyDescent="0.3">
      <c r="A778" s="17">
        <v>41137</v>
      </c>
      <c r="B778" s="13">
        <v>26120</v>
      </c>
      <c r="C778" s="13">
        <v>53985</v>
      </c>
      <c r="D778" s="14">
        <v>1957.91</v>
      </c>
      <c r="E778" s="28">
        <f t="shared" si="89"/>
        <v>3.8299502106475813E-4</v>
      </c>
      <c r="F778" s="39">
        <f t="shared" si="89"/>
        <v>-2.402291416428004E-3</v>
      </c>
      <c r="H778" s="64">
        <f t="shared" si="91"/>
        <v>0.3</v>
      </c>
      <c r="I778" s="65">
        <f t="shared" si="92"/>
        <v>0.5</v>
      </c>
      <c r="J778" s="66">
        <v>0.5</v>
      </c>
      <c r="K778" s="65">
        <f t="shared" si="90"/>
        <v>0.5</v>
      </c>
      <c r="L778" s="28">
        <f t="shared" si="93"/>
        <v>5.3098550770040998E-3</v>
      </c>
      <c r="M778" s="71">
        <f t="shared" si="96"/>
        <v>-1.0096481976816229E-3</v>
      </c>
      <c r="N778" s="51">
        <v>41137</v>
      </c>
      <c r="O778" s="77">
        <f t="shared" si="94"/>
        <v>0.45806619629883083</v>
      </c>
      <c r="P778" s="39">
        <f t="shared" si="95"/>
        <v>0.27572748478569675</v>
      </c>
    </row>
    <row r="779" spans="1:16" x14ac:dyDescent="0.3">
      <c r="A779" s="18">
        <v>41138</v>
      </c>
      <c r="B779" s="15">
        <v>25950</v>
      </c>
      <c r="C779" s="15">
        <v>54020</v>
      </c>
      <c r="D779" s="70">
        <v>1946.54</v>
      </c>
      <c r="E779" s="71">
        <f t="shared" si="89"/>
        <v>-6.5084226646248133E-3</v>
      </c>
      <c r="F779" s="39">
        <f t="shared" si="89"/>
        <v>6.4832823932570172E-4</v>
      </c>
      <c r="H779" s="64">
        <f t="shared" si="91"/>
        <v>0.3</v>
      </c>
      <c r="I779" s="65">
        <f t="shared" si="92"/>
        <v>0.5</v>
      </c>
      <c r="J779" s="66">
        <v>0.5</v>
      </c>
      <c r="K779" s="65">
        <f t="shared" si="90"/>
        <v>0.5</v>
      </c>
      <c r="L779" s="28">
        <f t="shared" si="93"/>
        <v>-1.0096481976816229E-3</v>
      </c>
      <c r="M779" s="71">
        <f t="shared" si="96"/>
        <v>-2.9300472126495558E-3</v>
      </c>
      <c r="N779" s="50">
        <v>41138</v>
      </c>
      <c r="O779" s="77">
        <f t="shared" si="94"/>
        <v>0.45513614908618127</v>
      </c>
      <c r="P779" s="39">
        <f t="shared" si="95"/>
        <v>0.26831906381536941</v>
      </c>
    </row>
    <row r="780" spans="1:16" x14ac:dyDescent="0.3">
      <c r="A780" s="17">
        <v>41141</v>
      </c>
      <c r="B780" s="13">
        <v>25920</v>
      </c>
      <c r="C780" s="13">
        <v>54015</v>
      </c>
      <c r="D780" s="14">
        <v>1946.31</v>
      </c>
      <c r="E780" s="28">
        <f t="shared" si="89"/>
        <v>-1.1560693641619046E-3</v>
      </c>
      <c r="F780" s="39">
        <f t="shared" si="89"/>
        <v>-9.2558311736379295E-5</v>
      </c>
      <c r="H780" s="64">
        <f t="shared" si="91"/>
        <v>0.5</v>
      </c>
      <c r="I780" s="65">
        <f t="shared" si="92"/>
        <v>0.7</v>
      </c>
      <c r="J780" s="66">
        <v>0.5</v>
      </c>
      <c r="K780" s="65">
        <f t="shared" si="90"/>
        <v>0.5</v>
      </c>
      <c r="L780" s="28">
        <f t="shared" si="93"/>
        <v>-2.9300472126495558E-3</v>
      </c>
      <c r="M780" s="71">
        <f t="shared" si="96"/>
        <v>-6.2431383794914197E-4</v>
      </c>
      <c r="N780" s="51">
        <v>41141</v>
      </c>
      <c r="O780" s="77">
        <f t="shared" si="94"/>
        <v>0.45451183524823213</v>
      </c>
      <c r="P780" s="39">
        <f t="shared" si="95"/>
        <v>0.26816920129793975</v>
      </c>
    </row>
    <row r="781" spans="1:16" x14ac:dyDescent="0.3">
      <c r="A781" s="18">
        <v>41142</v>
      </c>
      <c r="B781" s="15">
        <v>25865</v>
      </c>
      <c r="C781" s="15">
        <v>54050</v>
      </c>
      <c r="D781" s="16">
        <v>1943.22</v>
      </c>
      <c r="E781" s="28">
        <f t="shared" si="89"/>
        <v>-2.1219135802469369E-3</v>
      </c>
      <c r="F781" s="39">
        <f t="shared" si="89"/>
        <v>6.4796815699352805E-4</v>
      </c>
      <c r="H781" s="64">
        <f t="shared" si="91"/>
        <v>0.5</v>
      </c>
      <c r="I781" s="65">
        <f t="shared" si="92"/>
        <v>0.7</v>
      </c>
      <c r="J781" s="66">
        <v>0.5</v>
      </c>
      <c r="K781" s="65">
        <f t="shared" si="90"/>
        <v>0.5</v>
      </c>
      <c r="L781" s="28">
        <f t="shared" si="93"/>
        <v>-6.2431383794914197E-4</v>
      </c>
      <c r="M781" s="71">
        <f t="shared" si="96"/>
        <v>-7.3697271162670441E-4</v>
      </c>
      <c r="N781" s="50">
        <v>41142</v>
      </c>
      <c r="O781" s="77">
        <f t="shared" si="94"/>
        <v>0.45377486253660543</v>
      </c>
      <c r="P781" s="39">
        <f t="shared" si="95"/>
        <v>0.26615583095508044</v>
      </c>
    </row>
    <row r="782" spans="1:16" x14ac:dyDescent="0.3">
      <c r="A782" s="17">
        <v>41143</v>
      </c>
      <c r="B782" s="13">
        <v>25720</v>
      </c>
      <c r="C782" s="13">
        <v>54045</v>
      </c>
      <c r="D782" s="14">
        <v>1935.19</v>
      </c>
      <c r="E782" s="28">
        <f t="shared" si="89"/>
        <v>-5.6060313164507658E-3</v>
      </c>
      <c r="F782" s="39">
        <f t="shared" si="89"/>
        <v>-9.2506938020320284E-5</v>
      </c>
      <c r="H782" s="64">
        <f t="shared" si="91"/>
        <v>0.5</v>
      </c>
      <c r="I782" s="65">
        <f t="shared" si="92"/>
        <v>0.7</v>
      </c>
      <c r="J782" s="66">
        <v>0.5</v>
      </c>
      <c r="K782" s="65">
        <f t="shared" si="90"/>
        <v>0.5</v>
      </c>
      <c r="L782" s="28">
        <f t="shared" si="93"/>
        <v>-7.3697271162670441E-4</v>
      </c>
      <c r="M782" s="71">
        <f t="shared" si="96"/>
        <v>-2.849269127235543E-3</v>
      </c>
      <c r="N782" s="51">
        <v>41143</v>
      </c>
      <c r="O782" s="77">
        <f t="shared" si="94"/>
        <v>0.45092559340936988</v>
      </c>
      <c r="P782" s="39">
        <f t="shared" si="95"/>
        <v>0.260923674368297</v>
      </c>
    </row>
    <row r="783" spans="1:16" x14ac:dyDescent="0.3">
      <c r="A783" s="17">
        <v>41144</v>
      </c>
      <c r="B783" s="13">
        <v>25815</v>
      </c>
      <c r="C783" s="13">
        <v>54135</v>
      </c>
      <c r="D783" s="14">
        <v>1942.54</v>
      </c>
      <c r="E783" s="28">
        <f t="shared" si="89"/>
        <v>3.6936236391913457E-3</v>
      </c>
      <c r="F783" s="39">
        <f t="shared" si="89"/>
        <v>1.6652789342215257E-3</v>
      </c>
      <c r="H783" s="64">
        <f t="shared" si="91"/>
        <v>0.5</v>
      </c>
      <c r="I783" s="65">
        <f t="shared" si="92"/>
        <v>0.7</v>
      </c>
      <c r="J783" s="66">
        <v>0.5</v>
      </c>
      <c r="K783" s="65">
        <f t="shared" si="90"/>
        <v>0.5</v>
      </c>
      <c r="L783" s="28">
        <f t="shared" si="93"/>
        <v>-2.849269127235543E-3</v>
      </c>
      <c r="M783" s="71">
        <f t="shared" si="96"/>
        <v>2.6794512867064357E-3</v>
      </c>
      <c r="N783" s="51">
        <v>41144</v>
      </c>
      <c r="O783" s="77">
        <f t="shared" si="94"/>
        <v>0.45360504469607632</v>
      </c>
      <c r="P783" s="39">
        <f t="shared" si="95"/>
        <v>0.26571275916441861</v>
      </c>
    </row>
    <row r="784" spans="1:16" x14ac:dyDescent="0.3">
      <c r="A784" s="18">
        <v>41145</v>
      </c>
      <c r="B784" s="15">
        <v>25490</v>
      </c>
      <c r="C784" s="15">
        <v>54190</v>
      </c>
      <c r="D784" s="70">
        <v>1919.81</v>
      </c>
      <c r="E784" s="71">
        <f t="shared" si="89"/>
        <v>-1.2589579701723808E-2</v>
      </c>
      <c r="F784" s="39">
        <f t="shared" si="89"/>
        <v>1.0159785720882386E-3</v>
      </c>
      <c r="H784" s="64">
        <f t="shared" si="91"/>
        <v>0.5</v>
      </c>
      <c r="I784" s="65">
        <f t="shared" si="92"/>
        <v>0.7</v>
      </c>
      <c r="J784" s="66">
        <v>0.7</v>
      </c>
      <c r="K784" s="65">
        <f t="shared" si="90"/>
        <v>0.30000000000000004</v>
      </c>
      <c r="L784" s="28">
        <f t="shared" si="93"/>
        <v>3.0851202277003996E-3</v>
      </c>
      <c r="M784" s="71">
        <f t="shared" si="96"/>
        <v>-8.5079122195801937E-3</v>
      </c>
      <c r="N784" s="50">
        <v>41145</v>
      </c>
      <c r="O784" s="77">
        <f t="shared" si="94"/>
        <v>0.44509713247649613</v>
      </c>
      <c r="P784" s="39">
        <f t="shared" si="95"/>
        <v>0.25090243298539172</v>
      </c>
    </row>
    <row r="785" spans="1:16" x14ac:dyDescent="0.3">
      <c r="A785" s="17">
        <v>41148</v>
      </c>
      <c r="B785" s="13">
        <v>25395</v>
      </c>
      <c r="C785" s="13">
        <v>54235</v>
      </c>
      <c r="D785" s="14">
        <v>1917.87</v>
      </c>
      <c r="E785" s="28">
        <f t="shared" ref="E785:F848" si="97">B785/B784-1</f>
        <v>-3.7269517457826362E-3</v>
      </c>
      <c r="F785" s="39">
        <f t="shared" si="97"/>
        <v>8.3041151503970845E-4</v>
      </c>
      <c r="H785" s="64">
        <f t="shared" si="91"/>
        <v>0.5</v>
      </c>
      <c r="I785" s="65">
        <f t="shared" si="92"/>
        <v>0.7</v>
      </c>
      <c r="J785" s="66">
        <v>0.5</v>
      </c>
      <c r="K785" s="65">
        <f t="shared" ref="K785:K848" si="98">1-J785</f>
        <v>0.5</v>
      </c>
      <c r="L785" s="28">
        <f t="shared" si="93"/>
        <v>-5.7868005648177845E-3</v>
      </c>
      <c r="M785" s="71">
        <f t="shared" si="96"/>
        <v>-1.4482701153714639E-3</v>
      </c>
      <c r="N785" s="51">
        <v>41148</v>
      </c>
      <c r="O785" s="77">
        <f t="shared" si="94"/>
        <v>0.44364886236112466</v>
      </c>
      <c r="P785" s="39">
        <f t="shared" si="95"/>
        <v>0.24963837522968046</v>
      </c>
    </row>
    <row r="786" spans="1:16" x14ac:dyDescent="0.3">
      <c r="A786" s="18">
        <v>41149</v>
      </c>
      <c r="B786" s="15">
        <v>25335</v>
      </c>
      <c r="C786" s="15">
        <v>54255</v>
      </c>
      <c r="D786" s="16">
        <v>1916.33</v>
      </c>
      <c r="E786" s="28">
        <f t="shared" si="97"/>
        <v>-2.3626698168930371E-3</v>
      </c>
      <c r="F786" s="39">
        <f t="shared" si="97"/>
        <v>3.6876555729703497E-4</v>
      </c>
      <c r="H786" s="64">
        <f t="shared" ref="H786:H849" si="99">IF($D785&lt;=1850,0.9,IF(AND($D785&lt;=1900,$D785&gt;1850),0.7,IF(AND($D785&lt;=1950,$D785&gt;1900),0.5,IF(AND($D785&lt;=2000,$D785&gt;1950),0.3,IF($D785&gt;2000,0.2,0)))))</f>
        <v>0.5</v>
      </c>
      <c r="I786" s="65">
        <f t="shared" ref="I786:I849" si="100">IF($D785&lt;=1850,1,IF(AND($D785&lt;=1900,$D785&gt;1850),0.9,IF(AND($D785&lt;=1950,$D785&gt;1900),0.7,IF(AND($D785&lt;=2000,$D785&gt;1950),0.5,IF($D785&gt;2000,0.3,0)))))</f>
        <v>0.7</v>
      </c>
      <c r="J786" s="66">
        <v>0.5</v>
      </c>
      <c r="K786" s="65">
        <f t="shared" si="98"/>
        <v>0.5</v>
      </c>
      <c r="L786" s="28">
        <f t="shared" ref="L786:L849" si="101">E785*J786+F785*K786</f>
        <v>-1.4482701153714639E-3</v>
      </c>
      <c r="M786" s="71">
        <f t="shared" si="96"/>
        <v>-9.9695212979800107E-4</v>
      </c>
      <c r="N786" s="50">
        <v>41149</v>
      </c>
      <c r="O786" s="77">
        <f t="shared" ref="O786:O849" si="102">O785+M786</f>
        <v>0.44265191023132666</v>
      </c>
      <c r="P786" s="39">
        <f t="shared" ref="P786:P849" si="103">D786/$D$16-1</f>
        <v>0.2486349479390646</v>
      </c>
    </row>
    <row r="787" spans="1:16" x14ac:dyDescent="0.3">
      <c r="A787" s="17">
        <v>41150</v>
      </c>
      <c r="B787" s="13">
        <v>25480</v>
      </c>
      <c r="C787" s="13">
        <v>54275</v>
      </c>
      <c r="D787" s="14">
        <v>1928.54</v>
      </c>
      <c r="E787" s="28">
        <f t="shared" si="97"/>
        <v>5.7233076771265878E-3</v>
      </c>
      <c r="F787" s="39">
        <f t="shared" si="97"/>
        <v>3.6862961938988192E-4</v>
      </c>
      <c r="H787" s="64">
        <f t="shared" si="99"/>
        <v>0.5</v>
      </c>
      <c r="I787" s="65">
        <f t="shared" si="100"/>
        <v>0.7</v>
      </c>
      <c r="J787" s="66">
        <v>0.5</v>
      </c>
      <c r="K787" s="65">
        <f t="shared" si="98"/>
        <v>0.5</v>
      </c>
      <c r="L787" s="28">
        <f t="shared" si="101"/>
        <v>-9.9695212979800107E-4</v>
      </c>
      <c r="M787" s="71">
        <f t="shared" si="96"/>
        <v>3.0459686482582349E-3</v>
      </c>
      <c r="N787" s="51">
        <v>41150</v>
      </c>
      <c r="O787" s="77">
        <f t="shared" si="102"/>
        <v>0.4456978788795849</v>
      </c>
      <c r="P787" s="39">
        <f t="shared" si="103"/>
        <v>0.25659069288609149</v>
      </c>
    </row>
    <row r="788" spans="1:16" x14ac:dyDescent="0.3">
      <c r="A788" s="17">
        <v>41151</v>
      </c>
      <c r="B788" s="13">
        <v>25145</v>
      </c>
      <c r="C788" s="13">
        <v>54300</v>
      </c>
      <c r="D788" s="14">
        <v>1906.38</v>
      </c>
      <c r="E788" s="28">
        <f t="shared" si="97"/>
        <v>-1.3147566718995307E-2</v>
      </c>
      <c r="F788" s="39">
        <f t="shared" si="97"/>
        <v>4.606172270842368E-4</v>
      </c>
      <c r="H788" s="64">
        <f t="shared" si="99"/>
        <v>0.5</v>
      </c>
      <c r="I788" s="65">
        <f t="shared" si="100"/>
        <v>0.7</v>
      </c>
      <c r="J788" s="66">
        <v>0.7</v>
      </c>
      <c r="K788" s="65">
        <f t="shared" si="98"/>
        <v>0.30000000000000004</v>
      </c>
      <c r="L788" s="28">
        <f t="shared" si="101"/>
        <v>4.1169042598055766E-3</v>
      </c>
      <c r="M788" s="71">
        <f t="shared" ref="M788:M851" si="104">E788*J788+F788*K788</f>
        <v>-9.0651115351714426E-3</v>
      </c>
      <c r="N788" s="51">
        <v>41151</v>
      </c>
      <c r="O788" s="77">
        <f t="shared" si="102"/>
        <v>0.43663276734441347</v>
      </c>
      <c r="P788" s="39">
        <f t="shared" si="103"/>
        <v>0.24215176511982484</v>
      </c>
    </row>
    <row r="789" spans="1:16" x14ac:dyDescent="0.3">
      <c r="A789" s="18">
        <v>41152</v>
      </c>
      <c r="B789" s="15">
        <v>25075</v>
      </c>
      <c r="C789" s="15">
        <v>54335</v>
      </c>
      <c r="D789" s="70">
        <v>1905.12</v>
      </c>
      <c r="E789" s="71">
        <f t="shared" si="97"/>
        <v>-2.7838536488367094E-3</v>
      </c>
      <c r="F789" s="39">
        <f t="shared" si="97"/>
        <v>6.4456721915284731E-4</v>
      </c>
      <c r="H789" s="64">
        <f t="shared" si="99"/>
        <v>0.5</v>
      </c>
      <c r="I789" s="65">
        <f t="shared" si="100"/>
        <v>0.7</v>
      </c>
      <c r="J789" s="66">
        <v>0.5</v>
      </c>
      <c r="K789" s="65">
        <f t="shared" si="98"/>
        <v>0.5</v>
      </c>
      <c r="L789" s="28">
        <f t="shared" si="101"/>
        <v>-6.3434747459555352E-3</v>
      </c>
      <c r="M789" s="71">
        <f t="shared" si="104"/>
        <v>-1.069643214841931E-3</v>
      </c>
      <c r="N789" s="50">
        <v>41152</v>
      </c>
      <c r="O789" s="77">
        <f t="shared" si="102"/>
        <v>0.43556312412957154</v>
      </c>
      <c r="P789" s="39">
        <f t="shared" si="103"/>
        <v>0.24133077915477541</v>
      </c>
    </row>
    <row r="790" spans="1:16" x14ac:dyDescent="0.3">
      <c r="A790" s="17">
        <v>41155</v>
      </c>
      <c r="B790" s="13">
        <v>25160</v>
      </c>
      <c r="C790" s="13">
        <v>54380</v>
      </c>
      <c r="D790" s="14">
        <v>1912.71</v>
      </c>
      <c r="E790" s="28">
        <f t="shared" si="97"/>
        <v>3.3898305084745228E-3</v>
      </c>
      <c r="F790" s="39">
        <f t="shared" si="97"/>
        <v>8.2819545412715634E-4</v>
      </c>
      <c r="H790" s="64">
        <f t="shared" si="99"/>
        <v>0.5</v>
      </c>
      <c r="I790" s="65">
        <f t="shared" si="100"/>
        <v>0.7</v>
      </c>
      <c r="J790" s="66">
        <v>0.5</v>
      </c>
      <c r="K790" s="65">
        <f t="shared" si="98"/>
        <v>0.5</v>
      </c>
      <c r="L790" s="28">
        <f t="shared" si="101"/>
        <v>-1.069643214841931E-3</v>
      </c>
      <c r="M790" s="71">
        <f t="shared" si="104"/>
        <v>2.1090129813008396E-3</v>
      </c>
      <c r="N790" s="51">
        <v>41155</v>
      </c>
      <c r="O790" s="77">
        <f t="shared" si="102"/>
        <v>0.43767213711087238</v>
      </c>
      <c r="P790" s="39">
        <f t="shared" si="103"/>
        <v>0.24627624222995426</v>
      </c>
    </row>
    <row r="791" spans="1:16" x14ac:dyDescent="0.3">
      <c r="A791" s="18">
        <v>41156</v>
      </c>
      <c r="B791" s="15">
        <v>25075</v>
      </c>
      <c r="C791" s="15">
        <v>54375</v>
      </c>
      <c r="D791" s="16">
        <v>1907.13</v>
      </c>
      <c r="E791" s="28">
        <f t="shared" si="97"/>
        <v>-3.3783783783783994E-3</v>
      </c>
      <c r="F791" s="39">
        <f t="shared" si="97"/>
        <v>-9.194556822356148E-5</v>
      </c>
      <c r="H791" s="64">
        <f t="shared" si="99"/>
        <v>0.5</v>
      </c>
      <c r="I791" s="65">
        <f t="shared" si="100"/>
        <v>0.7</v>
      </c>
      <c r="J791" s="66">
        <v>0.7</v>
      </c>
      <c r="K791" s="65">
        <f t="shared" si="98"/>
        <v>0.30000000000000004</v>
      </c>
      <c r="L791" s="28">
        <f t="shared" si="101"/>
        <v>2.6213399921703128E-3</v>
      </c>
      <c r="M791" s="71">
        <f t="shared" si="104"/>
        <v>-2.3924485353319478E-3</v>
      </c>
      <c r="N791" s="50">
        <v>41156</v>
      </c>
      <c r="O791" s="77">
        <f t="shared" si="102"/>
        <v>0.43527968857554045</v>
      </c>
      <c r="P791" s="39">
        <f t="shared" si="103"/>
        <v>0.24264044724187817</v>
      </c>
    </row>
    <row r="792" spans="1:16" x14ac:dyDescent="0.3">
      <c r="A792" s="17">
        <v>41157</v>
      </c>
      <c r="B792" s="13">
        <v>24605</v>
      </c>
      <c r="C792" s="13">
        <v>54375</v>
      </c>
      <c r="D792" s="14">
        <v>1874.03</v>
      </c>
      <c r="E792" s="28">
        <f t="shared" si="97"/>
        <v>-1.874376869391825E-2</v>
      </c>
      <c r="F792" s="39">
        <f t="shared" si="97"/>
        <v>0</v>
      </c>
      <c r="H792" s="64">
        <f t="shared" si="99"/>
        <v>0.5</v>
      </c>
      <c r="I792" s="65">
        <f t="shared" si="100"/>
        <v>0.7</v>
      </c>
      <c r="J792" s="66">
        <v>0.5</v>
      </c>
      <c r="K792" s="65">
        <f t="shared" si="98"/>
        <v>0.5</v>
      </c>
      <c r="L792" s="28">
        <f t="shared" si="101"/>
        <v>-1.7351619733009804E-3</v>
      </c>
      <c r="M792" s="71">
        <f t="shared" si="104"/>
        <v>-9.3718843469591251E-3</v>
      </c>
      <c r="N792" s="51">
        <v>41157</v>
      </c>
      <c r="O792" s="77">
        <f t="shared" si="102"/>
        <v>0.42590780422858132</v>
      </c>
      <c r="P792" s="39">
        <f t="shared" si="103"/>
        <v>0.22107327625526141</v>
      </c>
    </row>
    <row r="793" spans="1:16" x14ac:dyDescent="0.3">
      <c r="A793" s="17">
        <v>41158</v>
      </c>
      <c r="B793" s="13">
        <v>24705</v>
      </c>
      <c r="C793" s="13">
        <v>54385</v>
      </c>
      <c r="D793" s="14">
        <v>1881.24</v>
      </c>
      <c r="E793" s="28">
        <f t="shared" si="97"/>
        <v>4.0642145905303018E-3</v>
      </c>
      <c r="F793" s="39">
        <f t="shared" si="97"/>
        <v>1.839080459771214E-4</v>
      </c>
      <c r="H793" s="64">
        <f t="shared" si="99"/>
        <v>0.7</v>
      </c>
      <c r="I793" s="65">
        <f t="shared" si="100"/>
        <v>0.9</v>
      </c>
      <c r="J793" s="66">
        <v>0.7</v>
      </c>
      <c r="K793" s="65">
        <f t="shared" si="98"/>
        <v>0.30000000000000004</v>
      </c>
      <c r="L793" s="28">
        <f t="shared" si="101"/>
        <v>-1.3120638085742774E-2</v>
      </c>
      <c r="M793" s="71">
        <f t="shared" si="104"/>
        <v>2.9001226271643476E-3</v>
      </c>
      <c r="N793" s="51">
        <v>41158</v>
      </c>
      <c r="O793" s="77">
        <f t="shared" si="102"/>
        <v>0.42880792685574565</v>
      </c>
      <c r="P793" s="39">
        <f t="shared" si="103"/>
        <v>0.22577114038860002</v>
      </c>
    </row>
    <row r="794" spans="1:16" x14ac:dyDescent="0.3">
      <c r="A794" s="18">
        <v>41159</v>
      </c>
      <c r="B794" s="15">
        <v>25445</v>
      </c>
      <c r="C794" s="15">
        <v>54295</v>
      </c>
      <c r="D794" s="70">
        <v>1929.58</v>
      </c>
      <c r="E794" s="71">
        <f t="shared" si="97"/>
        <v>2.9953450718477992E-2</v>
      </c>
      <c r="F794" s="39">
        <f t="shared" si="97"/>
        <v>-1.6548680702399565E-3</v>
      </c>
      <c r="H794" s="64">
        <f t="shared" si="99"/>
        <v>0.7</v>
      </c>
      <c r="I794" s="65">
        <f t="shared" si="100"/>
        <v>0.9</v>
      </c>
      <c r="J794" s="66">
        <v>0.9</v>
      </c>
      <c r="K794" s="65">
        <f t="shared" si="98"/>
        <v>9.9999999999999978E-2</v>
      </c>
      <c r="L794" s="28">
        <f t="shared" si="101"/>
        <v>3.676183936074984E-3</v>
      </c>
      <c r="M794" s="71">
        <f t="shared" si="104"/>
        <v>2.6792618839606198E-2</v>
      </c>
      <c r="N794" s="50">
        <v>41159</v>
      </c>
      <c r="O794" s="77">
        <f t="shared" si="102"/>
        <v>0.45560054569535186</v>
      </c>
      <c r="P794" s="39">
        <f t="shared" si="103"/>
        <v>0.25726833209533861</v>
      </c>
    </row>
    <row r="795" spans="1:16" x14ac:dyDescent="0.3">
      <c r="A795" s="17">
        <v>41162</v>
      </c>
      <c r="B795" s="13">
        <v>25395</v>
      </c>
      <c r="C795" s="13">
        <v>54310</v>
      </c>
      <c r="D795" s="14">
        <v>1924.7</v>
      </c>
      <c r="E795" s="28">
        <f t="shared" si="97"/>
        <v>-1.9650225977598801E-3</v>
      </c>
      <c r="F795" s="39">
        <f t="shared" si="97"/>
        <v>2.7626853301399024E-4</v>
      </c>
      <c r="H795" s="64">
        <f t="shared" si="99"/>
        <v>0.5</v>
      </c>
      <c r="I795" s="65">
        <f t="shared" si="100"/>
        <v>0.7</v>
      </c>
      <c r="J795" s="66">
        <v>0.7</v>
      </c>
      <c r="K795" s="65">
        <f t="shared" si="98"/>
        <v>0.30000000000000004</v>
      </c>
      <c r="L795" s="28">
        <f t="shared" si="101"/>
        <v>2.0470955081862606E-2</v>
      </c>
      <c r="M795" s="71">
        <f t="shared" si="104"/>
        <v>-1.2926352585277189E-3</v>
      </c>
      <c r="N795" s="51">
        <v>41162</v>
      </c>
      <c r="O795" s="77">
        <f t="shared" si="102"/>
        <v>0.45430791043682411</v>
      </c>
      <c r="P795" s="39">
        <f t="shared" si="103"/>
        <v>0.25408864042117885</v>
      </c>
    </row>
    <row r="796" spans="1:16" x14ac:dyDescent="0.3">
      <c r="A796" s="18">
        <v>41163</v>
      </c>
      <c r="B796" s="15">
        <v>25285</v>
      </c>
      <c r="C796" s="15">
        <v>54090</v>
      </c>
      <c r="D796" s="16">
        <v>1920</v>
      </c>
      <c r="E796" s="28">
        <f t="shared" si="97"/>
        <v>-4.3315613309706791E-3</v>
      </c>
      <c r="F796" s="39">
        <f t="shared" si="97"/>
        <v>-4.050819370281733E-3</v>
      </c>
      <c r="H796" s="64">
        <f t="shared" si="99"/>
        <v>0.5</v>
      </c>
      <c r="I796" s="65">
        <f t="shared" si="100"/>
        <v>0.7</v>
      </c>
      <c r="J796" s="66">
        <v>0.5</v>
      </c>
      <c r="K796" s="65">
        <f t="shared" si="98"/>
        <v>0.5</v>
      </c>
      <c r="L796" s="28">
        <f t="shared" si="101"/>
        <v>-8.4437703237294492E-4</v>
      </c>
      <c r="M796" s="71">
        <f t="shared" si="104"/>
        <v>-4.191190350626206E-3</v>
      </c>
      <c r="N796" s="50">
        <v>41163</v>
      </c>
      <c r="O796" s="77">
        <f t="shared" si="102"/>
        <v>0.45011672008619791</v>
      </c>
      <c r="P796" s="39">
        <f t="shared" si="103"/>
        <v>0.25102623245631173</v>
      </c>
    </row>
    <row r="797" spans="1:16" x14ac:dyDescent="0.3">
      <c r="A797" s="17">
        <v>41164</v>
      </c>
      <c r="B797" s="13">
        <v>25730</v>
      </c>
      <c r="C797" s="13">
        <v>54030</v>
      </c>
      <c r="D797" s="14">
        <v>1950.03</v>
      </c>
      <c r="E797" s="28">
        <f t="shared" si="97"/>
        <v>1.7599367213763095E-2</v>
      </c>
      <c r="F797" s="39">
        <f t="shared" si="97"/>
        <v>-1.1092623405435376E-3</v>
      </c>
      <c r="H797" s="64">
        <f t="shared" si="99"/>
        <v>0.5</v>
      </c>
      <c r="I797" s="65">
        <f t="shared" si="100"/>
        <v>0.7</v>
      </c>
      <c r="J797" s="66">
        <v>0.5</v>
      </c>
      <c r="K797" s="65">
        <f t="shared" si="98"/>
        <v>0.5</v>
      </c>
      <c r="L797" s="28">
        <f t="shared" si="101"/>
        <v>-4.191190350626206E-3</v>
      </c>
      <c r="M797" s="71">
        <f t="shared" si="104"/>
        <v>8.2450524366097788E-3</v>
      </c>
      <c r="N797" s="51">
        <v>41164</v>
      </c>
      <c r="O797" s="77">
        <f t="shared" si="102"/>
        <v>0.45836177252280769</v>
      </c>
      <c r="P797" s="39">
        <f t="shared" si="103"/>
        <v>0.27059306462332389</v>
      </c>
    </row>
    <row r="798" spans="1:16" x14ac:dyDescent="0.3">
      <c r="A798" s="17">
        <v>41165</v>
      </c>
      <c r="B798" s="13">
        <v>25750</v>
      </c>
      <c r="C798" s="13">
        <v>53935</v>
      </c>
      <c r="D798" s="14">
        <v>1950.69</v>
      </c>
      <c r="E798" s="28">
        <f t="shared" si="97"/>
        <v>7.7730275942489158E-4</v>
      </c>
      <c r="F798" s="39">
        <f t="shared" si="97"/>
        <v>-1.7582824356838778E-3</v>
      </c>
      <c r="H798" s="64">
        <f t="shared" si="99"/>
        <v>0.3</v>
      </c>
      <c r="I798" s="65">
        <f t="shared" si="100"/>
        <v>0.5</v>
      </c>
      <c r="J798" s="66">
        <v>0.5</v>
      </c>
      <c r="K798" s="65">
        <f t="shared" si="98"/>
        <v>0.5</v>
      </c>
      <c r="L798" s="28">
        <f t="shared" si="101"/>
        <v>8.2450524366097788E-3</v>
      </c>
      <c r="M798" s="71">
        <f t="shared" si="104"/>
        <v>-4.9048983812949309E-4</v>
      </c>
      <c r="N798" s="51">
        <v>41165</v>
      </c>
      <c r="O798" s="77">
        <f t="shared" si="102"/>
        <v>0.45787128268467819</v>
      </c>
      <c r="P798" s="39">
        <f t="shared" si="103"/>
        <v>0.27102310489073078</v>
      </c>
    </row>
    <row r="799" spans="1:16" x14ac:dyDescent="0.3">
      <c r="A799" s="18">
        <v>41166</v>
      </c>
      <c r="B799" s="15">
        <v>26560</v>
      </c>
      <c r="C799" s="15">
        <v>53980</v>
      </c>
      <c r="D799" s="70">
        <v>2007.58</v>
      </c>
      <c r="E799" s="71">
        <f t="shared" si="97"/>
        <v>3.1456310679611743E-2</v>
      </c>
      <c r="F799" s="39">
        <f t="shared" si="97"/>
        <v>8.3433762862705763E-4</v>
      </c>
      <c r="H799" s="64">
        <f t="shared" si="99"/>
        <v>0.3</v>
      </c>
      <c r="I799" s="65">
        <f t="shared" si="100"/>
        <v>0.5</v>
      </c>
      <c r="J799" s="66">
        <v>0.5</v>
      </c>
      <c r="K799" s="65">
        <f t="shared" si="98"/>
        <v>0.5</v>
      </c>
      <c r="L799" s="28">
        <f t="shared" si="101"/>
        <v>-4.9048983812949309E-4</v>
      </c>
      <c r="M799" s="71">
        <f t="shared" si="104"/>
        <v>1.61453241541194E-2</v>
      </c>
      <c r="N799" s="50">
        <v>41166</v>
      </c>
      <c r="O799" s="77">
        <f t="shared" si="102"/>
        <v>0.47401660683879759</v>
      </c>
      <c r="P799" s="39">
        <f t="shared" si="103"/>
        <v>0.30809127278887627</v>
      </c>
    </row>
    <row r="800" spans="1:16" x14ac:dyDescent="0.3">
      <c r="A800" s="17">
        <v>41169</v>
      </c>
      <c r="B800" s="13">
        <v>26460</v>
      </c>
      <c r="C800" s="13">
        <v>53905</v>
      </c>
      <c r="D800" s="14">
        <v>2002.35</v>
      </c>
      <c r="E800" s="28">
        <f t="shared" si="97"/>
        <v>-3.7650602409639022E-3</v>
      </c>
      <c r="F800" s="39">
        <f t="shared" si="97"/>
        <v>-1.3894034827713897E-3</v>
      </c>
      <c r="H800" s="64">
        <f t="shared" si="99"/>
        <v>0.2</v>
      </c>
      <c r="I800" s="65">
        <f t="shared" si="100"/>
        <v>0.3</v>
      </c>
      <c r="J800" s="66">
        <v>0.3</v>
      </c>
      <c r="K800" s="65">
        <f t="shared" si="98"/>
        <v>0.7</v>
      </c>
      <c r="L800" s="28">
        <f t="shared" si="101"/>
        <v>1.0020929543922464E-2</v>
      </c>
      <c r="M800" s="71">
        <f t="shared" si="104"/>
        <v>-2.1021005102291436E-3</v>
      </c>
      <c r="N800" s="51">
        <v>41169</v>
      </c>
      <c r="O800" s="77">
        <f t="shared" si="102"/>
        <v>0.47191450632856846</v>
      </c>
      <c r="P800" s="39">
        <f t="shared" si="103"/>
        <v>0.30468352945775834</v>
      </c>
    </row>
    <row r="801" spans="1:16" x14ac:dyDescent="0.3">
      <c r="A801" s="18">
        <v>41170</v>
      </c>
      <c r="B801" s="15">
        <v>26465</v>
      </c>
      <c r="C801" s="15">
        <v>53940</v>
      </c>
      <c r="D801" s="16">
        <v>2004.96</v>
      </c>
      <c r="E801" s="28">
        <f t="shared" si="97"/>
        <v>1.8896447467886546E-4</v>
      </c>
      <c r="F801" s="39">
        <f t="shared" si="97"/>
        <v>6.4929041832861856E-4</v>
      </c>
      <c r="H801" s="64">
        <f t="shared" si="99"/>
        <v>0.2</v>
      </c>
      <c r="I801" s="65">
        <f t="shared" si="100"/>
        <v>0.3</v>
      </c>
      <c r="J801" s="66">
        <v>0.2</v>
      </c>
      <c r="K801" s="65">
        <f t="shared" si="98"/>
        <v>0.8</v>
      </c>
      <c r="L801" s="28">
        <f t="shared" si="101"/>
        <v>-1.8645348344098922E-3</v>
      </c>
      <c r="M801" s="71">
        <f t="shared" si="104"/>
        <v>5.5722522959866794E-4</v>
      </c>
      <c r="N801" s="50">
        <v>41170</v>
      </c>
      <c r="O801" s="77">
        <f t="shared" si="102"/>
        <v>0.47247173155816713</v>
      </c>
      <c r="P801" s="39">
        <f t="shared" si="103"/>
        <v>0.30638414324250363</v>
      </c>
    </row>
    <row r="802" spans="1:16" x14ac:dyDescent="0.3">
      <c r="A802" s="17">
        <v>41171</v>
      </c>
      <c r="B802" s="13">
        <v>26530</v>
      </c>
      <c r="C802" s="13">
        <v>53935</v>
      </c>
      <c r="D802" s="14">
        <v>2007.88</v>
      </c>
      <c r="E802" s="28">
        <f t="shared" si="97"/>
        <v>2.4560740600794162E-3</v>
      </c>
      <c r="F802" s="39">
        <f t="shared" si="97"/>
        <v>-9.2695587689983761E-5</v>
      </c>
      <c r="H802" s="64">
        <f t="shared" si="99"/>
        <v>0.2</v>
      </c>
      <c r="I802" s="65">
        <f t="shared" si="100"/>
        <v>0.3</v>
      </c>
      <c r="J802" s="66">
        <v>0.2</v>
      </c>
      <c r="K802" s="65">
        <f t="shared" si="98"/>
        <v>0.8</v>
      </c>
      <c r="L802" s="28">
        <f t="shared" si="101"/>
        <v>5.5722522959866794E-4</v>
      </c>
      <c r="M802" s="71">
        <f t="shared" si="104"/>
        <v>4.1705834186389623E-4</v>
      </c>
      <c r="N802" s="51">
        <v>41171</v>
      </c>
      <c r="O802" s="77">
        <f t="shared" si="102"/>
        <v>0.47288878990003103</v>
      </c>
      <c r="P802" s="39">
        <f t="shared" si="103"/>
        <v>0.30828674563769765</v>
      </c>
    </row>
    <row r="803" spans="1:16" x14ac:dyDescent="0.3">
      <c r="A803" s="17">
        <v>41172</v>
      </c>
      <c r="B803" s="13">
        <v>26305</v>
      </c>
      <c r="C803" s="13">
        <v>54005</v>
      </c>
      <c r="D803" s="14">
        <v>1990.33</v>
      </c>
      <c r="E803" s="28">
        <f t="shared" si="97"/>
        <v>-8.4809649453448932E-3</v>
      </c>
      <c r="F803" s="39">
        <f t="shared" si="97"/>
        <v>1.2978585334197934E-3</v>
      </c>
      <c r="H803" s="64">
        <f t="shared" si="99"/>
        <v>0.2</v>
      </c>
      <c r="I803" s="65">
        <f t="shared" si="100"/>
        <v>0.3</v>
      </c>
      <c r="J803" s="66">
        <v>0.3</v>
      </c>
      <c r="K803" s="65">
        <f t="shared" si="98"/>
        <v>0.7</v>
      </c>
      <c r="L803" s="28">
        <f t="shared" si="101"/>
        <v>6.7193530664083623E-4</v>
      </c>
      <c r="M803" s="71">
        <f t="shared" si="104"/>
        <v>-1.6357885102096126E-3</v>
      </c>
      <c r="N803" s="51">
        <v>41172</v>
      </c>
      <c r="O803" s="77">
        <f t="shared" si="102"/>
        <v>0.4712530013898214</v>
      </c>
      <c r="P803" s="39">
        <f t="shared" si="103"/>
        <v>0.29685158398165146</v>
      </c>
    </row>
    <row r="804" spans="1:16" x14ac:dyDescent="0.3">
      <c r="A804" s="18">
        <v>41173</v>
      </c>
      <c r="B804" s="15">
        <v>26390</v>
      </c>
      <c r="C804" s="15">
        <v>54040</v>
      </c>
      <c r="D804" s="70">
        <v>2002.37</v>
      </c>
      <c r="E804" s="71">
        <f t="shared" si="97"/>
        <v>3.2313248431856678E-3</v>
      </c>
      <c r="F804" s="39">
        <f t="shared" si="97"/>
        <v>6.480881399870686E-4</v>
      </c>
      <c r="H804" s="64">
        <f t="shared" si="99"/>
        <v>0.3</v>
      </c>
      <c r="I804" s="65">
        <f t="shared" si="100"/>
        <v>0.5</v>
      </c>
      <c r="J804" s="66">
        <v>0.3</v>
      </c>
      <c r="K804" s="65">
        <f t="shared" si="98"/>
        <v>0.7</v>
      </c>
      <c r="L804" s="28">
        <f t="shared" si="101"/>
        <v>-1.6357885102096126E-3</v>
      </c>
      <c r="M804" s="71">
        <f t="shared" si="104"/>
        <v>1.4230591509466484E-3</v>
      </c>
      <c r="N804" s="50">
        <v>41173</v>
      </c>
      <c r="O804" s="77">
        <f t="shared" si="102"/>
        <v>0.47267606054076805</v>
      </c>
      <c r="P804" s="39">
        <f t="shared" si="103"/>
        <v>0.30469656098101305</v>
      </c>
    </row>
    <row r="805" spans="1:16" x14ac:dyDescent="0.3">
      <c r="A805" s="17">
        <v>41176</v>
      </c>
      <c r="B805" s="13">
        <v>26400</v>
      </c>
      <c r="C805" s="13">
        <v>54065</v>
      </c>
      <c r="D805" s="14">
        <v>2003.44</v>
      </c>
      <c r="E805" s="28">
        <f t="shared" si="97"/>
        <v>3.7893141341416303E-4</v>
      </c>
      <c r="F805" s="39">
        <f t="shared" si="97"/>
        <v>4.626202812731961E-4</v>
      </c>
      <c r="H805" s="64">
        <f t="shared" si="99"/>
        <v>0.2</v>
      </c>
      <c r="I805" s="65">
        <f t="shared" si="100"/>
        <v>0.3</v>
      </c>
      <c r="J805" s="66">
        <v>0.3</v>
      </c>
      <c r="K805" s="65">
        <f t="shared" si="98"/>
        <v>0.7</v>
      </c>
      <c r="L805" s="28">
        <f t="shared" si="101"/>
        <v>1.4230591509466484E-3</v>
      </c>
      <c r="M805" s="71">
        <f t="shared" si="104"/>
        <v>4.3751362091548618E-4</v>
      </c>
      <c r="N805" s="51">
        <v>41176</v>
      </c>
      <c r="O805" s="77">
        <f t="shared" si="102"/>
        <v>0.47311357416168354</v>
      </c>
      <c r="P805" s="39">
        <f t="shared" si="103"/>
        <v>0.30539374747514247</v>
      </c>
    </row>
    <row r="806" spans="1:16" x14ac:dyDescent="0.3">
      <c r="A806" s="18">
        <v>41177</v>
      </c>
      <c r="B806" s="15">
        <v>26305</v>
      </c>
      <c r="C806" s="15">
        <v>54080</v>
      </c>
      <c r="D806" s="16">
        <v>1991.41</v>
      </c>
      <c r="E806" s="28">
        <f t="shared" si="97"/>
        <v>-3.5984848484847953E-3</v>
      </c>
      <c r="F806" s="39">
        <f t="shared" si="97"/>
        <v>2.7744381762695447E-4</v>
      </c>
      <c r="H806" s="64">
        <f t="shared" si="99"/>
        <v>0.2</v>
      </c>
      <c r="I806" s="65">
        <f t="shared" si="100"/>
        <v>0.3</v>
      </c>
      <c r="J806" s="66">
        <v>0.2</v>
      </c>
      <c r="K806" s="65">
        <f t="shared" si="98"/>
        <v>0.8</v>
      </c>
      <c r="L806" s="28">
        <f t="shared" si="101"/>
        <v>4.4588250770138949E-4</v>
      </c>
      <c r="M806" s="71">
        <f t="shared" si="104"/>
        <v>-4.9774191559539562E-4</v>
      </c>
      <c r="N806" s="50">
        <v>41177</v>
      </c>
      <c r="O806" s="77">
        <f t="shared" si="102"/>
        <v>0.47261583224608816</v>
      </c>
      <c r="P806" s="39">
        <f t="shared" si="103"/>
        <v>0.29755528623740823</v>
      </c>
    </row>
    <row r="807" spans="1:16" x14ac:dyDescent="0.3">
      <c r="A807" s="17">
        <v>41178</v>
      </c>
      <c r="B807" s="13">
        <v>26070</v>
      </c>
      <c r="C807" s="13">
        <v>54110</v>
      </c>
      <c r="D807" s="14">
        <v>1980.44</v>
      </c>
      <c r="E807" s="28">
        <f t="shared" si="97"/>
        <v>-8.9336628017486763E-3</v>
      </c>
      <c r="F807" s="39">
        <f t="shared" si="97"/>
        <v>5.5473372781067454E-4</v>
      </c>
      <c r="H807" s="64">
        <f t="shared" si="99"/>
        <v>0.3</v>
      </c>
      <c r="I807" s="65">
        <f t="shared" si="100"/>
        <v>0.5</v>
      </c>
      <c r="J807" s="66">
        <v>0.3</v>
      </c>
      <c r="K807" s="65">
        <f t="shared" si="98"/>
        <v>0.7</v>
      </c>
      <c r="L807" s="28">
        <f t="shared" si="101"/>
        <v>-8.8533478220657034E-4</v>
      </c>
      <c r="M807" s="71">
        <f t="shared" si="104"/>
        <v>-2.2917852310571306E-3</v>
      </c>
      <c r="N807" s="51">
        <v>41178</v>
      </c>
      <c r="O807" s="77">
        <f t="shared" si="102"/>
        <v>0.47032404701503105</v>
      </c>
      <c r="P807" s="39">
        <f t="shared" si="103"/>
        <v>0.29040749573217606</v>
      </c>
    </row>
    <row r="808" spans="1:16" x14ac:dyDescent="0.3">
      <c r="A808" s="17">
        <v>41179</v>
      </c>
      <c r="B808" s="13">
        <v>26265</v>
      </c>
      <c r="C808" s="13">
        <v>54100</v>
      </c>
      <c r="D808" s="14">
        <v>1988.7</v>
      </c>
      <c r="E808" s="28">
        <f t="shared" si="97"/>
        <v>7.4798619102416364E-3</v>
      </c>
      <c r="F808" s="39">
        <f t="shared" si="97"/>
        <v>-1.8480872297177431E-4</v>
      </c>
      <c r="H808" s="64">
        <f t="shared" si="99"/>
        <v>0.3</v>
      </c>
      <c r="I808" s="65">
        <f t="shared" si="100"/>
        <v>0.5</v>
      </c>
      <c r="J808" s="66">
        <v>0.3</v>
      </c>
      <c r="K808" s="65">
        <f t="shared" si="98"/>
        <v>0.7</v>
      </c>
      <c r="L808" s="28">
        <f t="shared" si="101"/>
        <v>-2.2917852310571306E-3</v>
      </c>
      <c r="M808" s="71">
        <f t="shared" si="104"/>
        <v>2.1145924669922489E-3</v>
      </c>
      <c r="N808" s="51">
        <v>41179</v>
      </c>
      <c r="O808" s="77">
        <f t="shared" si="102"/>
        <v>0.4724386394820233</v>
      </c>
      <c r="P808" s="39">
        <f t="shared" si="103"/>
        <v>0.29578951483638916</v>
      </c>
    </row>
    <row r="809" spans="1:16" x14ac:dyDescent="0.3">
      <c r="A809" s="18">
        <v>41180</v>
      </c>
      <c r="B809" s="15">
        <v>26310</v>
      </c>
      <c r="C809" s="15">
        <v>54125</v>
      </c>
      <c r="D809" s="70">
        <v>1996.21</v>
      </c>
      <c r="E809" s="71">
        <f t="shared" si="97"/>
        <v>1.7133066818959541E-3</v>
      </c>
      <c r="F809" s="39">
        <f t="shared" si="97"/>
        <v>4.6210720887240875E-4</v>
      </c>
      <c r="H809" s="64">
        <f t="shared" si="99"/>
        <v>0.3</v>
      </c>
      <c r="I809" s="65">
        <f t="shared" si="100"/>
        <v>0.5</v>
      </c>
      <c r="J809" s="66">
        <v>0.5</v>
      </c>
      <c r="K809" s="65">
        <f t="shared" si="98"/>
        <v>0.5</v>
      </c>
      <c r="L809" s="28">
        <f t="shared" si="101"/>
        <v>3.647526593634931E-3</v>
      </c>
      <c r="M809" s="71">
        <f t="shared" si="104"/>
        <v>1.0877069453841814E-3</v>
      </c>
      <c r="N809" s="50">
        <v>41180</v>
      </c>
      <c r="O809" s="77">
        <f t="shared" si="102"/>
        <v>0.47352634642740749</v>
      </c>
      <c r="P809" s="39">
        <f t="shared" si="103"/>
        <v>0.30068285181854915</v>
      </c>
    </row>
    <row r="810" spans="1:16" x14ac:dyDescent="0.3">
      <c r="A810" s="17">
        <v>41184</v>
      </c>
      <c r="B810" s="13">
        <v>26285</v>
      </c>
      <c r="C810" s="13">
        <v>54140</v>
      </c>
      <c r="D810" s="14">
        <v>1996.03</v>
      </c>
      <c r="E810" s="28">
        <f t="shared" si="97"/>
        <v>-9.5020904599008027E-4</v>
      </c>
      <c r="F810" s="39">
        <f t="shared" si="97"/>
        <v>2.7713625866043756E-4</v>
      </c>
      <c r="H810" s="64">
        <f t="shared" si="99"/>
        <v>0.3</v>
      </c>
      <c r="I810" s="65">
        <f t="shared" si="100"/>
        <v>0.5</v>
      </c>
      <c r="J810" s="66">
        <v>0.5</v>
      </c>
      <c r="K810" s="65">
        <f t="shared" si="98"/>
        <v>0.5</v>
      </c>
      <c r="L810" s="28">
        <f t="shared" si="101"/>
        <v>1.0877069453841814E-3</v>
      </c>
      <c r="M810" s="71">
        <f t="shared" si="104"/>
        <v>-3.3653639366482135E-4</v>
      </c>
      <c r="N810" s="51">
        <v>41184</v>
      </c>
      <c r="O810" s="77">
        <f t="shared" si="102"/>
        <v>0.47318981003374266</v>
      </c>
      <c r="P810" s="39">
        <f t="shared" si="103"/>
        <v>0.30056556810925628</v>
      </c>
    </row>
    <row r="811" spans="1:16" x14ac:dyDescent="0.3">
      <c r="A811" s="18">
        <v>41186</v>
      </c>
      <c r="B811" s="15">
        <v>26240</v>
      </c>
      <c r="C811" s="15">
        <v>54205</v>
      </c>
      <c r="D811" s="16">
        <v>1992.68</v>
      </c>
      <c r="E811" s="28">
        <f t="shared" si="97"/>
        <v>-1.7120030435610056E-3</v>
      </c>
      <c r="F811" s="39">
        <f t="shared" si="97"/>
        <v>1.2005910602141956E-3</v>
      </c>
      <c r="H811" s="64">
        <f t="shared" si="99"/>
        <v>0.3</v>
      </c>
      <c r="I811" s="65">
        <f t="shared" si="100"/>
        <v>0.5</v>
      </c>
      <c r="J811" s="66">
        <v>0.3</v>
      </c>
      <c r="K811" s="65">
        <f t="shared" si="98"/>
        <v>0.7</v>
      </c>
      <c r="L811" s="28">
        <f t="shared" si="101"/>
        <v>-9.1067332734717804E-5</v>
      </c>
      <c r="M811" s="71">
        <f t="shared" si="104"/>
        <v>3.2681282908163527E-4</v>
      </c>
      <c r="N811" s="50">
        <v>41186</v>
      </c>
      <c r="O811" s="77">
        <f t="shared" si="102"/>
        <v>0.47351662286282431</v>
      </c>
      <c r="P811" s="39">
        <f t="shared" si="103"/>
        <v>0.29838278796408524</v>
      </c>
    </row>
    <row r="812" spans="1:16" x14ac:dyDescent="0.3">
      <c r="A812" s="17">
        <v>41187</v>
      </c>
      <c r="B812" s="13">
        <v>26260</v>
      </c>
      <c r="C812" s="13">
        <v>54215</v>
      </c>
      <c r="D812" s="14">
        <v>1995.17</v>
      </c>
      <c r="E812" s="28">
        <f t="shared" si="97"/>
        <v>7.6219512195119243E-4</v>
      </c>
      <c r="F812" s="39">
        <f t="shared" si="97"/>
        <v>1.8448482612298811E-4</v>
      </c>
      <c r="H812" s="64">
        <f t="shared" si="99"/>
        <v>0.3</v>
      </c>
      <c r="I812" s="65">
        <f t="shared" si="100"/>
        <v>0.5</v>
      </c>
      <c r="J812" s="66">
        <v>0.3</v>
      </c>
      <c r="K812" s="65">
        <f t="shared" si="98"/>
        <v>0.7</v>
      </c>
      <c r="L812" s="28">
        <f t="shared" si="101"/>
        <v>3.2681282908163527E-4</v>
      </c>
      <c r="M812" s="71">
        <f t="shared" si="104"/>
        <v>3.5779791487144941E-4</v>
      </c>
      <c r="N812" s="51">
        <v>41187</v>
      </c>
      <c r="O812" s="77">
        <f t="shared" si="102"/>
        <v>0.47387442077769576</v>
      </c>
      <c r="P812" s="39">
        <f t="shared" si="103"/>
        <v>0.30000521260930202</v>
      </c>
    </row>
    <row r="813" spans="1:16" x14ac:dyDescent="0.3">
      <c r="A813" s="17">
        <v>41190</v>
      </c>
      <c r="B813" s="13">
        <v>26080</v>
      </c>
      <c r="C813" s="13">
        <v>54210</v>
      </c>
      <c r="D813" s="14">
        <v>1981.89</v>
      </c>
      <c r="E813" s="28">
        <f t="shared" si="97"/>
        <v>-6.8545316070068862E-3</v>
      </c>
      <c r="F813" s="39">
        <f t="shared" si="97"/>
        <v>-9.2225398874878906E-5</v>
      </c>
      <c r="H813" s="64">
        <f t="shared" si="99"/>
        <v>0.3</v>
      </c>
      <c r="I813" s="65">
        <f t="shared" si="100"/>
        <v>0.5</v>
      </c>
      <c r="J813" s="66">
        <v>0.5</v>
      </c>
      <c r="K813" s="65">
        <f t="shared" si="98"/>
        <v>0.5</v>
      </c>
      <c r="L813" s="28">
        <f t="shared" si="101"/>
        <v>4.7333997403709027E-4</v>
      </c>
      <c r="M813" s="71">
        <f t="shared" si="104"/>
        <v>-3.4733785029408826E-3</v>
      </c>
      <c r="N813" s="51">
        <v>41190</v>
      </c>
      <c r="O813" s="77">
        <f t="shared" si="102"/>
        <v>0.47040104227475488</v>
      </c>
      <c r="P813" s="39">
        <f t="shared" si="103"/>
        <v>0.29135228116814571</v>
      </c>
    </row>
    <row r="814" spans="1:16" x14ac:dyDescent="0.3">
      <c r="A814" s="18">
        <v>41191</v>
      </c>
      <c r="B814" s="15">
        <v>26095</v>
      </c>
      <c r="C814" s="15">
        <v>54195</v>
      </c>
      <c r="D814" s="70">
        <v>1979.04</v>
      </c>
      <c r="E814" s="71">
        <f t="shared" si="97"/>
        <v>5.7515337423308388E-4</v>
      </c>
      <c r="F814" s="39">
        <f t="shared" si="97"/>
        <v>-2.7670171555060907E-4</v>
      </c>
      <c r="H814" s="64">
        <f t="shared" si="99"/>
        <v>0.3</v>
      </c>
      <c r="I814" s="65">
        <f t="shared" si="100"/>
        <v>0.5</v>
      </c>
      <c r="J814" s="66">
        <v>0.3</v>
      </c>
      <c r="K814" s="65">
        <f t="shared" si="98"/>
        <v>0.7</v>
      </c>
      <c r="L814" s="28">
        <f t="shared" si="101"/>
        <v>-2.1209172613144813E-3</v>
      </c>
      <c r="M814" s="71">
        <f t="shared" si="104"/>
        <v>-2.1145188615501176E-5</v>
      </c>
      <c r="N814" s="50">
        <v>41191</v>
      </c>
      <c r="O814" s="77">
        <f t="shared" si="102"/>
        <v>0.47037989708613936</v>
      </c>
      <c r="P814" s="39">
        <f t="shared" si="103"/>
        <v>0.28949528910434341</v>
      </c>
    </row>
    <row r="815" spans="1:16" x14ac:dyDescent="0.3">
      <c r="A815" s="17">
        <v>41192</v>
      </c>
      <c r="B815" s="13">
        <v>25590</v>
      </c>
      <c r="C815" s="13">
        <v>54285</v>
      </c>
      <c r="D815" s="14">
        <v>1948.22</v>
      </c>
      <c r="E815" s="28">
        <f t="shared" si="97"/>
        <v>-1.9352366353707628E-2</v>
      </c>
      <c r="F815" s="39">
        <f t="shared" si="97"/>
        <v>1.6606698034873357E-3</v>
      </c>
      <c r="H815" s="64">
        <f t="shared" si="99"/>
        <v>0.3</v>
      </c>
      <c r="I815" s="65">
        <f t="shared" si="100"/>
        <v>0.5</v>
      </c>
      <c r="J815" s="66">
        <v>0.5</v>
      </c>
      <c r="K815" s="65">
        <f t="shared" si="98"/>
        <v>0.5</v>
      </c>
      <c r="L815" s="28">
        <f t="shared" si="101"/>
        <v>1.492258293412374E-4</v>
      </c>
      <c r="M815" s="71">
        <f t="shared" si="104"/>
        <v>-8.8458482751101464E-3</v>
      </c>
      <c r="N815" s="51">
        <v>41192</v>
      </c>
      <c r="O815" s="77">
        <f t="shared" si="102"/>
        <v>0.46153404881102922</v>
      </c>
      <c r="P815" s="39">
        <f t="shared" si="103"/>
        <v>0.26941371176876872</v>
      </c>
    </row>
    <row r="816" spans="1:16" x14ac:dyDescent="0.3">
      <c r="A816" s="18">
        <v>41193</v>
      </c>
      <c r="B816" s="15">
        <v>25360</v>
      </c>
      <c r="C816" s="15">
        <v>54270</v>
      </c>
      <c r="D816" s="16">
        <v>1933.09</v>
      </c>
      <c r="E816" s="28">
        <f t="shared" si="97"/>
        <v>-8.9878858929268723E-3</v>
      </c>
      <c r="F816" s="39">
        <f t="shared" si="97"/>
        <v>-2.7631942525563336E-4</v>
      </c>
      <c r="H816" s="64">
        <f t="shared" si="99"/>
        <v>0.5</v>
      </c>
      <c r="I816" s="65">
        <f t="shared" si="100"/>
        <v>0.7</v>
      </c>
      <c r="J816" s="66">
        <v>0.5</v>
      </c>
      <c r="K816" s="65">
        <f t="shared" si="98"/>
        <v>0.5</v>
      </c>
      <c r="L816" s="28">
        <f t="shared" si="101"/>
        <v>-8.8458482751101464E-3</v>
      </c>
      <c r="M816" s="71">
        <f t="shared" si="104"/>
        <v>-4.6321026590912528E-3</v>
      </c>
      <c r="N816" s="50">
        <v>41193</v>
      </c>
      <c r="O816" s="77">
        <f t="shared" si="102"/>
        <v>0.45690194615193797</v>
      </c>
      <c r="P816" s="39">
        <f t="shared" si="103"/>
        <v>0.25955536442654781</v>
      </c>
    </row>
    <row r="817" spans="1:16" x14ac:dyDescent="0.3">
      <c r="A817" s="17">
        <v>41194</v>
      </c>
      <c r="B817" s="13">
        <v>25290</v>
      </c>
      <c r="C817" s="13">
        <v>54230</v>
      </c>
      <c r="D817" s="14">
        <v>1933.26</v>
      </c>
      <c r="E817" s="28">
        <f t="shared" si="97"/>
        <v>-2.7602523659305822E-3</v>
      </c>
      <c r="F817" s="39">
        <f t="shared" si="97"/>
        <v>-7.3705546342361927E-4</v>
      </c>
      <c r="H817" s="64">
        <f t="shared" si="99"/>
        <v>0.5</v>
      </c>
      <c r="I817" s="65">
        <f t="shared" si="100"/>
        <v>0.7</v>
      </c>
      <c r="J817" s="66">
        <v>0.5</v>
      </c>
      <c r="K817" s="65">
        <f t="shared" si="98"/>
        <v>0.5</v>
      </c>
      <c r="L817" s="28">
        <f t="shared" si="101"/>
        <v>-4.6321026590912528E-3</v>
      </c>
      <c r="M817" s="71">
        <f t="shared" si="104"/>
        <v>-1.7486539146771007E-3</v>
      </c>
      <c r="N817" s="51">
        <v>41194</v>
      </c>
      <c r="O817" s="77">
        <f t="shared" si="102"/>
        <v>0.45515329223726086</v>
      </c>
      <c r="P817" s="39">
        <f t="shared" si="103"/>
        <v>0.2596661323742131</v>
      </c>
    </row>
    <row r="818" spans="1:16" x14ac:dyDescent="0.3">
      <c r="A818" s="17">
        <v>41197</v>
      </c>
      <c r="B818" s="13">
        <v>25205</v>
      </c>
      <c r="C818" s="13">
        <v>54235</v>
      </c>
      <c r="D818" s="14">
        <v>1925.59</v>
      </c>
      <c r="E818" s="28">
        <f t="shared" si="97"/>
        <v>-3.3610122578093815E-3</v>
      </c>
      <c r="F818" s="39">
        <f t="shared" si="97"/>
        <v>9.2199889360156106E-5</v>
      </c>
      <c r="H818" s="64">
        <f t="shared" si="99"/>
        <v>0.5</v>
      </c>
      <c r="I818" s="65">
        <f t="shared" si="100"/>
        <v>0.7</v>
      </c>
      <c r="J818" s="66">
        <v>0.5</v>
      </c>
      <c r="K818" s="65">
        <f t="shared" si="98"/>
        <v>0.5</v>
      </c>
      <c r="L818" s="28">
        <f t="shared" si="101"/>
        <v>-1.7486539146771007E-3</v>
      </c>
      <c r="M818" s="71">
        <f t="shared" si="104"/>
        <v>-1.6344061842246127E-3</v>
      </c>
      <c r="N818" s="51">
        <v>41197</v>
      </c>
      <c r="O818" s="77">
        <f t="shared" si="102"/>
        <v>0.45351888605303625</v>
      </c>
      <c r="P818" s="39">
        <f t="shared" si="103"/>
        <v>0.2546685432060154</v>
      </c>
    </row>
    <row r="819" spans="1:16" x14ac:dyDescent="0.3">
      <c r="A819" s="18">
        <v>41198</v>
      </c>
      <c r="B819" s="15">
        <v>25465</v>
      </c>
      <c r="C819" s="15">
        <v>54210</v>
      </c>
      <c r="D819" s="70">
        <v>1941.54</v>
      </c>
      <c r="E819" s="71">
        <f t="shared" si="97"/>
        <v>1.0315413608410928E-2</v>
      </c>
      <c r="F819" s="39">
        <f t="shared" si="97"/>
        <v>-4.6095694662118269E-4</v>
      </c>
      <c r="H819" s="64">
        <f t="shared" si="99"/>
        <v>0.5</v>
      </c>
      <c r="I819" s="65">
        <f t="shared" si="100"/>
        <v>0.7</v>
      </c>
      <c r="J819" s="66">
        <v>0.5</v>
      </c>
      <c r="K819" s="65">
        <f t="shared" si="98"/>
        <v>0.5</v>
      </c>
      <c r="L819" s="28">
        <f t="shared" si="101"/>
        <v>-1.6344061842246127E-3</v>
      </c>
      <c r="M819" s="71">
        <f t="shared" si="104"/>
        <v>4.9272283308948728E-3</v>
      </c>
      <c r="N819" s="50">
        <v>41198</v>
      </c>
      <c r="O819" s="77">
        <f t="shared" si="102"/>
        <v>0.45844611438393112</v>
      </c>
      <c r="P819" s="39">
        <f t="shared" si="103"/>
        <v>0.26506118300168113</v>
      </c>
    </row>
    <row r="820" spans="1:16" x14ac:dyDescent="0.3">
      <c r="A820" s="17">
        <v>41199</v>
      </c>
      <c r="B820" s="13">
        <v>25630</v>
      </c>
      <c r="C820" s="13">
        <v>54180</v>
      </c>
      <c r="D820" s="14">
        <v>1955.15</v>
      </c>
      <c r="E820" s="28">
        <f t="shared" si="97"/>
        <v>6.4794816414686096E-3</v>
      </c>
      <c r="F820" s="39">
        <f t="shared" si="97"/>
        <v>-5.5340343110121815E-4</v>
      </c>
      <c r="H820" s="64">
        <f t="shared" si="99"/>
        <v>0.5</v>
      </c>
      <c r="I820" s="65">
        <f t="shared" si="100"/>
        <v>0.7</v>
      </c>
      <c r="J820" s="66">
        <v>0.7</v>
      </c>
      <c r="K820" s="65">
        <f t="shared" si="98"/>
        <v>0.30000000000000004</v>
      </c>
      <c r="L820" s="28">
        <f t="shared" si="101"/>
        <v>7.0825024419012943E-3</v>
      </c>
      <c r="M820" s="71">
        <f t="shared" si="104"/>
        <v>4.3696161196976613E-3</v>
      </c>
      <c r="N820" s="51">
        <v>41199</v>
      </c>
      <c r="O820" s="77">
        <f t="shared" si="102"/>
        <v>0.46281573050362879</v>
      </c>
      <c r="P820" s="39">
        <f t="shared" si="103"/>
        <v>0.27392913457654067</v>
      </c>
    </row>
    <row r="821" spans="1:16" x14ac:dyDescent="0.3">
      <c r="A821" s="18">
        <v>41200</v>
      </c>
      <c r="B821" s="15">
        <v>25780</v>
      </c>
      <c r="C821" s="15">
        <v>54150</v>
      </c>
      <c r="D821" s="16">
        <v>1959.12</v>
      </c>
      <c r="E821" s="28">
        <f t="shared" si="97"/>
        <v>5.8525165821303737E-3</v>
      </c>
      <c r="F821" s="39">
        <f t="shared" si="97"/>
        <v>-5.5370985603542255E-4</v>
      </c>
      <c r="H821" s="64">
        <f t="shared" si="99"/>
        <v>0.3</v>
      </c>
      <c r="I821" s="65">
        <f t="shared" si="100"/>
        <v>0.5</v>
      </c>
      <c r="J821" s="66">
        <v>0.5</v>
      </c>
      <c r="K821" s="65">
        <f t="shared" si="98"/>
        <v>0.5</v>
      </c>
      <c r="L821" s="28">
        <f t="shared" si="101"/>
        <v>2.9630391051836957E-3</v>
      </c>
      <c r="M821" s="71">
        <f t="shared" si="104"/>
        <v>2.6494033630474756E-3</v>
      </c>
      <c r="N821" s="50">
        <v>41200</v>
      </c>
      <c r="O821" s="77">
        <f t="shared" si="102"/>
        <v>0.46546513386667626</v>
      </c>
      <c r="P821" s="39">
        <f t="shared" si="103"/>
        <v>0.27651589194260917</v>
      </c>
    </row>
    <row r="822" spans="1:16" x14ac:dyDescent="0.3">
      <c r="A822" s="17">
        <v>41201</v>
      </c>
      <c r="B822" s="13">
        <v>25575</v>
      </c>
      <c r="C822" s="13">
        <v>54160</v>
      </c>
      <c r="D822" s="14">
        <v>1943.84</v>
      </c>
      <c r="E822" s="28">
        <f t="shared" si="97"/>
        <v>-7.9519006982157192E-3</v>
      </c>
      <c r="F822" s="39">
        <f t="shared" si="97"/>
        <v>1.8467220683282548E-4</v>
      </c>
      <c r="H822" s="64">
        <f t="shared" si="99"/>
        <v>0.3</v>
      </c>
      <c r="I822" s="65">
        <f t="shared" si="100"/>
        <v>0.5</v>
      </c>
      <c r="J822" s="66">
        <v>0.5</v>
      </c>
      <c r="K822" s="65">
        <f t="shared" si="98"/>
        <v>0.5</v>
      </c>
      <c r="L822" s="28">
        <f t="shared" si="101"/>
        <v>2.6494033630474756E-3</v>
      </c>
      <c r="M822" s="71">
        <f t="shared" si="104"/>
        <v>-3.8836142456914469E-3</v>
      </c>
      <c r="N822" s="51">
        <v>41201</v>
      </c>
      <c r="O822" s="77">
        <f t="shared" si="102"/>
        <v>0.46158151962098481</v>
      </c>
      <c r="P822" s="39">
        <f t="shared" si="103"/>
        <v>0.26655980817597769</v>
      </c>
    </row>
    <row r="823" spans="1:16" x14ac:dyDescent="0.3">
      <c r="A823" s="17">
        <v>41204</v>
      </c>
      <c r="B823" s="13">
        <v>25460</v>
      </c>
      <c r="C823" s="13">
        <v>54145</v>
      </c>
      <c r="D823" s="14">
        <v>1941.59</v>
      </c>
      <c r="E823" s="28">
        <f t="shared" si="97"/>
        <v>-4.4965786901270954E-3</v>
      </c>
      <c r="F823" s="39">
        <f t="shared" si="97"/>
        <v>-2.7695716395859105E-4</v>
      </c>
      <c r="H823" s="64">
        <f t="shared" si="99"/>
        <v>0.5</v>
      </c>
      <c r="I823" s="65">
        <f t="shared" si="100"/>
        <v>0.7</v>
      </c>
      <c r="J823" s="66">
        <v>0.5</v>
      </c>
      <c r="K823" s="65">
        <f t="shared" si="98"/>
        <v>0.5</v>
      </c>
      <c r="L823" s="28">
        <f t="shared" si="101"/>
        <v>-3.8836142456914469E-3</v>
      </c>
      <c r="M823" s="71">
        <f t="shared" si="104"/>
        <v>-2.3867679270428432E-3</v>
      </c>
      <c r="N823" s="51">
        <v>41204</v>
      </c>
      <c r="O823" s="77">
        <f t="shared" si="102"/>
        <v>0.45919475169394197</v>
      </c>
      <c r="P823" s="39">
        <f t="shared" si="103"/>
        <v>0.26509376180981792</v>
      </c>
    </row>
    <row r="824" spans="1:16" x14ac:dyDescent="0.3">
      <c r="A824" s="18">
        <v>41205</v>
      </c>
      <c r="B824" s="15">
        <v>25255</v>
      </c>
      <c r="C824" s="15">
        <v>54140</v>
      </c>
      <c r="D824" s="70">
        <v>1926.81</v>
      </c>
      <c r="E824" s="71">
        <f t="shared" si="97"/>
        <v>-8.0518460329929153E-3</v>
      </c>
      <c r="F824" s="39">
        <f t="shared" si="97"/>
        <v>-9.2344630159724161E-5</v>
      </c>
      <c r="H824" s="64">
        <f t="shared" si="99"/>
        <v>0.5</v>
      </c>
      <c r="I824" s="65">
        <f t="shared" si="100"/>
        <v>0.7</v>
      </c>
      <c r="J824" s="66">
        <v>0.5</v>
      </c>
      <c r="K824" s="65">
        <f t="shared" si="98"/>
        <v>0.5</v>
      </c>
      <c r="L824" s="28">
        <f t="shared" si="101"/>
        <v>-2.3867679270428432E-3</v>
      </c>
      <c r="M824" s="71">
        <f t="shared" si="104"/>
        <v>-4.0720953315763198E-3</v>
      </c>
      <c r="N824" s="50">
        <v>41205</v>
      </c>
      <c r="O824" s="77">
        <f t="shared" si="102"/>
        <v>0.45512265636236565</v>
      </c>
      <c r="P824" s="39">
        <f t="shared" si="103"/>
        <v>0.25546346612455517</v>
      </c>
    </row>
    <row r="825" spans="1:16" x14ac:dyDescent="0.3">
      <c r="A825" s="17">
        <v>41206</v>
      </c>
      <c r="B825" s="13">
        <v>25040</v>
      </c>
      <c r="C825" s="13">
        <v>54190</v>
      </c>
      <c r="D825" s="14">
        <v>1913.96</v>
      </c>
      <c r="E825" s="28">
        <f t="shared" si="97"/>
        <v>-8.5131657097604618E-3</v>
      </c>
      <c r="F825" s="39">
        <f t="shared" si="97"/>
        <v>9.235315847802017E-4</v>
      </c>
      <c r="H825" s="64">
        <f t="shared" si="99"/>
        <v>0.5</v>
      </c>
      <c r="I825" s="65">
        <f t="shared" si="100"/>
        <v>0.7</v>
      </c>
      <c r="J825" s="66">
        <v>0.5</v>
      </c>
      <c r="K825" s="65">
        <f t="shared" si="98"/>
        <v>0.5</v>
      </c>
      <c r="L825" s="28">
        <f t="shared" si="101"/>
        <v>-4.0720953315763198E-3</v>
      </c>
      <c r="M825" s="71">
        <f t="shared" si="104"/>
        <v>-3.7948170624901301E-3</v>
      </c>
      <c r="N825" s="51">
        <v>41206</v>
      </c>
      <c r="O825" s="77">
        <f t="shared" si="102"/>
        <v>0.45132783929987552</v>
      </c>
      <c r="P825" s="39">
        <f t="shared" si="103"/>
        <v>0.24709071243337632</v>
      </c>
    </row>
    <row r="826" spans="1:16" x14ac:dyDescent="0.3">
      <c r="A826" s="18">
        <v>41207</v>
      </c>
      <c r="B826" s="15">
        <v>25200</v>
      </c>
      <c r="C826" s="15">
        <v>54205</v>
      </c>
      <c r="D826" s="16">
        <v>1924.5</v>
      </c>
      <c r="E826" s="28">
        <f t="shared" si="97"/>
        <v>6.389776357827559E-3</v>
      </c>
      <c r="F826" s="39">
        <f t="shared" si="97"/>
        <v>2.7680383834649547E-4</v>
      </c>
      <c r="H826" s="64">
        <f t="shared" si="99"/>
        <v>0.5</v>
      </c>
      <c r="I826" s="65">
        <f t="shared" si="100"/>
        <v>0.7</v>
      </c>
      <c r="J826" s="66">
        <v>0.5</v>
      </c>
      <c r="K826" s="65">
        <f t="shared" si="98"/>
        <v>0.5</v>
      </c>
      <c r="L826" s="28">
        <f t="shared" si="101"/>
        <v>-3.7948170624901301E-3</v>
      </c>
      <c r="M826" s="71">
        <f t="shared" si="104"/>
        <v>3.3332900980870273E-3</v>
      </c>
      <c r="N826" s="50">
        <v>41207</v>
      </c>
      <c r="O826" s="77">
        <f t="shared" si="102"/>
        <v>0.45466112939796255</v>
      </c>
      <c r="P826" s="39">
        <f t="shared" si="103"/>
        <v>0.25395832518863126</v>
      </c>
    </row>
    <row r="827" spans="1:16" x14ac:dyDescent="0.3">
      <c r="A827" s="17">
        <v>41208</v>
      </c>
      <c r="B827" s="13">
        <v>24765</v>
      </c>
      <c r="C827" s="13">
        <v>54225</v>
      </c>
      <c r="D827" s="14">
        <v>1891.43</v>
      </c>
      <c r="E827" s="28">
        <f t="shared" si="97"/>
        <v>-1.7261904761904812E-2</v>
      </c>
      <c r="F827" s="39">
        <f t="shared" si="97"/>
        <v>3.6896965224619827E-4</v>
      </c>
      <c r="H827" s="64">
        <f t="shared" si="99"/>
        <v>0.5</v>
      </c>
      <c r="I827" s="65">
        <f t="shared" si="100"/>
        <v>0.7</v>
      </c>
      <c r="J827" s="66">
        <v>0.7</v>
      </c>
      <c r="K827" s="65">
        <f t="shared" si="98"/>
        <v>0.30000000000000004</v>
      </c>
      <c r="L827" s="28">
        <f t="shared" si="101"/>
        <v>4.5558846019832398E-3</v>
      </c>
      <c r="M827" s="71">
        <f t="shared" si="104"/>
        <v>-1.1972642437659508E-2</v>
      </c>
      <c r="N827" s="51">
        <v>41208</v>
      </c>
      <c r="O827" s="77">
        <f t="shared" si="102"/>
        <v>0.44268848696030305</v>
      </c>
      <c r="P827" s="39">
        <f t="shared" si="103"/>
        <v>0.2324107014868968</v>
      </c>
    </row>
    <row r="828" spans="1:16" x14ac:dyDescent="0.3">
      <c r="A828" s="17">
        <v>41211</v>
      </c>
      <c r="B828" s="13">
        <v>24830</v>
      </c>
      <c r="C828" s="13">
        <v>54245</v>
      </c>
      <c r="D828" s="14">
        <v>1891.52</v>
      </c>
      <c r="E828" s="28">
        <f t="shared" si="97"/>
        <v>2.624671916010568E-3</v>
      </c>
      <c r="F828" s="39">
        <f t="shared" si="97"/>
        <v>3.6883356385430943E-4</v>
      </c>
      <c r="H828" s="64">
        <f t="shared" si="99"/>
        <v>0.7</v>
      </c>
      <c r="I828" s="65">
        <f t="shared" si="100"/>
        <v>0.9</v>
      </c>
      <c r="J828" s="66">
        <v>0.7</v>
      </c>
      <c r="K828" s="65">
        <f t="shared" si="98"/>
        <v>0.30000000000000004</v>
      </c>
      <c r="L828" s="28">
        <f t="shared" si="101"/>
        <v>-1.1972642437659508E-2</v>
      </c>
      <c r="M828" s="71">
        <f t="shared" si="104"/>
        <v>1.9479204103636902E-3</v>
      </c>
      <c r="N828" s="51">
        <v>41211</v>
      </c>
      <c r="O828" s="77">
        <f t="shared" si="102"/>
        <v>0.44463640737066673</v>
      </c>
      <c r="P828" s="39">
        <f t="shared" si="103"/>
        <v>0.23246934334154323</v>
      </c>
    </row>
    <row r="829" spans="1:16" x14ac:dyDescent="0.3">
      <c r="A829" s="18">
        <v>41212</v>
      </c>
      <c r="B829" s="15">
        <v>24885</v>
      </c>
      <c r="C829" s="15">
        <v>54255</v>
      </c>
      <c r="D829" s="70">
        <v>1899.58</v>
      </c>
      <c r="E829" s="71">
        <f t="shared" si="97"/>
        <v>2.2150624244865469E-3</v>
      </c>
      <c r="F829" s="39">
        <f t="shared" si="97"/>
        <v>1.843487879067407E-4</v>
      </c>
      <c r="H829" s="64">
        <f t="shared" si="99"/>
        <v>0.7</v>
      </c>
      <c r="I829" s="65">
        <f t="shared" si="100"/>
        <v>0.9</v>
      </c>
      <c r="J829" s="66">
        <v>0.9</v>
      </c>
      <c r="K829" s="65">
        <f t="shared" si="98"/>
        <v>9.9999999999999978E-2</v>
      </c>
      <c r="L829" s="28">
        <f t="shared" si="101"/>
        <v>2.3990880807949421E-3</v>
      </c>
      <c r="M829" s="71">
        <f t="shared" si="104"/>
        <v>2.0119910608285664E-3</v>
      </c>
      <c r="N829" s="50">
        <v>41212</v>
      </c>
      <c r="O829" s="77">
        <f t="shared" si="102"/>
        <v>0.44664839843149529</v>
      </c>
      <c r="P829" s="39">
        <f t="shared" si="103"/>
        <v>0.23772104721320875</v>
      </c>
    </row>
    <row r="830" spans="1:16" x14ac:dyDescent="0.3">
      <c r="A830" s="17">
        <v>41213</v>
      </c>
      <c r="B830" s="13">
        <v>25100</v>
      </c>
      <c r="C830" s="13">
        <v>54280</v>
      </c>
      <c r="D830" s="14">
        <v>1912.06</v>
      </c>
      <c r="E830" s="28">
        <f t="shared" si="97"/>
        <v>8.6397428169580071E-3</v>
      </c>
      <c r="F830" s="39">
        <f t="shared" si="97"/>
        <v>4.6078702423746343E-4</v>
      </c>
      <c r="H830" s="64">
        <f t="shared" si="99"/>
        <v>0.7</v>
      </c>
      <c r="I830" s="65">
        <f t="shared" si="100"/>
        <v>0.9</v>
      </c>
      <c r="J830" s="66">
        <v>0.9</v>
      </c>
      <c r="K830" s="65">
        <f t="shared" si="98"/>
        <v>9.9999999999999978E-2</v>
      </c>
      <c r="L830" s="28">
        <f t="shared" si="101"/>
        <v>2.0119910608285664E-3</v>
      </c>
      <c r="M830" s="71">
        <f t="shared" si="104"/>
        <v>7.8218472376859523E-3</v>
      </c>
      <c r="N830" s="51">
        <v>41213</v>
      </c>
      <c r="O830" s="77">
        <f t="shared" si="102"/>
        <v>0.45447024566918126</v>
      </c>
      <c r="P830" s="39">
        <f t="shared" si="103"/>
        <v>0.24585271772417472</v>
      </c>
    </row>
    <row r="831" spans="1:16" x14ac:dyDescent="0.3">
      <c r="A831" s="18">
        <v>41214</v>
      </c>
      <c r="B831" s="15">
        <v>24840</v>
      </c>
      <c r="C831" s="15">
        <v>54270</v>
      </c>
      <c r="D831" s="16">
        <v>1898.44</v>
      </c>
      <c r="E831" s="28">
        <f t="shared" si="97"/>
        <v>-1.0358565737051739E-2</v>
      </c>
      <c r="F831" s="39">
        <f t="shared" si="97"/>
        <v>-1.8422991893884966E-4</v>
      </c>
      <c r="H831" s="64">
        <f t="shared" si="99"/>
        <v>0.5</v>
      </c>
      <c r="I831" s="65">
        <f t="shared" si="100"/>
        <v>0.7</v>
      </c>
      <c r="J831" s="66">
        <v>0.7</v>
      </c>
      <c r="K831" s="65">
        <f t="shared" si="98"/>
        <v>0.30000000000000004</v>
      </c>
      <c r="L831" s="28">
        <f t="shared" si="101"/>
        <v>6.1860560791418429E-3</v>
      </c>
      <c r="M831" s="71">
        <f t="shared" si="104"/>
        <v>-7.3062649916178718E-3</v>
      </c>
      <c r="N831" s="50">
        <v>41214</v>
      </c>
      <c r="O831" s="77">
        <f t="shared" si="102"/>
        <v>0.44716398067756341</v>
      </c>
      <c r="P831" s="39">
        <f t="shared" si="103"/>
        <v>0.23697825038768783</v>
      </c>
    </row>
    <row r="832" spans="1:16" x14ac:dyDescent="0.3">
      <c r="A832" s="17">
        <v>41215</v>
      </c>
      <c r="B832" s="13">
        <v>25135</v>
      </c>
      <c r="C832" s="13">
        <v>54280</v>
      </c>
      <c r="D832" s="14">
        <v>1918.72</v>
      </c>
      <c r="E832" s="28">
        <f t="shared" si="97"/>
        <v>1.1876006441223774E-2</v>
      </c>
      <c r="F832" s="39">
        <f t="shared" si="97"/>
        <v>1.8426386585601584E-4</v>
      </c>
      <c r="H832" s="64">
        <f t="shared" si="99"/>
        <v>0.7</v>
      </c>
      <c r="I832" s="65">
        <f t="shared" si="100"/>
        <v>0.9</v>
      </c>
      <c r="J832" s="66">
        <v>0.7</v>
      </c>
      <c r="K832" s="65">
        <f t="shared" si="98"/>
        <v>0.30000000000000004</v>
      </c>
      <c r="L832" s="28">
        <f t="shared" si="101"/>
        <v>-7.3062649916178718E-3</v>
      </c>
      <c r="M832" s="71">
        <f t="shared" si="104"/>
        <v>8.3684836686134471E-3</v>
      </c>
      <c r="N832" s="51">
        <v>41215</v>
      </c>
      <c r="O832" s="77">
        <f t="shared" si="102"/>
        <v>0.45553246434617684</v>
      </c>
      <c r="P832" s="39">
        <f t="shared" si="103"/>
        <v>0.25019221496800759</v>
      </c>
    </row>
    <row r="833" spans="1:16" x14ac:dyDescent="0.3">
      <c r="A833" s="17">
        <v>41218</v>
      </c>
      <c r="B833" s="13">
        <v>25005</v>
      </c>
      <c r="C833" s="13">
        <v>54270</v>
      </c>
      <c r="D833" s="14">
        <v>1908.22</v>
      </c>
      <c r="E833" s="28">
        <f t="shared" si="97"/>
        <v>-5.1720708175850838E-3</v>
      </c>
      <c r="F833" s="39">
        <f t="shared" si="97"/>
        <v>-1.8422991893884966E-4</v>
      </c>
      <c r="H833" s="64">
        <f t="shared" si="99"/>
        <v>0.5</v>
      </c>
      <c r="I833" s="65">
        <f t="shared" si="100"/>
        <v>0.7</v>
      </c>
      <c r="J833" s="66">
        <v>0.7</v>
      </c>
      <c r="K833" s="65">
        <f t="shared" si="98"/>
        <v>0.30000000000000004</v>
      </c>
      <c r="L833" s="28">
        <f t="shared" si="101"/>
        <v>8.3684836686134471E-3</v>
      </c>
      <c r="M833" s="71">
        <f t="shared" si="104"/>
        <v>-3.6757185479912133E-3</v>
      </c>
      <c r="N833" s="51">
        <v>41218</v>
      </c>
      <c r="O833" s="77">
        <f t="shared" si="102"/>
        <v>0.45185674579818563</v>
      </c>
      <c r="P833" s="39">
        <f t="shared" si="103"/>
        <v>0.24335066525926208</v>
      </c>
    </row>
    <row r="834" spans="1:16" x14ac:dyDescent="0.3">
      <c r="A834" s="18">
        <v>41219</v>
      </c>
      <c r="B834" s="15">
        <v>25280</v>
      </c>
      <c r="C834" s="15">
        <v>54290</v>
      </c>
      <c r="D834" s="70">
        <v>1928.17</v>
      </c>
      <c r="E834" s="71">
        <f t="shared" si="97"/>
        <v>1.0997800439912053E-2</v>
      </c>
      <c r="F834" s="39">
        <f t="shared" si="97"/>
        <v>3.6852773171180964E-4</v>
      </c>
      <c r="H834" s="64">
        <f t="shared" si="99"/>
        <v>0.5</v>
      </c>
      <c r="I834" s="65">
        <f t="shared" si="100"/>
        <v>0.7</v>
      </c>
      <c r="J834" s="66">
        <v>0.5</v>
      </c>
      <c r="K834" s="65">
        <f t="shared" si="98"/>
        <v>0.5</v>
      </c>
      <c r="L834" s="28">
        <f t="shared" si="101"/>
        <v>-2.6781503682619667E-3</v>
      </c>
      <c r="M834" s="71">
        <f t="shared" si="104"/>
        <v>5.6831640858119314E-3</v>
      </c>
      <c r="N834" s="50">
        <v>41219</v>
      </c>
      <c r="O834" s="77">
        <f t="shared" si="102"/>
        <v>0.45753990988399756</v>
      </c>
      <c r="P834" s="39">
        <f t="shared" si="103"/>
        <v>0.25634960970587861</v>
      </c>
    </row>
    <row r="835" spans="1:16" x14ac:dyDescent="0.3">
      <c r="A835" s="17">
        <v>41220</v>
      </c>
      <c r="B835" s="13">
        <v>25415</v>
      </c>
      <c r="C835" s="13">
        <v>54290</v>
      </c>
      <c r="D835" s="14">
        <v>1937.55</v>
      </c>
      <c r="E835" s="28">
        <f t="shared" si="97"/>
        <v>5.3401898734177777E-3</v>
      </c>
      <c r="F835" s="39">
        <f t="shared" si="97"/>
        <v>0</v>
      </c>
      <c r="H835" s="64">
        <f t="shared" si="99"/>
        <v>0.5</v>
      </c>
      <c r="I835" s="65">
        <f t="shared" si="100"/>
        <v>0.7</v>
      </c>
      <c r="J835" s="66">
        <v>0.7</v>
      </c>
      <c r="K835" s="65">
        <f t="shared" si="98"/>
        <v>0.30000000000000004</v>
      </c>
      <c r="L835" s="28">
        <f t="shared" si="101"/>
        <v>7.8090186274519793E-3</v>
      </c>
      <c r="M835" s="71">
        <f t="shared" si="104"/>
        <v>3.7381329113924441E-3</v>
      </c>
      <c r="N835" s="51">
        <v>41220</v>
      </c>
      <c r="O835" s="77">
        <f t="shared" si="102"/>
        <v>0.46127804279539003</v>
      </c>
      <c r="P835" s="39">
        <f t="shared" si="103"/>
        <v>0.26246139411235769</v>
      </c>
    </row>
    <row r="836" spans="1:16" x14ac:dyDescent="0.3">
      <c r="A836" s="18">
        <v>41221</v>
      </c>
      <c r="B836" s="15">
        <v>25015</v>
      </c>
      <c r="C836" s="15">
        <v>54350</v>
      </c>
      <c r="D836" s="16">
        <v>1914.41</v>
      </c>
      <c r="E836" s="28">
        <f t="shared" si="97"/>
        <v>-1.5738736966358413E-2</v>
      </c>
      <c r="F836" s="39">
        <f t="shared" si="97"/>
        <v>1.1051759071651901E-3</v>
      </c>
      <c r="H836" s="64">
        <f t="shared" si="99"/>
        <v>0.5</v>
      </c>
      <c r="I836" s="65">
        <f t="shared" si="100"/>
        <v>0.7</v>
      </c>
      <c r="J836" s="66">
        <v>0.7</v>
      </c>
      <c r="K836" s="65">
        <f t="shared" si="98"/>
        <v>0.30000000000000004</v>
      </c>
      <c r="L836" s="28">
        <f t="shared" si="101"/>
        <v>3.7381329113924441E-3</v>
      </c>
      <c r="M836" s="71">
        <f t="shared" si="104"/>
        <v>-1.0685563104301332E-2</v>
      </c>
      <c r="N836" s="50">
        <v>41221</v>
      </c>
      <c r="O836" s="77">
        <f t="shared" si="102"/>
        <v>0.45059247969108868</v>
      </c>
      <c r="P836" s="39">
        <f t="shared" si="103"/>
        <v>0.24738392170660828</v>
      </c>
    </row>
    <row r="837" spans="1:16" x14ac:dyDescent="0.3">
      <c r="A837" s="17">
        <v>41222</v>
      </c>
      <c r="B837" s="13">
        <v>24870</v>
      </c>
      <c r="C837" s="13">
        <v>54305</v>
      </c>
      <c r="D837" s="14">
        <v>1904.41</v>
      </c>
      <c r="E837" s="28">
        <f t="shared" si="97"/>
        <v>-5.7965220867479683E-3</v>
      </c>
      <c r="F837" s="39">
        <f t="shared" si="97"/>
        <v>-8.279668813246932E-4</v>
      </c>
      <c r="H837" s="64">
        <f t="shared" si="99"/>
        <v>0.5</v>
      </c>
      <c r="I837" s="65">
        <f t="shared" si="100"/>
        <v>0.7</v>
      </c>
      <c r="J837" s="66">
        <v>0.5</v>
      </c>
      <c r="K837" s="65">
        <f t="shared" si="98"/>
        <v>0.5</v>
      </c>
      <c r="L837" s="28">
        <f t="shared" si="101"/>
        <v>-7.3167805295966115E-3</v>
      </c>
      <c r="M837" s="71">
        <f t="shared" si="104"/>
        <v>-3.3122444840363308E-3</v>
      </c>
      <c r="N837" s="51">
        <v>41222</v>
      </c>
      <c r="O837" s="77">
        <f t="shared" si="102"/>
        <v>0.44728023520705235</v>
      </c>
      <c r="P837" s="39">
        <f t="shared" si="103"/>
        <v>0.24086816007923173</v>
      </c>
    </row>
    <row r="838" spans="1:16" x14ac:dyDescent="0.3">
      <c r="A838" s="17">
        <v>41225</v>
      </c>
      <c r="B838" s="13">
        <v>24855</v>
      </c>
      <c r="C838" s="13">
        <v>54295</v>
      </c>
      <c r="D838" s="14">
        <v>1900.87</v>
      </c>
      <c r="E838" s="28">
        <f t="shared" si="97"/>
        <v>-6.0313630880581837E-4</v>
      </c>
      <c r="F838" s="39">
        <f t="shared" si="97"/>
        <v>-1.8414510634379155E-4</v>
      </c>
      <c r="H838" s="64">
        <f t="shared" si="99"/>
        <v>0.5</v>
      </c>
      <c r="I838" s="65">
        <f t="shared" si="100"/>
        <v>0.7</v>
      </c>
      <c r="J838" s="66">
        <v>0.5</v>
      </c>
      <c r="K838" s="65">
        <f t="shared" si="98"/>
        <v>0.5</v>
      </c>
      <c r="L838" s="28">
        <f t="shared" si="101"/>
        <v>-3.3122444840363308E-3</v>
      </c>
      <c r="M838" s="71">
        <f t="shared" si="104"/>
        <v>-3.9364070757480496E-4</v>
      </c>
      <c r="N838" s="51">
        <v>41225</v>
      </c>
      <c r="O838" s="77">
        <f t="shared" si="102"/>
        <v>0.44688659449947754</v>
      </c>
      <c r="P838" s="39">
        <f t="shared" si="103"/>
        <v>0.23856158046314024</v>
      </c>
    </row>
    <row r="839" spans="1:16" x14ac:dyDescent="0.3">
      <c r="A839" s="18">
        <v>41226</v>
      </c>
      <c r="B839" s="15">
        <v>24715</v>
      </c>
      <c r="C839" s="15">
        <v>54320</v>
      </c>
      <c r="D839" s="70">
        <v>1889.7</v>
      </c>
      <c r="E839" s="71">
        <f t="shared" si="97"/>
        <v>-5.6326694830014512E-3</v>
      </c>
      <c r="F839" s="39">
        <f t="shared" si="97"/>
        <v>4.6044755502339108E-4</v>
      </c>
      <c r="H839" s="64">
        <f t="shared" si="99"/>
        <v>0.5</v>
      </c>
      <c r="I839" s="65">
        <f t="shared" si="100"/>
        <v>0.7</v>
      </c>
      <c r="J839" s="66">
        <v>0.5</v>
      </c>
      <c r="K839" s="65">
        <f t="shared" si="98"/>
        <v>0.5</v>
      </c>
      <c r="L839" s="28">
        <f t="shared" si="101"/>
        <v>-3.9364070757480496E-4</v>
      </c>
      <c r="M839" s="71">
        <f t="shared" si="104"/>
        <v>-2.5861109639890301E-3</v>
      </c>
      <c r="N839" s="50">
        <v>41226</v>
      </c>
      <c r="O839" s="77">
        <f t="shared" si="102"/>
        <v>0.44430048353548851</v>
      </c>
      <c r="P839" s="39">
        <f t="shared" si="103"/>
        <v>0.2312834747253607</v>
      </c>
    </row>
    <row r="840" spans="1:16" x14ac:dyDescent="0.3">
      <c r="A840" s="17">
        <v>41227</v>
      </c>
      <c r="B840" s="13">
        <v>24820</v>
      </c>
      <c r="C840" s="13">
        <v>54315</v>
      </c>
      <c r="D840" s="14">
        <v>1894.04</v>
      </c>
      <c r="E840" s="28">
        <f t="shared" si="97"/>
        <v>4.2484321262390434E-3</v>
      </c>
      <c r="F840" s="39">
        <f t="shared" si="97"/>
        <v>-9.2047128129602029E-5</v>
      </c>
      <c r="H840" s="64">
        <f t="shared" si="99"/>
        <v>0.7</v>
      </c>
      <c r="I840" s="65">
        <f t="shared" si="100"/>
        <v>0.9</v>
      </c>
      <c r="J840" s="66">
        <v>0.7</v>
      </c>
      <c r="K840" s="65">
        <f t="shared" si="98"/>
        <v>0.30000000000000004</v>
      </c>
      <c r="L840" s="28">
        <f t="shared" si="101"/>
        <v>-3.8047343715939988E-3</v>
      </c>
      <c r="M840" s="71">
        <f t="shared" si="104"/>
        <v>2.9462883499284495E-3</v>
      </c>
      <c r="N840" s="51">
        <v>41227</v>
      </c>
      <c r="O840" s="77">
        <f t="shared" si="102"/>
        <v>0.44724677188541695</v>
      </c>
      <c r="P840" s="39">
        <f t="shared" si="103"/>
        <v>0.23411131527164208</v>
      </c>
    </row>
    <row r="841" spans="1:16" x14ac:dyDescent="0.3">
      <c r="A841" s="18">
        <v>41228</v>
      </c>
      <c r="B841" s="15">
        <v>24510</v>
      </c>
      <c r="C841" s="15">
        <v>54340</v>
      </c>
      <c r="D841" s="16">
        <v>1870.72</v>
      </c>
      <c r="E841" s="28">
        <f t="shared" si="97"/>
        <v>-1.2489927477840501E-2</v>
      </c>
      <c r="F841" s="39">
        <f t="shared" si="97"/>
        <v>4.602780079168145E-4</v>
      </c>
      <c r="H841" s="64">
        <f t="shared" si="99"/>
        <v>0.7</v>
      </c>
      <c r="I841" s="65">
        <f t="shared" si="100"/>
        <v>0.9</v>
      </c>
      <c r="J841" s="66">
        <v>0.9</v>
      </c>
      <c r="K841" s="65">
        <f t="shared" si="98"/>
        <v>9.9999999999999978E-2</v>
      </c>
      <c r="L841" s="28">
        <f t="shared" si="101"/>
        <v>3.8143842008021788E-3</v>
      </c>
      <c r="M841" s="71">
        <f t="shared" si="104"/>
        <v>-1.119490692926477E-2</v>
      </c>
      <c r="N841" s="50">
        <v>41228</v>
      </c>
      <c r="O841" s="77">
        <f t="shared" si="102"/>
        <v>0.43605186495615217</v>
      </c>
      <c r="P841" s="39">
        <f t="shared" si="103"/>
        <v>0.2189165591565998</v>
      </c>
    </row>
    <row r="842" spans="1:16" x14ac:dyDescent="0.3">
      <c r="A842" s="17">
        <v>41229</v>
      </c>
      <c r="B842" s="13">
        <v>24375</v>
      </c>
      <c r="C842" s="13">
        <v>54325</v>
      </c>
      <c r="D842" s="14">
        <v>1860.83</v>
      </c>
      <c r="E842" s="28">
        <f t="shared" si="97"/>
        <v>-5.5079559363525599E-3</v>
      </c>
      <c r="F842" s="39">
        <f t="shared" si="97"/>
        <v>-2.760397497240108E-4</v>
      </c>
      <c r="H842" s="64">
        <f t="shared" si="99"/>
        <v>0.7</v>
      </c>
      <c r="I842" s="65">
        <f t="shared" si="100"/>
        <v>0.9</v>
      </c>
      <c r="J842" s="66">
        <v>0.7</v>
      </c>
      <c r="K842" s="65">
        <f t="shared" si="98"/>
        <v>0.30000000000000004</v>
      </c>
      <c r="L842" s="28">
        <f t="shared" si="101"/>
        <v>-8.6048658321133068E-3</v>
      </c>
      <c r="M842" s="71">
        <f t="shared" si="104"/>
        <v>-3.9383810803639953E-3</v>
      </c>
      <c r="N842" s="51">
        <v>41229</v>
      </c>
      <c r="O842" s="77">
        <f t="shared" si="102"/>
        <v>0.43211348387578818</v>
      </c>
      <c r="P842" s="39">
        <f t="shared" si="103"/>
        <v>0.21247247090712418</v>
      </c>
    </row>
    <row r="843" spans="1:16" x14ac:dyDescent="0.3">
      <c r="A843" s="17">
        <v>41232</v>
      </c>
      <c r="B843" s="13">
        <v>24635</v>
      </c>
      <c r="C843" s="13">
        <v>54335</v>
      </c>
      <c r="D843" s="14">
        <v>1878.1</v>
      </c>
      <c r="E843" s="28">
        <f t="shared" si="97"/>
        <v>1.0666666666666602E-2</v>
      </c>
      <c r="F843" s="39">
        <f t="shared" si="97"/>
        <v>1.8407731247127579E-4</v>
      </c>
      <c r="H843" s="64">
        <f t="shared" si="99"/>
        <v>0.7</v>
      </c>
      <c r="I843" s="65">
        <f t="shared" si="100"/>
        <v>0.9</v>
      </c>
      <c r="J843" s="66">
        <v>0.7</v>
      </c>
      <c r="K843" s="65">
        <f t="shared" si="98"/>
        <v>0.30000000000000004</v>
      </c>
      <c r="L843" s="28">
        <f t="shared" si="101"/>
        <v>-3.9383810803639953E-3</v>
      </c>
      <c r="M843" s="71">
        <f t="shared" si="104"/>
        <v>7.521889860408003E-3</v>
      </c>
      <c r="N843" s="51">
        <v>41232</v>
      </c>
      <c r="O843" s="77">
        <f t="shared" si="102"/>
        <v>0.43963537373619621</v>
      </c>
      <c r="P843" s="39">
        <f t="shared" si="103"/>
        <v>0.2237251912376037</v>
      </c>
    </row>
    <row r="844" spans="1:16" x14ac:dyDescent="0.3">
      <c r="A844" s="18">
        <v>41233</v>
      </c>
      <c r="B844" s="15">
        <v>24835</v>
      </c>
      <c r="C844" s="15">
        <v>54325</v>
      </c>
      <c r="D844" s="70">
        <v>1890.18</v>
      </c>
      <c r="E844" s="71">
        <f t="shared" si="97"/>
        <v>8.1185305459712254E-3</v>
      </c>
      <c r="F844" s="39">
        <f t="shared" si="97"/>
        <v>-1.8404343425049152E-4</v>
      </c>
      <c r="H844" s="64">
        <f t="shared" si="99"/>
        <v>0.7</v>
      </c>
      <c r="I844" s="65">
        <f t="shared" si="100"/>
        <v>0.9</v>
      </c>
      <c r="J844" s="66">
        <v>0.9</v>
      </c>
      <c r="K844" s="65">
        <f t="shared" si="98"/>
        <v>9.9999999999999978E-2</v>
      </c>
      <c r="L844" s="28">
        <f t="shared" si="101"/>
        <v>9.6184077312470688E-3</v>
      </c>
      <c r="M844" s="71">
        <f t="shared" si="104"/>
        <v>7.2882731479490537E-3</v>
      </c>
      <c r="N844" s="50">
        <v>41233</v>
      </c>
      <c r="O844" s="77">
        <f t="shared" si="102"/>
        <v>0.44692364688414526</v>
      </c>
      <c r="P844" s="39">
        <f t="shared" si="103"/>
        <v>0.23159623128347473</v>
      </c>
    </row>
    <row r="845" spans="1:16" x14ac:dyDescent="0.3">
      <c r="A845" s="17">
        <v>41234</v>
      </c>
      <c r="B845" s="13">
        <v>24760</v>
      </c>
      <c r="C845" s="13">
        <v>54325</v>
      </c>
      <c r="D845" s="14">
        <v>1884.04</v>
      </c>
      <c r="E845" s="28">
        <f t="shared" si="97"/>
        <v>-3.0199315482182243E-3</v>
      </c>
      <c r="F845" s="39">
        <f t="shared" si="97"/>
        <v>0</v>
      </c>
      <c r="H845" s="64">
        <f t="shared" si="99"/>
        <v>0.7</v>
      </c>
      <c r="I845" s="65">
        <f t="shared" si="100"/>
        <v>0.9</v>
      </c>
      <c r="J845" s="66">
        <v>0.9</v>
      </c>
      <c r="K845" s="65">
        <f t="shared" si="98"/>
        <v>9.9999999999999978E-2</v>
      </c>
      <c r="L845" s="28">
        <f t="shared" si="101"/>
        <v>7.2882731479490537E-3</v>
      </c>
      <c r="M845" s="71">
        <f t="shared" si="104"/>
        <v>-2.7179383933964019E-3</v>
      </c>
      <c r="N845" s="51">
        <v>41234</v>
      </c>
      <c r="O845" s="77">
        <f t="shared" si="102"/>
        <v>0.44420570849074886</v>
      </c>
      <c r="P845" s="39">
        <f t="shared" si="103"/>
        <v>0.22759555364426554</v>
      </c>
    </row>
    <row r="846" spans="1:16" x14ac:dyDescent="0.3">
      <c r="A846" s="18">
        <v>41235</v>
      </c>
      <c r="B846" s="15">
        <v>25005</v>
      </c>
      <c r="C846" s="15">
        <v>54295</v>
      </c>
      <c r="D846" s="16">
        <v>1899.5</v>
      </c>
      <c r="E846" s="28">
        <f t="shared" si="97"/>
        <v>9.894991922455576E-3</v>
      </c>
      <c r="F846" s="39">
        <f t="shared" si="97"/>
        <v>-5.5223193741371635E-4</v>
      </c>
      <c r="H846" s="64">
        <f t="shared" si="99"/>
        <v>0.7</v>
      </c>
      <c r="I846" s="65">
        <f t="shared" si="100"/>
        <v>0.9</v>
      </c>
      <c r="J846" s="66">
        <v>0.7</v>
      </c>
      <c r="K846" s="65">
        <f t="shared" si="98"/>
        <v>0.30000000000000004</v>
      </c>
      <c r="L846" s="28">
        <f t="shared" si="101"/>
        <v>-2.113952083752757E-3</v>
      </c>
      <c r="M846" s="71">
        <f t="shared" si="104"/>
        <v>6.7608247644947873E-3</v>
      </c>
      <c r="N846" s="50">
        <v>41235</v>
      </c>
      <c r="O846" s="77">
        <f t="shared" si="102"/>
        <v>0.45096653325524366</v>
      </c>
      <c r="P846" s="39">
        <f t="shared" si="103"/>
        <v>0.23766892112018967</v>
      </c>
    </row>
    <row r="847" spans="1:16" x14ac:dyDescent="0.3">
      <c r="A847" s="17">
        <v>41236</v>
      </c>
      <c r="B847" s="13">
        <v>25185</v>
      </c>
      <c r="C847" s="13">
        <v>54245</v>
      </c>
      <c r="D847" s="14">
        <v>1911.33</v>
      </c>
      <c r="E847" s="28">
        <f t="shared" si="97"/>
        <v>7.1985602879423016E-3</v>
      </c>
      <c r="F847" s="39">
        <f t="shared" si="97"/>
        <v>-9.208951100470042E-4</v>
      </c>
      <c r="H847" s="64">
        <f t="shared" si="99"/>
        <v>0.7</v>
      </c>
      <c r="I847" s="65">
        <f t="shared" si="100"/>
        <v>0.9</v>
      </c>
      <c r="J847" s="66">
        <v>0.9</v>
      </c>
      <c r="K847" s="65">
        <f t="shared" si="98"/>
        <v>9.9999999999999978E-2</v>
      </c>
      <c r="L847" s="28">
        <f t="shared" si="101"/>
        <v>8.8502695364686464E-3</v>
      </c>
      <c r="M847" s="71">
        <f t="shared" si="104"/>
        <v>6.3866147481433716E-3</v>
      </c>
      <c r="N847" s="51">
        <v>41236</v>
      </c>
      <c r="O847" s="77">
        <f t="shared" si="102"/>
        <v>0.45735314800338706</v>
      </c>
      <c r="P847" s="39">
        <f t="shared" si="103"/>
        <v>0.24537706712537632</v>
      </c>
    </row>
    <row r="848" spans="1:16" x14ac:dyDescent="0.3">
      <c r="A848" s="17">
        <v>41239</v>
      </c>
      <c r="B848" s="13">
        <v>25145</v>
      </c>
      <c r="C848" s="13">
        <v>54300</v>
      </c>
      <c r="D848" s="14">
        <v>1908.51</v>
      </c>
      <c r="E848" s="28">
        <f t="shared" si="97"/>
        <v>-1.5882469724042281E-3</v>
      </c>
      <c r="F848" s="39">
        <f t="shared" si="97"/>
        <v>1.0139183334869628E-3</v>
      </c>
      <c r="H848" s="64">
        <f t="shared" si="99"/>
        <v>0.5</v>
      </c>
      <c r="I848" s="65">
        <f t="shared" si="100"/>
        <v>0.7</v>
      </c>
      <c r="J848" s="66">
        <v>0.7</v>
      </c>
      <c r="K848" s="65">
        <f t="shared" si="98"/>
        <v>0.30000000000000004</v>
      </c>
      <c r="L848" s="28">
        <f t="shared" si="101"/>
        <v>4.7627236685455097E-3</v>
      </c>
      <c r="M848" s="71">
        <f t="shared" si="104"/>
        <v>-8.0759738063687061E-4</v>
      </c>
      <c r="N848" s="51">
        <v>41239</v>
      </c>
      <c r="O848" s="77">
        <f t="shared" si="102"/>
        <v>0.45654555062275021</v>
      </c>
      <c r="P848" s="39">
        <f t="shared" si="103"/>
        <v>0.2435396223464561</v>
      </c>
    </row>
    <row r="849" spans="1:16" x14ac:dyDescent="0.3">
      <c r="A849" s="18">
        <v>41240</v>
      </c>
      <c r="B849" s="15">
        <v>25395</v>
      </c>
      <c r="C849" s="15">
        <v>54250</v>
      </c>
      <c r="D849" s="70">
        <v>1925.2</v>
      </c>
      <c r="E849" s="71">
        <f t="shared" ref="E849:F912" si="105">B849/B848-1</f>
        <v>9.9423344601312635E-3</v>
      </c>
      <c r="F849" s="39">
        <f t="shared" si="105"/>
        <v>-9.2081031307555961E-4</v>
      </c>
      <c r="H849" s="64">
        <f t="shared" si="99"/>
        <v>0.5</v>
      </c>
      <c r="I849" s="65">
        <f t="shared" si="100"/>
        <v>0.7</v>
      </c>
      <c r="J849" s="66">
        <v>0.5</v>
      </c>
      <c r="K849" s="65">
        <f t="shared" ref="K849:K912" si="106">1-J849</f>
        <v>0.5</v>
      </c>
      <c r="L849" s="28">
        <f t="shared" si="101"/>
        <v>-2.8716431945863263E-4</v>
      </c>
      <c r="M849" s="71">
        <f t="shared" si="104"/>
        <v>4.510762073527852E-3</v>
      </c>
      <c r="N849" s="50">
        <v>41240</v>
      </c>
      <c r="O849" s="77">
        <f t="shared" si="102"/>
        <v>0.46105631269627806</v>
      </c>
      <c r="P849" s="39">
        <f t="shared" si="103"/>
        <v>0.25441442850254758</v>
      </c>
    </row>
    <row r="850" spans="1:16" x14ac:dyDescent="0.3">
      <c r="A850" s="17">
        <v>41241</v>
      </c>
      <c r="B850" s="13">
        <v>25250</v>
      </c>
      <c r="C850" s="13">
        <v>54295</v>
      </c>
      <c r="D850" s="14">
        <v>1912.78</v>
      </c>
      <c r="E850" s="28">
        <f t="shared" si="105"/>
        <v>-5.7097853908250062E-3</v>
      </c>
      <c r="F850" s="39">
        <f t="shared" si="105"/>
        <v>8.2949308755764228E-4</v>
      </c>
      <c r="H850" s="64">
        <f t="shared" ref="H850:H913" si="107">IF($D849&lt;=1850,0.9,IF(AND($D849&lt;=1900,$D849&gt;1850),0.7,IF(AND($D849&lt;=1950,$D849&gt;1900),0.5,IF(AND($D849&lt;=2000,$D849&gt;1950),0.3,IF($D849&gt;2000,0.2,0)))))</f>
        <v>0.5</v>
      </c>
      <c r="I850" s="65">
        <f t="shared" ref="I850:I913" si="108">IF($D849&lt;=1850,1,IF(AND($D849&lt;=1900,$D849&gt;1850),0.9,IF(AND($D849&lt;=1950,$D849&gt;1900),0.7,IF(AND($D849&lt;=2000,$D849&gt;1950),0.5,IF($D849&gt;2000,0.3,0)))))</f>
        <v>0.7</v>
      </c>
      <c r="J850" s="66">
        <v>0.7</v>
      </c>
      <c r="K850" s="65">
        <f t="shared" si="106"/>
        <v>0.30000000000000004</v>
      </c>
      <c r="L850" s="28">
        <f t="shared" ref="L850:L913" si="109">E849*J850+F849*K850</f>
        <v>6.6833910281692156E-3</v>
      </c>
      <c r="M850" s="71">
        <f t="shared" si="104"/>
        <v>-3.7480018473102115E-3</v>
      </c>
      <c r="N850" s="51">
        <v>41241</v>
      </c>
      <c r="O850" s="77">
        <f t="shared" ref="O850:O913" si="110">O849+M850</f>
        <v>0.45730831084896784</v>
      </c>
      <c r="P850" s="39">
        <f t="shared" ref="P850:P913" si="111">D850/$D$16-1</f>
        <v>0.24632185256134598</v>
      </c>
    </row>
    <row r="851" spans="1:16" x14ac:dyDescent="0.3">
      <c r="A851" s="18">
        <v>41242</v>
      </c>
      <c r="B851" s="15">
        <v>25520</v>
      </c>
      <c r="C851" s="15">
        <v>54325</v>
      </c>
      <c r="D851" s="16">
        <v>1934.85</v>
      </c>
      <c r="E851" s="28">
        <f t="shared" si="105"/>
        <v>1.0693069306930703E-2</v>
      </c>
      <c r="F851" s="39">
        <f t="shared" si="105"/>
        <v>5.5253706602820252E-4</v>
      </c>
      <c r="H851" s="64">
        <f t="shared" si="107"/>
        <v>0.5</v>
      </c>
      <c r="I851" s="65">
        <f t="shared" si="108"/>
        <v>0.7</v>
      </c>
      <c r="J851" s="66">
        <v>0.5</v>
      </c>
      <c r="K851" s="65">
        <f t="shared" si="106"/>
        <v>0.5</v>
      </c>
      <c r="L851" s="28">
        <f t="shared" si="109"/>
        <v>-2.440146151633682E-3</v>
      </c>
      <c r="M851" s="71">
        <f t="shared" si="104"/>
        <v>5.6228031864794525E-3</v>
      </c>
      <c r="N851" s="50">
        <v>41242</v>
      </c>
      <c r="O851" s="77">
        <f t="shared" si="110"/>
        <v>0.46293111403544729</v>
      </c>
      <c r="P851" s="39">
        <f t="shared" si="111"/>
        <v>0.26070213847296597</v>
      </c>
    </row>
    <row r="852" spans="1:16" x14ac:dyDescent="0.3">
      <c r="A852" s="17">
        <v>41243</v>
      </c>
      <c r="B852" s="13">
        <v>25555</v>
      </c>
      <c r="C852" s="13">
        <v>54310</v>
      </c>
      <c r="D852" s="14">
        <v>1932.9</v>
      </c>
      <c r="E852" s="28">
        <f t="shared" si="105"/>
        <v>1.3714733542320445E-3</v>
      </c>
      <c r="F852" s="39">
        <f t="shared" si="105"/>
        <v>-2.7611596870680266E-4</v>
      </c>
      <c r="H852" s="64">
        <f t="shared" si="107"/>
        <v>0.5</v>
      </c>
      <c r="I852" s="65">
        <f t="shared" si="108"/>
        <v>0.7</v>
      </c>
      <c r="J852" s="66">
        <v>0.7</v>
      </c>
      <c r="K852" s="65">
        <f t="shared" si="106"/>
        <v>0.30000000000000004</v>
      </c>
      <c r="L852" s="28">
        <f t="shared" si="109"/>
        <v>7.6509096346599513E-3</v>
      </c>
      <c r="M852" s="71">
        <f t="shared" ref="M852:M915" si="112">E852*J852+F852*K852</f>
        <v>8.7719655735039024E-4</v>
      </c>
      <c r="N852" s="51">
        <v>41243</v>
      </c>
      <c r="O852" s="77">
        <f t="shared" si="110"/>
        <v>0.4638083105927977</v>
      </c>
      <c r="P852" s="39">
        <f t="shared" si="111"/>
        <v>0.2594315649556278</v>
      </c>
    </row>
    <row r="853" spans="1:16" x14ac:dyDescent="0.3">
      <c r="A853" s="17">
        <v>41246</v>
      </c>
      <c r="B853" s="13">
        <v>25590</v>
      </c>
      <c r="C853" s="13">
        <v>54305</v>
      </c>
      <c r="D853" s="14">
        <v>1940.02</v>
      </c>
      <c r="E853" s="28">
        <f t="shared" si="105"/>
        <v>1.3695949911953775E-3</v>
      </c>
      <c r="F853" s="39">
        <f t="shared" si="105"/>
        <v>-9.2064076597342392E-5</v>
      </c>
      <c r="H853" s="64">
        <f t="shared" si="107"/>
        <v>0.5</v>
      </c>
      <c r="I853" s="65">
        <f t="shared" si="108"/>
        <v>0.7</v>
      </c>
      <c r="J853" s="66">
        <v>0.7</v>
      </c>
      <c r="K853" s="65">
        <f t="shared" si="106"/>
        <v>0.30000000000000004</v>
      </c>
      <c r="L853" s="28">
        <f t="shared" si="109"/>
        <v>8.7719655735039024E-4</v>
      </c>
      <c r="M853" s="71">
        <f t="shared" si="112"/>
        <v>9.3109727085756151E-4</v>
      </c>
      <c r="N853" s="51">
        <v>41246</v>
      </c>
      <c r="O853" s="77">
        <f t="shared" si="110"/>
        <v>0.46473940786365525</v>
      </c>
      <c r="P853" s="39">
        <f t="shared" si="111"/>
        <v>0.26407078723431976</v>
      </c>
    </row>
    <row r="854" spans="1:16" x14ac:dyDescent="0.3">
      <c r="A854" s="18">
        <v>41247</v>
      </c>
      <c r="B854" s="15">
        <v>25520</v>
      </c>
      <c r="C854" s="15">
        <v>54345</v>
      </c>
      <c r="D854" s="70">
        <v>1935.18</v>
      </c>
      <c r="E854" s="71">
        <f t="shared" si="105"/>
        <v>-2.7354435326298887E-3</v>
      </c>
      <c r="F854" s="39">
        <f t="shared" si="105"/>
        <v>7.3658042537516621E-4</v>
      </c>
      <c r="H854" s="64">
        <f t="shared" si="107"/>
        <v>0.5</v>
      </c>
      <c r="I854" s="65">
        <f t="shared" si="108"/>
        <v>0.7</v>
      </c>
      <c r="J854" s="66">
        <v>0.7</v>
      </c>
      <c r="K854" s="65">
        <f t="shared" si="106"/>
        <v>0.30000000000000004</v>
      </c>
      <c r="L854" s="28">
        <f t="shared" si="109"/>
        <v>9.3109727085756151E-4</v>
      </c>
      <c r="M854" s="71">
        <f t="shared" si="112"/>
        <v>-1.6938363452283719E-3</v>
      </c>
      <c r="N854" s="50">
        <v>41247</v>
      </c>
      <c r="O854" s="77">
        <f t="shared" si="110"/>
        <v>0.4630455715184269</v>
      </c>
      <c r="P854" s="39">
        <f t="shared" si="111"/>
        <v>0.26091715860666964</v>
      </c>
    </row>
    <row r="855" spans="1:16" x14ac:dyDescent="0.3">
      <c r="A855" s="17">
        <v>41248</v>
      </c>
      <c r="B855" s="13">
        <v>25695</v>
      </c>
      <c r="C855" s="13">
        <v>54280</v>
      </c>
      <c r="D855" s="14">
        <v>1947.04</v>
      </c>
      <c r="E855" s="28">
        <f t="shared" si="105"/>
        <v>6.8573667711597786E-3</v>
      </c>
      <c r="F855" s="39">
        <f t="shared" si="105"/>
        <v>-1.1960621952341599E-3</v>
      </c>
      <c r="H855" s="64">
        <f t="shared" si="107"/>
        <v>0.5</v>
      </c>
      <c r="I855" s="65">
        <f t="shared" si="108"/>
        <v>0.7</v>
      </c>
      <c r="J855" s="66">
        <v>0.5</v>
      </c>
      <c r="K855" s="65">
        <f t="shared" si="106"/>
        <v>0.5</v>
      </c>
      <c r="L855" s="28">
        <f t="shared" si="109"/>
        <v>-9.9943155362736125E-4</v>
      </c>
      <c r="M855" s="71">
        <f t="shared" si="112"/>
        <v>2.8306522879628093E-3</v>
      </c>
      <c r="N855" s="51">
        <v>41248</v>
      </c>
      <c r="O855" s="77">
        <f t="shared" si="110"/>
        <v>0.46587622380638971</v>
      </c>
      <c r="P855" s="39">
        <f t="shared" si="111"/>
        <v>0.26864485189673815</v>
      </c>
    </row>
    <row r="856" spans="1:16" x14ac:dyDescent="0.3">
      <c r="A856" s="18">
        <v>41249</v>
      </c>
      <c r="B856" s="15">
        <v>25755</v>
      </c>
      <c r="C856" s="15">
        <v>54295</v>
      </c>
      <c r="D856" s="16">
        <v>1949.62</v>
      </c>
      <c r="E856" s="28">
        <f t="shared" si="105"/>
        <v>2.3350846468184194E-3</v>
      </c>
      <c r="F856" s="39">
        <f t="shared" si="105"/>
        <v>2.7634487840821897E-4</v>
      </c>
      <c r="H856" s="64">
        <f t="shared" si="107"/>
        <v>0.5</v>
      </c>
      <c r="I856" s="65">
        <f t="shared" si="108"/>
        <v>0.7</v>
      </c>
      <c r="J856" s="66">
        <v>0.7</v>
      </c>
      <c r="K856" s="65">
        <f t="shared" si="106"/>
        <v>0.30000000000000004</v>
      </c>
      <c r="L856" s="28">
        <f t="shared" si="109"/>
        <v>4.4413380812415963E-3</v>
      </c>
      <c r="M856" s="71">
        <f t="shared" si="112"/>
        <v>1.7174627162953593E-3</v>
      </c>
      <c r="N856" s="50">
        <v>41249</v>
      </c>
      <c r="O856" s="77">
        <f t="shared" si="110"/>
        <v>0.46759368652268507</v>
      </c>
      <c r="P856" s="39">
        <f t="shared" si="111"/>
        <v>0.27032591839660136</v>
      </c>
    </row>
    <row r="857" spans="1:16" x14ac:dyDescent="0.3">
      <c r="A857" s="17">
        <v>41250</v>
      </c>
      <c r="B857" s="13">
        <v>25905</v>
      </c>
      <c r="C857" s="13">
        <v>54335</v>
      </c>
      <c r="D857" s="14">
        <v>1957.45</v>
      </c>
      <c r="E857" s="28">
        <f t="shared" si="105"/>
        <v>5.8241118229469535E-3</v>
      </c>
      <c r="F857" s="39">
        <f t="shared" si="105"/>
        <v>7.3671608803760336E-4</v>
      </c>
      <c r="H857" s="64">
        <f t="shared" si="107"/>
        <v>0.5</v>
      </c>
      <c r="I857" s="65">
        <f t="shared" si="108"/>
        <v>0.7</v>
      </c>
      <c r="J857" s="66">
        <v>0.7</v>
      </c>
      <c r="K857" s="65">
        <f t="shared" si="106"/>
        <v>0.30000000000000004</v>
      </c>
      <c r="L857" s="28">
        <f t="shared" si="109"/>
        <v>1.7174627162953593E-3</v>
      </c>
      <c r="M857" s="71">
        <f t="shared" si="112"/>
        <v>4.2978931024741478E-3</v>
      </c>
      <c r="N857" s="51">
        <v>41250</v>
      </c>
      <c r="O857" s="77">
        <f t="shared" si="110"/>
        <v>0.47189157962515921</v>
      </c>
      <c r="P857" s="39">
        <f t="shared" si="111"/>
        <v>0.27542775975083722</v>
      </c>
    </row>
    <row r="858" spans="1:16" x14ac:dyDescent="0.3">
      <c r="A858" s="17">
        <v>41253</v>
      </c>
      <c r="B858" s="13">
        <v>25945</v>
      </c>
      <c r="C858" s="13">
        <v>54300</v>
      </c>
      <c r="D858" s="14">
        <v>1957.42</v>
      </c>
      <c r="E858" s="28">
        <f t="shared" si="105"/>
        <v>1.5441034549315003E-3</v>
      </c>
      <c r="F858" s="39">
        <f t="shared" si="105"/>
        <v>-6.4415201987666482E-4</v>
      </c>
      <c r="H858" s="64">
        <f t="shared" si="107"/>
        <v>0.3</v>
      </c>
      <c r="I858" s="65">
        <f t="shared" si="108"/>
        <v>0.5</v>
      </c>
      <c r="J858" s="66">
        <v>0.5</v>
      </c>
      <c r="K858" s="65">
        <f t="shared" si="106"/>
        <v>0.5</v>
      </c>
      <c r="L858" s="28">
        <f t="shared" si="109"/>
        <v>3.2804139554922784E-3</v>
      </c>
      <c r="M858" s="71">
        <f t="shared" si="112"/>
        <v>4.4997571752741772E-4</v>
      </c>
      <c r="N858" s="51">
        <v>41253</v>
      </c>
      <c r="O858" s="77">
        <f t="shared" si="110"/>
        <v>0.47234155534268663</v>
      </c>
      <c r="P858" s="39">
        <f t="shared" si="111"/>
        <v>0.27540821246595515</v>
      </c>
    </row>
    <row r="859" spans="1:16" x14ac:dyDescent="0.3">
      <c r="A859" s="18">
        <v>41254</v>
      </c>
      <c r="B859" s="15">
        <v>26025</v>
      </c>
      <c r="C859" s="15">
        <v>53830</v>
      </c>
      <c r="D859" s="70">
        <v>1964.62</v>
      </c>
      <c r="E859" s="71">
        <f t="shared" si="105"/>
        <v>3.0834457506263568E-3</v>
      </c>
      <c r="F859" s="39">
        <f t="shared" si="105"/>
        <v>-8.6556169429097274E-3</v>
      </c>
      <c r="H859" s="64">
        <f t="shared" si="107"/>
        <v>0.3</v>
      </c>
      <c r="I859" s="65">
        <f t="shared" si="108"/>
        <v>0.5</v>
      </c>
      <c r="J859" s="66">
        <v>0.5</v>
      </c>
      <c r="K859" s="65">
        <f t="shared" si="106"/>
        <v>0.5</v>
      </c>
      <c r="L859" s="28">
        <f t="shared" si="109"/>
        <v>4.4997571752741772E-4</v>
      </c>
      <c r="M859" s="71">
        <f t="shared" si="112"/>
        <v>-2.7860855961416853E-3</v>
      </c>
      <c r="N859" s="50">
        <v>41254</v>
      </c>
      <c r="O859" s="77">
        <f t="shared" si="110"/>
        <v>0.46955546974654494</v>
      </c>
      <c r="P859" s="39">
        <f t="shared" si="111"/>
        <v>0.28009956083766618</v>
      </c>
    </row>
    <row r="860" spans="1:16" x14ac:dyDescent="0.3">
      <c r="A860" s="17">
        <v>41255</v>
      </c>
      <c r="B860" s="13">
        <v>26215</v>
      </c>
      <c r="C860" s="13">
        <v>53760</v>
      </c>
      <c r="D860" s="14">
        <v>1975.44</v>
      </c>
      <c r="E860" s="28">
        <f t="shared" si="105"/>
        <v>7.3006724303554815E-3</v>
      </c>
      <c r="F860" s="39">
        <f t="shared" si="105"/>
        <v>-1.3003901170350884E-3</v>
      </c>
      <c r="H860" s="64">
        <f t="shared" si="107"/>
        <v>0.3</v>
      </c>
      <c r="I860" s="65">
        <f t="shared" si="108"/>
        <v>0.5</v>
      </c>
      <c r="J860" s="66">
        <v>0.5</v>
      </c>
      <c r="K860" s="65">
        <f t="shared" si="106"/>
        <v>0.5</v>
      </c>
      <c r="L860" s="28">
        <f t="shared" si="109"/>
        <v>-2.7860855961416853E-3</v>
      </c>
      <c r="M860" s="71">
        <f t="shared" si="112"/>
        <v>3.0001411566601965E-3</v>
      </c>
      <c r="N860" s="51">
        <v>41255</v>
      </c>
      <c r="O860" s="77">
        <f t="shared" si="110"/>
        <v>0.47255561090320514</v>
      </c>
      <c r="P860" s="39">
        <f t="shared" si="111"/>
        <v>0.28714961491848778</v>
      </c>
    </row>
    <row r="861" spans="1:16" x14ac:dyDescent="0.3">
      <c r="A861" s="18">
        <v>41256</v>
      </c>
      <c r="B861" s="15">
        <v>26500</v>
      </c>
      <c r="C861" s="15">
        <v>53740</v>
      </c>
      <c r="D861" s="16">
        <v>2002.77</v>
      </c>
      <c r="E861" s="28">
        <f t="shared" si="105"/>
        <v>1.0871638374976067E-2</v>
      </c>
      <c r="F861" s="39">
        <f t="shared" si="105"/>
        <v>-3.7202380952383596E-4</v>
      </c>
      <c r="H861" s="64">
        <f t="shared" si="107"/>
        <v>0.3</v>
      </c>
      <c r="I861" s="65">
        <f t="shared" si="108"/>
        <v>0.5</v>
      </c>
      <c r="J861" s="66">
        <v>0.5</v>
      </c>
      <c r="K861" s="65">
        <f t="shared" si="106"/>
        <v>0.5</v>
      </c>
      <c r="L861" s="28">
        <f t="shared" si="109"/>
        <v>3.0001411566601965E-3</v>
      </c>
      <c r="M861" s="71">
        <f t="shared" si="112"/>
        <v>5.2498072827261155E-3</v>
      </c>
      <c r="N861" s="50">
        <v>41256</v>
      </c>
      <c r="O861" s="77">
        <f t="shared" si="110"/>
        <v>0.47780541818593125</v>
      </c>
      <c r="P861" s="39">
        <f t="shared" si="111"/>
        <v>0.30495719144610822</v>
      </c>
    </row>
    <row r="862" spans="1:16" x14ac:dyDescent="0.3">
      <c r="A862" s="17">
        <v>41257</v>
      </c>
      <c r="B862" s="13">
        <v>26590</v>
      </c>
      <c r="C862" s="13">
        <v>53705</v>
      </c>
      <c r="D862" s="14">
        <v>1995.04</v>
      </c>
      <c r="E862" s="28">
        <f t="shared" si="105"/>
        <v>3.3962264150944055E-3</v>
      </c>
      <c r="F862" s="39">
        <f t="shared" si="105"/>
        <v>-6.5128395980651455E-4</v>
      </c>
      <c r="H862" s="64">
        <f t="shared" si="107"/>
        <v>0.2</v>
      </c>
      <c r="I862" s="65">
        <f t="shared" si="108"/>
        <v>0.3</v>
      </c>
      <c r="J862" s="66">
        <v>0.3</v>
      </c>
      <c r="K862" s="65">
        <f t="shared" si="106"/>
        <v>0.7</v>
      </c>
      <c r="L862" s="28">
        <f t="shared" si="109"/>
        <v>3.0010748458261347E-3</v>
      </c>
      <c r="M862" s="71">
        <f t="shared" si="112"/>
        <v>5.6296915266376148E-4</v>
      </c>
      <c r="N862" s="51">
        <v>41257</v>
      </c>
      <c r="O862" s="77">
        <f t="shared" si="110"/>
        <v>0.47836838733859499</v>
      </c>
      <c r="P862" s="39">
        <f t="shared" si="111"/>
        <v>0.29992050770814593</v>
      </c>
    </row>
    <row r="863" spans="1:16" x14ac:dyDescent="0.3">
      <c r="A863" s="17">
        <v>41260</v>
      </c>
      <c r="B863" s="13">
        <v>26330</v>
      </c>
      <c r="C863" s="13">
        <v>53730</v>
      </c>
      <c r="D863" s="14">
        <v>1983.07</v>
      </c>
      <c r="E863" s="28">
        <f t="shared" si="105"/>
        <v>-9.7781120722075787E-3</v>
      </c>
      <c r="F863" s="39">
        <f t="shared" si="105"/>
        <v>4.6550600502737183E-4</v>
      </c>
      <c r="H863" s="64">
        <f t="shared" si="107"/>
        <v>0.3</v>
      </c>
      <c r="I863" s="65">
        <f t="shared" si="108"/>
        <v>0.5</v>
      </c>
      <c r="J863" s="66">
        <v>0.5</v>
      </c>
      <c r="K863" s="65">
        <f t="shared" si="106"/>
        <v>0.5</v>
      </c>
      <c r="L863" s="28">
        <f t="shared" si="109"/>
        <v>1.3724712276439455E-3</v>
      </c>
      <c r="M863" s="71">
        <f t="shared" si="112"/>
        <v>-4.6563030335901034E-3</v>
      </c>
      <c r="N863" s="51">
        <v>41260</v>
      </c>
      <c r="O863" s="77">
        <f t="shared" si="110"/>
        <v>0.47371208430500489</v>
      </c>
      <c r="P863" s="39">
        <f t="shared" si="111"/>
        <v>0.29212114104017606</v>
      </c>
    </row>
    <row r="864" spans="1:16" x14ac:dyDescent="0.3">
      <c r="A864" s="18">
        <v>41261</v>
      </c>
      <c r="B864" s="15">
        <v>26455</v>
      </c>
      <c r="C864" s="15">
        <v>53695</v>
      </c>
      <c r="D864" s="70">
        <v>1993.09</v>
      </c>
      <c r="E864" s="71">
        <f t="shared" si="105"/>
        <v>4.747436384352488E-3</v>
      </c>
      <c r="F864" s="39">
        <f t="shared" si="105"/>
        <v>-6.5140517401829356E-4</v>
      </c>
      <c r="H864" s="64">
        <f t="shared" si="107"/>
        <v>0.3</v>
      </c>
      <c r="I864" s="65">
        <f t="shared" si="108"/>
        <v>0.5</v>
      </c>
      <c r="J864" s="66">
        <v>0.3</v>
      </c>
      <c r="K864" s="65">
        <f t="shared" si="106"/>
        <v>0.7</v>
      </c>
      <c r="L864" s="28">
        <f t="shared" si="109"/>
        <v>-2.6075794181431131E-3</v>
      </c>
      <c r="M864" s="71">
        <f t="shared" si="112"/>
        <v>9.6824729349294088E-4</v>
      </c>
      <c r="N864" s="50">
        <v>41261</v>
      </c>
      <c r="O864" s="77">
        <f t="shared" si="110"/>
        <v>0.47468033159849782</v>
      </c>
      <c r="P864" s="39">
        <f t="shared" si="111"/>
        <v>0.29864993419080754</v>
      </c>
    </row>
    <row r="865" spans="1:16" x14ac:dyDescent="0.3">
      <c r="A865" s="17">
        <v>41263</v>
      </c>
      <c r="B865" s="13">
        <v>26450</v>
      </c>
      <c r="C865" s="13">
        <v>53715</v>
      </c>
      <c r="D865" s="14">
        <v>1999.5</v>
      </c>
      <c r="E865" s="28">
        <f t="shared" si="105"/>
        <v>-1.8900018900014359E-4</v>
      </c>
      <c r="F865" s="39">
        <f t="shared" si="105"/>
        <v>3.7247415960517394E-4</v>
      </c>
      <c r="H865" s="64">
        <f t="shared" si="107"/>
        <v>0.3</v>
      </c>
      <c r="I865" s="65">
        <f t="shared" si="108"/>
        <v>0.5</v>
      </c>
      <c r="J865" s="66">
        <v>0.5</v>
      </c>
      <c r="K865" s="65">
        <f t="shared" si="106"/>
        <v>0.5</v>
      </c>
      <c r="L865" s="28">
        <f t="shared" si="109"/>
        <v>2.0480156051670972E-3</v>
      </c>
      <c r="M865" s="71">
        <f t="shared" si="112"/>
        <v>9.1736985302515173E-5</v>
      </c>
      <c r="N865" s="51">
        <v>41263</v>
      </c>
      <c r="O865" s="77">
        <f t="shared" si="110"/>
        <v>0.47477206858380033</v>
      </c>
      <c r="P865" s="39">
        <f t="shared" si="111"/>
        <v>0.30282653739395604</v>
      </c>
    </row>
    <row r="866" spans="1:16" x14ac:dyDescent="0.3">
      <c r="A866" s="18">
        <v>41264</v>
      </c>
      <c r="B866" s="15">
        <v>26215</v>
      </c>
      <c r="C866" s="15">
        <v>53770</v>
      </c>
      <c r="D866" s="16">
        <v>1980.42</v>
      </c>
      <c r="E866" s="28">
        <f t="shared" si="105"/>
        <v>-8.8846880907372805E-3</v>
      </c>
      <c r="F866" s="39">
        <f t="shared" si="105"/>
        <v>1.0239225542214569E-3</v>
      </c>
      <c r="H866" s="64">
        <f t="shared" si="107"/>
        <v>0.3</v>
      </c>
      <c r="I866" s="65">
        <f t="shared" si="108"/>
        <v>0.5</v>
      </c>
      <c r="J866" s="66">
        <v>0.30000000000000004</v>
      </c>
      <c r="K866" s="65">
        <f t="shared" si="106"/>
        <v>0.7</v>
      </c>
      <c r="L866" s="28">
        <f t="shared" si="109"/>
        <v>2.0403185502357863E-4</v>
      </c>
      <c r="M866" s="71">
        <f t="shared" si="112"/>
        <v>-1.9486606392661648E-3</v>
      </c>
      <c r="N866" s="50">
        <v>41264</v>
      </c>
      <c r="O866" s="77">
        <f t="shared" si="110"/>
        <v>0.47282340794453415</v>
      </c>
      <c r="P866" s="39">
        <f t="shared" si="111"/>
        <v>0.29039446420892134</v>
      </c>
    </row>
    <row r="867" spans="1:16" x14ac:dyDescent="0.3">
      <c r="A867" s="17">
        <v>41267</v>
      </c>
      <c r="B867" s="13">
        <v>26320</v>
      </c>
      <c r="C867" s="13">
        <v>53750</v>
      </c>
      <c r="D867" s="14">
        <v>1981.82</v>
      </c>
      <c r="E867" s="28">
        <f t="shared" si="105"/>
        <v>4.0053404539386328E-3</v>
      </c>
      <c r="F867" s="39">
        <f t="shared" si="105"/>
        <v>-3.7195462153616354E-4</v>
      </c>
      <c r="H867" s="64">
        <f t="shared" si="107"/>
        <v>0.3</v>
      </c>
      <c r="I867" s="65">
        <f t="shared" si="108"/>
        <v>0.5</v>
      </c>
      <c r="J867" s="66">
        <v>0.30000000000000004</v>
      </c>
      <c r="K867" s="65">
        <f t="shared" si="106"/>
        <v>0.7</v>
      </c>
      <c r="L867" s="28">
        <f t="shared" si="109"/>
        <v>-1.9486606392661648E-3</v>
      </c>
      <c r="M867" s="71">
        <f t="shared" si="112"/>
        <v>9.4123390110627562E-4</v>
      </c>
      <c r="N867" s="51">
        <v>41267</v>
      </c>
      <c r="O867" s="77">
        <f t="shared" si="110"/>
        <v>0.47376464184564043</v>
      </c>
      <c r="P867" s="39">
        <f t="shared" si="111"/>
        <v>0.29130667083675399</v>
      </c>
    </row>
    <row r="868" spans="1:16" x14ac:dyDescent="0.3">
      <c r="A868" s="17">
        <v>41269</v>
      </c>
      <c r="B868" s="13">
        <v>26345</v>
      </c>
      <c r="C868" s="13">
        <v>53730</v>
      </c>
      <c r="D868" s="14">
        <v>1982.25</v>
      </c>
      <c r="E868" s="28">
        <f t="shared" si="105"/>
        <v>9.4984802431619109E-4</v>
      </c>
      <c r="F868" s="39">
        <f t="shared" si="105"/>
        <v>-3.7209302325580396E-4</v>
      </c>
      <c r="H868" s="64">
        <f t="shared" si="107"/>
        <v>0.3</v>
      </c>
      <c r="I868" s="65">
        <f t="shared" si="108"/>
        <v>0.5</v>
      </c>
      <c r="J868" s="66">
        <v>0.5</v>
      </c>
      <c r="K868" s="65">
        <f t="shared" si="106"/>
        <v>0.5</v>
      </c>
      <c r="L868" s="28">
        <f t="shared" si="109"/>
        <v>1.8166929162012346E-3</v>
      </c>
      <c r="M868" s="71">
        <f t="shared" si="112"/>
        <v>2.8887750053019356E-4</v>
      </c>
      <c r="N868" s="51">
        <v>41269</v>
      </c>
      <c r="O868" s="77">
        <f t="shared" si="110"/>
        <v>0.47405351934617063</v>
      </c>
      <c r="P868" s="39">
        <f t="shared" si="111"/>
        <v>0.29158684858673123</v>
      </c>
    </row>
    <row r="869" spans="1:16" x14ac:dyDescent="0.3">
      <c r="A869" s="18">
        <v>41270</v>
      </c>
      <c r="B869" s="15">
        <v>26480</v>
      </c>
      <c r="C869" s="15">
        <v>53770</v>
      </c>
      <c r="D869" s="70">
        <v>1987.35</v>
      </c>
      <c r="E869" s="71">
        <f t="shared" si="105"/>
        <v>5.1243120136648113E-3</v>
      </c>
      <c r="F869" s="39">
        <f t="shared" si="105"/>
        <v>7.4446305602093865E-4</v>
      </c>
      <c r="H869" s="64">
        <f t="shared" si="107"/>
        <v>0.3</v>
      </c>
      <c r="I869" s="65">
        <f t="shared" si="108"/>
        <v>0.5</v>
      </c>
      <c r="J869" s="66">
        <v>0.5</v>
      </c>
      <c r="K869" s="65">
        <f t="shared" si="106"/>
        <v>0.5</v>
      </c>
      <c r="L869" s="28">
        <f t="shared" si="109"/>
        <v>2.8887750053019356E-4</v>
      </c>
      <c r="M869" s="71">
        <f t="shared" si="112"/>
        <v>2.934387534842875E-3</v>
      </c>
      <c r="N869" s="50">
        <v>41270</v>
      </c>
      <c r="O869" s="77">
        <f t="shared" si="110"/>
        <v>0.4769879068810135</v>
      </c>
      <c r="P869" s="39">
        <f t="shared" si="111"/>
        <v>0.2949098870166933</v>
      </c>
    </row>
    <row r="870" spans="1:16" x14ac:dyDescent="0.3">
      <c r="A870" s="17">
        <v>41271</v>
      </c>
      <c r="B870" s="13">
        <v>26610</v>
      </c>
      <c r="C870" s="13">
        <v>53870</v>
      </c>
      <c r="D870" s="14">
        <v>1997.05</v>
      </c>
      <c r="E870" s="28">
        <f t="shared" si="105"/>
        <v>4.9093655589123042E-3</v>
      </c>
      <c r="F870" s="39">
        <f t="shared" si="105"/>
        <v>1.8597731076808177E-3</v>
      </c>
      <c r="H870" s="64">
        <f t="shared" si="107"/>
        <v>0.3</v>
      </c>
      <c r="I870" s="65">
        <f t="shared" si="108"/>
        <v>0.5</v>
      </c>
      <c r="J870" s="66">
        <v>0.5</v>
      </c>
      <c r="K870" s="65">
        <f t="shared" si="106"/>
        <v>0.5</v>
      </c>
      <c r="L870" s="28">
        <f t="shared" si="109"/>
        <v>2.934387534842875E-3</v>
      </c>
      <c r="M870" s="71">
        <f t="shared" si="112"/>
        <v>3.384569333296561E-3</v>
      </c>
      <c r="N870" s="51">
        <v>41271</v>
      </c>
      <c r="O870" s="77">
        <f t="shared" si="110"/>
        <v>0.48037247621431006</v>
      </c>
      <c r="P870" s="39">
        <f t="shared" si="111"/>
        <v>0.30123017579524869</v>
      </c>
    </row>
    <row r="871" spans="1:16" x14ac:dyDescent="0.3">
      <c r="A871" s="18">
        <v>41276</v>
      </c>
      <c r="B871" s="15">
        <v>27130</v>
      </c>
      <c r="C871" s="15">
        <v>53850</v>
      </c>
      <c r="D871" s="16">
        <v>2031.1</v>
      </c>
      <c r="E871" s="28">
        <f t="shared" si="105"/>
        <v>1.9541525742202248E-2</v>
      </c>
      <c r="F871" s="39">
        <f t="shared" si="105"/>
        <v>-3.7126415444588279E-4</v>
      </c>
      <c r="H871" s="64">
        <f t="shared" si="107"/>
        <v>0.3</v>
      </c>
      <c r="I871" s="65">
        <f t="shared" si="108"/>
        <v>0.5</v>
      </c>
      <c r="J871" s="66">
        <v>0.5</v>
      </c>
      <c r="K871" s="65">
        <f t="shared" si="106"/>
        <v>0.5</v>
      </c>
      <c r="L871" s="28">
        <f t="shared" si="109"/>
        <v>3.384569333296561E-3</v>
      </c>
      <c r="M871" s="71">
        <f t="shared" si="112"/>
        <v>9.5851307938781827E-3</v>
      </c>
      <c r="N871" s="50">
        <v>41276</v>
      </c>
      <c r="O871" s="77">
        <f t="shared" si="110"/>
        <v>0.48995760700818825</v>
      </c>
      <c r="P871" s="39">
        <f t="shared" si="111"/>
        <v>0.32341634413646614</v>
      </c>
    </row>
    <row r="872" spans="1:16" x14ac:dyDescent="0.3">
      <c r="A872" s="17">
        <v>41277</v>
      </c>
      <c r="B872" s="13">
        <v>27035</v>
      </c>
      <c r="C872" s="13">
        <v>53970</v>
      </c>
      <c r="D872" s="14">
        <v>2019.41</v>
      </c>
      <c r="E872" s="28">
        <f t="shared" si="105"/>
        <v>-3.5016586804276217E-3</v>
      </c>
      <c r="F872" s="39">
        <f t="shared" si="105"/>
        <v>2.2284122562674646E-3</v>
      </c>
      <c r="H872" s="64">
        <f t="shared" si="107"/>
        <v>0.2</v>
      </c>
      <c r="I872" s="65">
        <f t="shared" si="108"/>
        <v>0.3</v>
      </c>
      <c r="J872" s="66">
        <v>0.3</v>
      </c>
      <c r="K872" s="65">
        <f t="shared" si="106"/>
        <v>0.7</v>
      </c>
      <c r="L872" s="28">
        <f t="shared" si="109"/>
        <v>5.6025728145485563E-3</v>
      </c>
      <c r="M872" s="71">
        <f t="shared" si="112"/>
        <v>5.0939097525893868E-4</v>
      </c>
      <c r="N872" s="51">
        <v>41277</v>
      </c>
      <c r="O872" s="77">
        <f t="shared" si="110"/>
        <v>0.49046699798344717</v>
      </c>
      <c r="P872" s="39">
        <f t="shared" si="111"/>
        <v>0.31579941879406292</v>
      </c>
    </row>
    <row r="873" spans="1:16" x14ac:dyDescent="0.3">
      <c r="A873" s="17">
        <v>41278</v>
      </c>
      <c r="B873" s="13">
        <v>26870</v>
      </c>
      <c r="C873" s="13">
        <v>53985</v>
      </c>
      <c r="D873" s="14">
        <v>2011.94</v>
      </c>
      <c r="E873" s="28">
        <f t="shared" si="105"/>
        <v>-6.1031995561309227E-3</v>
      </c>
      <c r="F873" s="39">
        <f t="shared" si="105"/>
        <v>2.7793218454696955E-4</v>
      </c>
      <c r="H873" s="64">
        <f t="shared" si="107"/>
        <v>0.2</v>
      </c>
      <c r="I873" s="65">
        <f t="shared" si="108"/>
        <v>0.3</v>
      </c>
      <c r="J873" s="66">
        <v>0.2</v>
      </c>
      <c r="K873" s="65">
        <f t="shared" si="106"/>
        <v>0.8</v>
      </c>
      <c r="L873" s="28">
        <f t="shared" si="109"/>
        <v>1.0823980689284474E-3</v>
      </c>
      <c r="M873" s="71">
        <f t="shared" si="112"/>
        <v>-9.9829416358860907E-4</v>
      </c>
      <c r="N873" s="51">
        <v>41278</v>
      </c>
      <c r="O873" s="77">
        <f t="shared" si="110"/>
        <v>0.48946870381985857</v>
      </c>
      <c r="P873" s="39">
        <f t="shared" si="111"/>
        <v>0.31093214485841258</v>
      </c>
    </row>
    <row r="874" spans="1:16" x14ac:dyDescent="0.3">
      <c r="A874" s="18">
        <v>41281</v>
      </c>
      <c r="B874" s="15">
        <v>26885</v>
      </c>
      <c r="C874" s="15">
        <v>53970</v>
      </c>
      <c r="D874" s="70">
        <v>2011.25</v>
      </c>
      <c r="E874" s="71">
        <f t="shared" si="105"/>
        <v>5.5824339411980617E-4</v>
      </c>
      <c r="F874" s="39">
        <f t="shared" si="105"/>
        <v>-2.7785495971099916E-4</v>
      </c>
      <c r="H874" s="64">
        <f t="shared" si="107"/>
        <v>0.2</v>
      </c>
      <c r="I874" s="65">
        <f t="shared" si="108"/>
        <v>0.3</v>
      </c>
      <c r="J874" s="66">
        <v>0.2</v>
      </c>
      <c r="K874" s="65">
        <f t="shared" si="106"/>
        <v>0.8</v>
      </c>
      <c r="L874" s="28">
        <f t="shared" si="109"/>
        <v>-9.9829416358860907E-4</v>
      </c>
      <c r="M874" s="71">
        <f t="shared" si="112"/>
        <v>-1.1063528894483809E-4</v>
      </c>
      <c r="N874" s="50">
        <v>41281</v>
      </c>
      <c r="O874" s="77">
        <f t="shared" si="110"/>
        <v>0.48935806853091374</v>
      </c>
      <c r="P874" s="39">
        <f t="shared" si="111"/>
        <v>0.3104825573061234</v>
      </c>
    </row>
    <row r="875" spans="1:16" x14ac:dyDescent="0.3">
      <c r="A875" s="17">
        <v>41282</v>
      </c>
      <c r="B875" s="13">
        <v>26600</v>
      </c>
      <c r="C875" s="13">
        <v>54025</v>
      </c>
      <c r="D875" s="14">
        <v>1997.94</v>
      </c>
      <c r="E875" s="28">
        <f t="shared" si="105"/>
        <v>-1.0600706713780883E-2</v>
      </c>
      <c r="F875" s="39">
        <f t="shared" si="105"/>
        <v>1.0190846766722217E-3</v>
      </c>
      <c r="H875" s="64">
        <f t="shared" si="107"/>
        <v>0.2</v>
      </c>
      <c r="I875" s="65">
        <f t="shared" si="108"/>
        <v>0.3</v>
      </c>
      <c r="J875" s="66">
        <v>0.3</v>
      </c>
      <c r="K875" s="65">
        <f t="shared" si="106"/>
        <v>0.7</v>
      </c>
      <c r="L875" s="28">
        <f t="shared" si="109"/>
        <v>-2.7025453561757562E-5</v>
      </c>
      <c r="M875" s="71">
        <f t="shared" si="112"/>
        <v>-2.4668527404637097E-3</v>
      </c>
      <c r="N875" s="51">
        <v>41282</v>
      </c>
      <c r="O875" s="77">
        <f t="shared" si="110"/>
        <v>0.48689121579045003</v>
      </c>
      <c r="P875" s="39">
        <f t="shared" si="111"/>
        <v>0.30181007858008524</v>
      </c>
    </row>
    <row r="876" spans="1:16" x14ac:dyDescent="0.3">
      <c r="A876" s="18">
        <v>41283</v>
      </c>
      <c r="B876" s="15">
        <v>26500</v>
      </c>
      <c r="C876" s="15">
        <v>54020</v>
      </c>
      <c r="D876" s="16">
        <v>1991.81</v>
      </c>
      <c r="E876" s="28">
        <f t="shared" si="105"/>
        <v>-3.7593984962406291E-3</v>
      </c>
      <c r="F876" s="39">
        <f t="shared" si="105"/>
        <v>-9.2549745488224033E-5</v>
      </c>
      <c r="H876" s="64">
        <f t="shared" si="107"/>
        <v>0.3</v>
      </c>
      <c r="I876" s="65">
        <f t="shared" si="108"/>
        <v>0.5</v>
      </c>
      <c r="J876" s="66">
        <v>0.3</v>
      </c>
      <c r="K876" s="65">
        <f t="shared" si="106"/>
        <v>0.7</v>
      </c>
      <c r="L876" s="28">
        <f t="shared" si="109"/>
        <v>-2.4668527404637097E-3</v>
      </c>
      <c r="M876" s="71">
        <f t="shared" si="112"/>
        <v>-1.1926043707139455E-3</v>
      </c>
      <c r="N876" s="50">
        <v>41283</v>
      </c>
      <c r="O876" s="77">
        <f t="shared" si="110"/>
        <v>0.48569861141973608</v>
      </c>
      <c r="P876" s="39">
        <f t="shared" si="111"/>
        <v>0.2978159167025034</v>
      </c>
    </row>
    <row r="877" spans="1:16" x14ac:dyDescent="0.3">
      <c r="A877" s="17">
        <v>41284</v>
      </c>
      <c r="B877" s="13">
        <v>26735</v>
      </c>
      <c r="C877" s="13">
        <v>54090</v>
      </c>
      <c r="D877" s="14">
        <v>2006.8</v>
      </c>
      <c r="E877" s="28">
        <f t="shared" si="105"/>
        <v>8.8679245283018737E-3</v>
      </c>
      <c r="F877" s="39">
        <f t="shared" si="105"/>
        <v>1.2958163643095322E-3</v>
      </c>
      <c r="H877" s="64">
        <f t="shared" si="107"/>
        <v>0.3</v>
      </c>
      <c r="I877" s="65">
        <f t="shared" si="108"/>
        <v>0.5</v>
      </c>
      <c r="J877" s="66">
        <v>0.3</v>
      </c>
      <c r="K877" s="65">
        <f t="shared" si="106"/>
        <v>0.7</v>
      </c>
      <c r="L877" s="28">
        <f t="shared" si="109"/>
        <v>-1.1926043707139455E-3</v>
      </c>
      <c r="M877" s="71">
        <f t="shared" si="112"/>
        <v>3.5674488135072346E-3</v>
      </c>
      <c r="N877" s="51">
        <v>41284</v>
      </c>
      <c r="O877" s="77">
        <f t="shared" si="110"/>
        <v>0.48926606023324332</v>
      </c>
      <c r="P877" s="39">
        <f t="shared" si="111"/>
        <v>0.30758304338194087</v>
      </c>
    </row>
    <row r="878" spans="1:16" x14ac:dyDescent="0.3">
      <c r="A878" s="17">
        <v>41285</v>
      </c>
      <c r="B878" s="13">
        <v>26585</v>
      </c>
      <c r="C878" s="13">
        <v>54040</v>
      </c>
      <c r="D878" s="14">
        <v>1996.67</v>
      </c>
      <c r="E878" s="28">
        <f t="shared" si="105"/>
        <v>-5.6106227791284935E-3</v>
      </c>
      <c r="F878" s="39">
        <f t="shared" si="105"/>
        <v>-9.2438528378624429E-4</v>
      </c>
      <c r="H878" s="64">
        <f t="shared" si="107"/>
        <v>0.2</v>
      </c>
      <c r="I878" s="65">
        <f t="shared" si="108"/>
        <v>0.3</v>
      </c>
      <c r="J878" s="66">
        <v>0.3</v>
      </c>
      <c r="K878" s="65">
        <f t="shared" si="106"/>
        <v>0.7</v>
      </c>
      <c r="L878" s="28">
        <f t="shared" si="109"/>
        <v>3.5674488135072346E-3</v>
      </c>
      <c r="M878" s="71">
        <f t="shared" si="112"/>
        <v>-2.3302565323889187E-3</v>
      </c>
      <c r="N878" s="51">
        <v>41285</v>
      </c>
      <c r="O878" s="77">
        <f t="shared" si="110"/>
        <v>0.48693580370085437</v>
      </c>
      <c r="P878" s="39">
        <f t="shared" si="111"/>
        <v>0.30098257685340846</v>
      </c>
    </row>
    <row r="879" spans="1:16" x14ac:dyDescent="0.3">
      <c r="A879" s="18">
        <v>41288</v>
      </c>
      <c r="B879" s="15">
        <v>26720</v>
      </c>
      <c r="C879" s="15">
        <v>54030</v>
      </c>
      <c r="D879" s="70">
        <v>2007.04</v>
      </c>
      <c r="E879" s="71">
        <f t="shared" si="105"/>
        <v>5.078051532819261E-3</v>
      </c>
      <c r="F879" s="39">
        <f t="shared" si="105"/>
        <v>-1.8504811250930064E-4</v>
      </c>
      <c r="H879" s="64">
        <f t="shared" si="107"/>
        <v>0.3</v>
      </c>
      <c r="I879" s="65">
        <f t="shared" si="108"/>
        <v>0.5</v>
      </c>
      <c r="J879" s="66">
        <v>0.3</v>
      </c>
      <c r="K879" s="65">
        <f t="shared" si="106"/>
        <v>0.7</v>
      </c>
      <c r="L879" s="28">
        <f t="shared" si="109"/>
        <v>-2.3302565323889187E-3</v>
      </c>
      <c r="M879" s="71">
        <f t="shared" si="112"/>
        <v>1.3938817810892677E-3</v>
      </c>
      <c r="N879" s="50">
        <v>41288</v>
      </c>
      <c r="O879" s="77">
        <f t="shared" si="110"/>
        <v>0.48832968548194366</v>
      </c>
      <c r="P879" s="39">
        <f t="shared" si="111"/>
        <v>0.30773942166099788</v>
      </c>
    </row>
    <row r="880" spans="1:16" x14ac:dyDescent="0.3">
      <c r="A880" s="17">
        <v>41289</v>
      </c>
      <c r="B880" s="13">
        <v>26445</v>
      </c>
      <c r="C880" s="13">
        <v>54065</v>
      </c>
      <c r="D880" s="14">
        <v>1983.74</v>
      </c>
      <c r="E880" s="28">
        <f t="shared" si="105"/>
        <v>-1.0291916167664672E-2</v>
      </c>
      <c r="F880" s="39">
        <f t="shared" si="105"/>
        <v>6.4778826577827076E-4</v>
      </c>
      <c r="H880" s="64">
        <f t="shared" si="107"/>
        <v>0.2</v>
      </c>
      <c r="I880" s="65">
        <f t="shared" si="108"/>
        <v>0.3</v>
      </c>
      <c r="J880" s="66">
        <v>0.3</v>
      </c>
      <c r="K880" s="65">
        <f t="shared" si="106"/>
        <v>0.7</v>
      </c>
      <c r="L880" s="28">
        <f t="shared" si="109"/>
        <v>1.3938817810892677E-3</v>
      </c>
      <c r="M880" s="71">
        <f t="shared" si="112"/>
        <v>-2.6341230642546124E-3</v>
      </c>
      <c r="N880" s="51">
        <v>41289</v>
      </c>
      <c r="O880" s="77">
        <f t="shared" si="110"/>
        <v>0.48569556241768908</v>
      </c>
      <c r="P880" s="39">
        <f t="shared" si="111"/>
        <v>0.29255769706921031</v>
      </c>
    </row>
    <row r="881" spans="1:16" x14ac:dyDescent="0.3">
      <c r="A881" s="18">
        <v>41290</v>
      </c>
      <c r="B881" s="15">
        <v>26255</v>
      </c>
      <c r="C881" s="15">
        <v>54075</v>
      </c>
      <c r="D881" s="16">
        <v>1977.45</v>
      </c>
      <c r="E881" s="28">
        <f t="shared" si="105"/>
        <v>-7.1847230100208215E-3</v>
      </c>
      <c r="F881" s="39">
        <f t="shared" si="105"/>
        <v>1.8496254508471033E-4</v>
      </c>
      <c r="H881" s="64">
        <f t="shared" si="107"/>
        <v>0.3</v>
      </c>
      <c r="I881" s="65">
        <f t="shared" si="108"/>
        <v>0.5</v>
      </c>
      <c r="J881" s="66">
        <v>0.3</v>
      </c>
      <c r="K881" s="65">
        <f t="shared" si="106"/>
        <v>0.7</v>
      </c>
      <c r="L881" s="28">
        <f t="shared" si="109"/>
        <v>-2.6341230642546124E-3</v>
      </c>
      <c r="M881" s="71">
        <f t="shared" si="112"/>
        <v>-2.0259431214469494E-3</v>
      </c>
      <c r="N881" s="50">
        <v>41290</v>
      </c>
      <c r="O881" s="77">
        <f t="shared" si="110"/>
        <v>0.48366961929624214</v>
      </c>
      <c r="P881" s="39">
        <f t="shared" si="111"/>
        <v>0.28845928300559054</v>
      </c>
    </row>
    <row r="882" spans="1:16" x14ac:dyDescent="0.3">
      <c r="A882" s="17">
        <v>41291</v>
      </c>
      <c r="B882" s="13">
        <v>26300</v>
      </c>
      <c r="C882" s="13">
        <v>54110</v>
      </c>
      <c r="D882" s="14">
        <v>1974.27</v>
      </c>
      <c r="E882" s="28">
        <f t="shared" si="105"/>
        <v>1.7139592458579322E-3</v>
      </c>
      <c r="F882" s="39">
        <f t="shared" si="105"/>
        <v>6.4724919093861466E-4</v>
      </c>
      <c r="H882" s="64">
        <f t="shared" si="107"/>
        <v>0.3</v>
      </c>
      <c r="I882" s="65">
        <f t="shared" si="108"/>
        <v>0.5</v>
      </c>
      <c r="J882" s="66">
        <v>0.3</v>
      </c>
      <c r="K882" s="65">
        <f t="shared" si="106"/>
        <v>0.7</v>
      </c>
      <c r="L882" s="28">
        <f t="shared" si="109"/>
        <v>-2.0259431214469494E-3</v>
      </c>
      <c r="M882" s="71">
        <f t="shared" si="112"/>
        <v>9.6726220741440985E-4</v>
      </c>
      <c r="N882" s="51">
        <v>41291</v>
      </c>
      <c r="O882" s="77">
        <f t="shared" si="110"/>
        <v>0.48463688150365652</v>
      </c>
      <c r="P882" s="39">
        <f t="shared" si="111"/>
        <v>0.28638727080808479</v>
      </c>
    </row>
    <row r="883" spans="1:16" x14ac:dyDescent="0.3">
      <c r="A883" s="17">
        <v>41292</v>
      </c>
      <c r="B883" s="13">
        <v>26405</v>
      </c>
      <c r="C883" s="13">
        <v>54085</v>
      </c>
      <c r="D883" s="14">
        <v>1987.85</v>
      </c>
      <c r="E883" s="28">
        <f t="shared" si="105"/>
        <v>3.9923954372622639E-3</v>
      </c>
      <c r="F883" s="39">
        <f t="shared" si="105"/>
        <v>-4.6202180742926924E-4</v>
      </c>
      <c r="H883" s="64">
        <f t="shared" si="107"/>
        <v>0.3</v>
      </c>
      <c r="I883" s="65">
        <f t="shared" si="108"/>
        <v>0.5</v>
      </c>
      <c r="J883" s="66">
        <v>0.5</v>
      </c>
      <c r="K883" s="65">
        <f t="shared" si="106"/>
        <v>0.5</v>
      </c>
      <c r="L883" s="28">
        <f t="shared" si="109"/>
        <v>1.1806042183982735E-3</v>
      </c>
      <c r="M883" s="71">
        <f t="shared" si="112"/>
        <v>1.7651868149164973E-3</v>
      </c>
      <c r="N883" s="51">
        <v>41292</v>
      </c>
      <c r="O883" s="77">
        <f t="shared" si="110"/>
        <v>0.48640206831857302</v>
      </c>
      <c r="P883" s="39">
        <f t="shared" si="111"/>
        <v>0.29523567509806226</v>
      </c>
    </row>
    <row r="884" spans="1:16" x14ac:dyDescent="0.3">
      <c r="A884" s="18">
        <v>41295</v>
      </c>
      <c r="B884" s="15">
        <v>26400</v>
      </c>
      <c r="C884" s="15">
        <v>54095</v>
      </c>
      <c r="D884" s="70">
        <v>1986.86</v>
      </c>
      <c r="E884" s="71">
        <f t="shared" si="105"/>
        <v>-1.8935807612197042E-4</v>
      </c>
      <c r="F884" s="39">
        <f t="shared" si="105"/>
        <v>1.8489414810018978E-4</v>
      </c>
      <c r="H884" s="64">
        <f t="shared" si="107"/>
        <v>0.3</v>
      </c>
      <c r="I884" s="65">
        <f t="shared" si="108"/>
        <v>0.5</v>
      </c>
      <c r="J884" s="66">
        <v>0.5</v>
      </c>
      <c r="K884" s="65">
        <f t="shared" si="106"/>
        <v>0.5</v>
      </c>
      <c r="L884" s="28">
        <f t="shared" si="109"/>
        <v>1.7651868149164973E-3</v>
      </c>
      <c r="M884" s="71">
        <f t="shared" si="112"/>
        <v>-2.2319640108903194E-6</v>
      </c>
      <c r="N884" s="50">
        <v>41295</v>
      </c>
      <c r="O884" s="77">
        <f t="shared" si="110"/>
        <v>0.48639983635456213</v>
      </c>
      <c r="P884" s="39">
        <f t="shared" si="111"/>
        <v>0.29459061469695191</v>
      </c>
    </row>
    <row r="885" spans="1:16" x14ac:dyDescent="0.3">
      <c r="A885" s="17">
        <v>41296</v>
      </c>
      <c r="B885" s="13">
        <v>26530</v>
      </c>
      <c r="C885" s="13">
        <v>54095</v>
      </c>
      <c r="D885" s="14">
        <v>1996.52</v>
      </c>
      <c r="E885" s="28">
        <f t="shared" si="105"/>
        <v>4.9242424242423866E-3</v>
      </c>
      <c r="F885" s="39">
        <f t="shared" si="105"/>
        <v>0</v>
      </c>
      <c r="H885" s="64">
        <f t="shared" si="107"/>
        <v>0.3</v>
      </c>
      <c r="I885" s="65">
        <f t="shared" si="108"/>
        <v>0.5</v>
      </c>
      <c r="J885" s="66">
        <v>0.3</v>
      </c>
      <c r="K885" s="65">
        <f t="shared" si="106"/>
        <v>0.7</v>
      </c>
      <c r="L885" s="28">
        <f t="shared" si="109"/>
        <v>7.2618480833541699E-5</v>
      </c>
      <c r="M885" s="71">
        <f t="shared" si="112"/>
        <v>1.477272727272716E-3</v>
      </c>
      <c r="N885" s="51">
        <v>41296</v>
      </c>
      <c r="O885" s="77">
        <f t="shared" si="110"/>
        <v>0.48787710908183485</v>
      </c>
      <c r="P885" s="39">
        <f t="shared" si="111"/>
        <v>0.30088484042899766</v>
      </c>
    </row>
    <row r="886" spans="1:16" x14ac:dyDescent="0.3">
      <c r="A886" s="18">
        <v>41297</v>
      </c>
      <c r="B886" s="15">
        <v>26320</v>
      </c>
      <c r="C886" s="15">
        <v>54105</v>
      </c>
      <c r="D886" s="16">
        <v>1980.41</v>
      </c>
      <c r="E886" s="28">
        <f t="shared" si="105"/>
        <v>-7.9155672823219003E-3</v>
      </c>
      <c r="F886" s="39">
        <f t="shared" si="105"/>
        <v>1.8485996857386944E-4</v>
      </c>
      <c r="H886" s="64">
        <f t="shared" si="107"/>
        <v>0.3</v>
      </c>
      <c r="I886" s="65">
        <f t="shared" si="108"/>
        <v>0.5</v>
      </c>
      <c r="J886" s="66">
        <v>0.5</v>
      </c>
      <c r="K886" s="65">
        <f t="shared" si="106"/>
        <v>0.5</v>
      </c>
      <c r="L886" s="28">
        <f t="shared" si="109"/>
        <v>2.4621212121211933E-3</v>
      </c>
      <c r="M886" s="71">
        <f t="shared" si="112"/>
        <v>-3.8653536568740154E-3</v>
      </c>
      <c r="N886" s="50">
        <v>41297</v>
      </c>
      <c r="O886" s="77">
        <f t="shared" si="110"/>
        <v>0.48401175542496083</v>
      </c>
      <c r="P886" s="39">
        <f t="shared" si="111"/>
        <v>0.29038794844729399</v>
      </c>
    </row>
    <row r="887" spans="1:16" x14ac:dyDescent="0.3">
      <c r="A887" s="17">
        <v>41298</v>
      </c>
      <c r="B887" s="13">
        <v>26080</v>
      </c>
      <c r="C887" s="13">
        <v>54145</v>
      </c>
      <c r="D887" s="14">
        <v>1964.48</v>
      </c>
      <c r="E887" s="28">
        <f t="shared" si="105"/>
        <v>-9.1185410334346795E-3</v>
      </c>
      <c r="F887" s="39">
        <f t="shared" si="105"/>
        <v>7.3930320672754846E-4</v>
      </c>
      <c r="H887" s="64">
        <f t="shared" si="107"/>
        <v>0.3</v>
      </c>
      <c r="I887" s="65">
        <f t="shared" si="108"/>
        <v>0.5</v>
      </c>
      <c r="J887" s="66">
        <v>0.3</v>
      </c>
      <c r="K887" s="65">
        <f t="shared" si="106"/>
        <v>0.7</v>
      </c>
      <c r="L887" s="28">
        <f t="shared" si="109"/>
        <v>-2.2452682066948612E-3</v>
      </c>
      <c r="M887" s="71">
        <f t="shared" si="112"/>
        <v>-2.2180500653211197E-3</v>
      </c>
      <c r="N887" s="51">
        <v>41298</v>
      </c>
      <c r="O887" s="77">
        <f t="shared" si="110"/>
        <v>0.48179370535963972</v>
      </c>
      <c r="P887" s="39">
        <f t="shared" si="111"/>
        <v>0.28000834017488296</v>
      </c>
    </row>
    <row r="888" spans="1:16" x14ac:dyDescent="0.3">
      <c r="A888" s="17">
        <v>41299</v>
      </c>
      <c r="B888" s="13">
        <v>25795</v>
      </c>
      <c r="C888" s="13">
        <v>54150</v>
      </c>
      <c r="D888" s="14">
        <v>1946.69</v>
      </c>
      <c r="E888" s="28">
        <f t="shared" si="105"/>
        <v>-1.0927914110429482E-2</v>
      </c>
      <c r="F888" s="39">
        <f t="shared" si="105"/>
        <v>9.2344630159724161E-5</v>
      </c>
      <c r="H888" s="64">
        <f t="shared" si="107"/>
        <v>0.3</v>
      </c>
      <c r="I888" s="65">
        <f t="shared" si="108"/>
        <v>0.5</v>
      </c>
      <c r="J888" s="66">
        <v>0.3</v>
      </c>
      <c r="K888" s="65">
        <f t="shared" si="106"/>
        <v>0.7</v>
      </c>
      <c r="L888" s="28">
        <f t="shared" si="109"/>
        <v>-2.2180500653211197E-3</v>
      </c>
      <c r="M888" s="71">
        <f t="shared" si="112"/>
        <v>-3.2137329920170375E-3</v>
      </c>
      <c r="N888" s="51">
        <v>41299</v>
      </c>
      <c r="O888" s="77">
        <f t="shared" si="110"/>
        <v>0.47857997236762267</v>
      </c>
      <c r="P888" s="39">
        <f t="shared" si="111"/>
        <v>0.26841680023977998</v>
      </c>
    </row>
    <row r="889" spans="1:16" x14ac:dyDescent="0.3">
      <c r="A889" s="18">
        <v>41302</v>
      </c>
      <c r="B889" s="15">
        <v>25755</v>
      </c>
      <c r="C889" s="15">
        <v>54140</v>
      </c>
      <c r="D889" s="70">
        <v>1939.71</v>
      </c>
      <c r="E889" s="71">
        <f t="shared" si="105"/>
        <v>-1.5506881178523058E-3</v>
      </c>
      <c r="F889" s="39">
        <f t="shared" si="105"/>
        <v>-1.8467220683282548E-4</v>
      </c>
      <c r="H889" s="64">
        <f t="shared" si="107"/>
        <v>0.5</v>
      </c>
      <c r="I889" s="65">
        <f t="shared" si="108"/>
        <v>0.7</v>
      </c>
      <c r="J889" s="66">
        <v>0.5</v>
      </c>
      <c r="K889" s="65">
        <f t="shared" si="106"/>
        <v>0.5</v>
      </c>
      <c r="L889" s="28">
        <f t="shared" si="109"/>
        <v>-5.4177847401348789E-3</v>
      </c>
      <c r="M889" s="71">
        <f t="shared" si="112"/>
        <v>-8.6768016234256562E-4</v>
      </c>
      <c r="N889" s="50">
        <v>41302</v>
      </c>
      <c r="O889" s="77">
        <f t="shared" si="110"/>
        <v>0.47771229220528011</v>
      </c>
      <c r="P889" s="39">
        <f t="shared" si="111"/>
        <v>0.26386879862387125</v>
      </c>
    </row>
    <row r="890" spans="1:16" x14ac:dyDescent="0.3">
      <c r="A890" s="17">
        <v>41303</v>
      </c>
      <c r="B890" s="13">
        <v>25975</v>
      </c>
      <c r="C890" s="13">
        <v>54090</v>
      </c>
      <c r="D890" s="14">
        <v>1955.96</v>
      </c>
      <c r="E890" s="28">
        <f t="shared" si="105"/>
        <v>8.542030673655665E-3</v>
      </c>
      <c r="F890" s="39">
        <f t="shared" si="105"/>
        <v>-9.235315847802017E-4</v>
      </c>
      <c r="H890" s="64">
        <f t="shared" si="107"/>
        <v>0.5</v>
      </c>
      <c r="I890" s="65">
        <f t="shared" si="108"/>
        <v>0.7</v>
      </c>
      <c r="J890" s="66">
        <v>0.5</v>
      </c>
      <c r="K890" s="65">
        <f t="shared" si="106"/>
        <v>0.5</v>
      </c>
      <c r="L890" s="28">
        <f t="shared" si="109"/>
        <v>-8.6768016234256562E-4</v>
      </c>
      <c r="M890" s="71">
        <f t="shared" si="112"/>
        <v>3.8092495444377317E-3</v>
      </c>
      <c r="N890" s="51">
        <v>41303</v>
      </c>
      <c r="O890" s="77">
        <f t="shared" si="110"/>
        <v>0.48152154174971784</v>
      </c>
      <c r="P890" s="39">
        <f t="shared" si="111"/>
        <v>0.27445691126835814</v>
      </c>
    </row>
    <row r="891" spans="1:16" x14ac:dyDescent="0.3">
      <c r="A891" s="18">
        <v>41304</v>
      </c>
      <c r="B891" s="15">
        <v>26090</v>
      </c>
      <c r="C891" s="15">
        <v>54055</v>
      </c>
      <c r="D891" s="16">
        <v>1964.43</v>
      </c>
      <c r="E891" s="28">
        <f t="shared" si="105"/>
        <v>4.4273339749758556E-3</v>
      </c>
      <c r="F891" s="39">
        <f t="shared" si="105"/>
        <v>-6.470696986503599E-4</v>
      </c>
      <c r="H891" s="64">
        <f t="shared" si="107"/>
        <v>0.3</v>
      </c>
      <c r="I891" s="65">
        <f t="shared" si="108"/>
        <v>0.5</v>
      </c>
      <c r="J891" s="66">
        <v>0.5</v>
      </c>
      <c r="K891" s="65">
        <f t="shared" si="106"/>
        <v>0.5</v>
      </c>
      <c r="L891" s="28">
        <f t="shared" si="109"/>
        <v>3.8092495444377317E-3</v>
      </c>
      <c r="M891" s="71">
        <f t="shared" si="112"/>
        <v>1.8901321381627478E-3</v>
      </c>
      <c r="N891" s="50">
        <v>41304</v>
      </c>
      <c r="O891" s="77">
        <f t="shared" si="110"/>
        <v>0.48341167388788059</v>
      </c>
      <c r="P891" s="39">
        <f t="shared" si="111"/>
        <v>0.27997576136674618</v>
      </c>
    </row>
    <row r="892" spans="1:16" x14ac:dyDescent="0.3">
      <c r="A892" s="17">
        <v>41305</v>
      </c>
      <c r="B892" s="13">
        <v>26040</v>
      </c>
      <c r="C892" s="13">
        <v>54075</v>
      </c>
      <c r="D892" s="14">
        <v>1961.94</v>
      </c>
      <c r="E892" s="28">
        <f t="shared" si="105"/>
        <v>-1.9164430816405176E-3</v>
      </c>
      <c r="F892" s="39">
        <f t="shared" si="105"/>
        <v>3.6999352511335459E-4</v>
      </c>
      <c r="H892" s="64">
        <f t="shared" si="107"/>
        <v>0.3</v>
      </c>
      <c r="I892" s="65">
        <f t="shared" si="108"/>
        <v>0.5</v>
      </c>
      <c r="J892" s="66">
        <v>0.5</v>
      </c>
      <c r="K892" s="65">
        <f t="shared" si="106"/>
        <v>0.5</v>
      </c>
      <c r="L892" s="28">
        <f t="shared" si="109"/>
        <v>1.8901321381627478E-3</v>
      </c>
      <c r="M892" s="71">
        <f t="shared" si="112"/>
        <v>-7.7322477826358149E-4</v>
      </c>
      <c r="N892" s="51">
        <v>41305</v>
      </c>
      <c r="O892" s="77">
        <f t="shared" si="110"/>
        <v>0.48263844910961701</v>
      </c>
      <c r="P892" s="39">
        <f t="shared" si="111"/>
        <v>0.2783533367215294</v>
      </c>
    </row>
    <row r="893" spans="1:16" x14ac:dyDescent="0.3">
      <c r="A893" s="17">
        <v>41306</v>
      </c>
      <c r="B893" s="13">
        <v>25990</v>
      </c>
      <c r="C893" s="13">
        <v>54080</v>
      </c>
      <c r="D893" s="14">
        <v>1957.79</v>
      </c>
      <c r="E893" s="28">
        <f t="shared" si="105"/>
        <v>-1.9201228878648058E-3</v>
      </c>
      <c r="F893" s="39">
        <f t="shared" si="105"/>
        <v>9.2464170134087809E-5</v>
      </c>
      <c r="H893" s="64">
        <f t="shared" si="107"/>
        <v>0.3</v>
      </c>
      <c r="I893" s="65">
        <f t="shared" si="108"/>
        <v>0.5</v>
      </c>
      <c r="J893" s="66">
        <v>0.3</v>
      </c>
      <c r="K893" s="65">
        <f t="shared" si="106"/>
        <v>0.7</v>
      </c>
      <c r="L893" s="28">
        <f t="shared" si="109"/>
        <v>-3.1593745691280704E-4</v>
      </c>
      <c r="M893" s="71">
        <f t="shared" si="112"/>
        <v>-5.1131194726558018E-4</v>
      </c>
      <c r="N893" s="51">
        <v>41306</v>
      </c>
      <c r="O893" s="77">
        <f t="shared" si="110"/>
        <v>0.48212713716235145</v>
      </c>
      <c r="P893" s="39">
        <f t="shared" si="111"/>
        <v>0.27564929564616802</v>
      </c>
    </row>
    <row r="894" spans="1:16" x14ac:dyDescent="0.3">
      <c r="A894" s="18">
        <v>41309</v>
      </c>
      <c r="B894" s="15">
        <v>25925</v>
      </c>
      <c r="C894" s="15">
        <v>54090</v>
      </c>
      <c r="D894" s="70">
        <v>1953.21</v>
      </c>
      <c r="E894" s="71">
        <f t="shared" si="105"/>
        <v>-2.5009619084263024E-3</v>
      </c>
      <c r="F894" s="39">
        <f t="shared" si="105"/>
        <v>1.8491124260355818E-4</v>
      </c>
      <c r="H894" s="64">
        <f t="shared" si="107"/>
        <v>0.3</v>
      </c>
      <c r="I894" s="65">
        <f t="shared" si="108"/>
        <v>0.5</v>
      </c>
      <c r="J894" s="66">
        <v>0.30000000000000004</v>
      </c>
      <c r="K894" s="65">
        <f t="shared" si="106"/>
        <v>0.7</v>
      </c>
      <c r="L894" s="28">
        <f t="shared" si="109"/>
        <v>-5.113119472655804E-4</v>
      </c>
      <c r="M894" s="71">
        <f t="shared" si="112"/>
        <v>-6.2085070270540021E-4</v>
      </c>
      <c r="N894" s="50">
        <v>41309</v>
      </c>
      <c r="O894" s="77">
        <f t="shared" si="110"/>
        <v>0.48150628645964605</v>
      </c>
      <c r="P894" s="39">
        <f t="shared" si="111"/>
        <v>0.27266507682082963</v>
      </c>
    </row>
    <row r="895" spans="1:16" x14ac:dyDescent="0.3">
      <c r="A895" s="17">
        <v>41310</v>
      </c>
      <c r="B895" s="13">
        <v>25705</v>
      </c>
      <c r="C895" s="13">
        <v>54110</v>
      </c>
      <c r="D895" s="14">
        <v>1938.18</v>
      </c>
      <c r="E895" s="28">
        <f t="shared" si="105"/>
        <v>-8.4860173577627762E-3</v>
      </c>
      <c r="F895" s="39">
        <f t="shared" si="105"/>
        <v>3.6975411351458654E-4</v>
      </c>
      <c r="H895" s="64">
        <f t="shared" si="107"/>
        <v>0.3</v>
      </c>
      <c r="I895" s="65">
        <f t="shared" si="108"/>
        <v>0.5</v>
      </c>
      <c r="J895" s="66">
        <v>0.30000000000000004</v>
      </c>
      <c r="K895" s="65">
        <f t="shared" si="106"/>
        <v>0.7</v>
      </c>
      <c r="L895" s="28">
        <f t="shared" si="109"/>
        <v>-6.2085070270540021E-4</v>
      </c>
      <c r="M895" s="71">
        <f t="shared" si="112"/>
        <v>-2.2869773278686228E-3</v>
      </c>
      <c r="N895" s="51">
        <v>41310</v>
      </c>
      <c r="O895" s="77">
        <f t="shared" si="110"/>
        <v>0.4792193091317774</v>
      </c>
      <c r="P895" s="39">
        <f t="shared" si="111"/>
        <v>0.26287188709488252</v>
      </c>
    </row>
    <row r="896" spans="1:16" x14ac:dyDescent="0.3">
      <c r="A896" s="18">
        <v>41311</v>
      </c>
      <c r="B896" s="15">
        <v>25675</v>
      </c>
      <c r="C896" s="15">
        <v>54140</v>
      </c>
      <c r="D896" s="16">
        <v>1936.19</v>
      </c>
      <c r="E896" s="28">
        <f t="shared" si="105"/>
        <v>-1.167088115152648E-3</v>
      </c>
      <c r="F896" s="39">
        <f t="shared" si="105"/>
        <v>5.544261689152119E-4</v>
      </c>
      <c r="H896" s="64">
        <f t="shared" si="107"/>
        <v>0.5</v>
      </c>
      <c r="I896" s="65">
        <f t="shared" si="108"/>
        <v>0.7</v>
      </c>
      <c r="J896" s="66">
        <v>0.5</v>
      </c>
      <c r="K896" s="65">
        <f t="shared" si="106"/>
        <v>0.5</v>
      </c>
      <c r="L896" s="28">
        <f t="shared" si="109"/>
        <v>-4.0581316221240948E-3</v>
      </c>
      <c r="M896" s="71">
        <f t="shared" si="112"/>
        <v>-3.0633097311871804E-4</v>
      </c>
      <c r="N896" s="50">
        <v>41311</v>
      </c>
      <c r="O896" s="77">
        <f t="shared" si="110"/>
        <v>0.47891297815865869</v>
      </c>
      <c r="P896" s="39">
        <f t="shared" si="111"/>
        <v>0.2615752505310347</v>
      </c>
    </row>
    <row r="897" spans="1:16" x14ac:dyDescent="0.3">
      <c r="A897" s="17">
        <v>41312</v>
      </c>
      <c r="B897" s="13">
        <v>25670</v>
      </c>
      <c r="C897" s="13">
        <v>54195</v>
      </c>
      <c r="D897" s="14">
        <v>1931.77</v>
      </c>
      <c r="E897" s="28">
        <f t="shared" si="105"/>
        <v>-1.9474196689384105E-4</v>
      </c>
      <c r="F897" s="39">
        <f t="shared" si="105"/>
        <v>1.0158847432581997E-3</v>
      </c>
      <c r="H897" s="64">
        <f t="shared" si="107"/>
        <v>0.5</v>
      </c>
      <c r="I897" s="65">
        <f t="shared" si="108"/>
        <v>0.7</v>
      </c>
      <c r="J897" s="66">
        <v>0.5</v>
      </c>
      <c r="K897" s="65">
        <f t="shared" si="106"/>
        <v>0.5</v>
      </c>
      <c r="L897" s="28">
        <f t="shared" si="109"/>
        <v>-3.0633097311871804E-4</v>
      </c>
      <c r="M897" s="71">
        <f t="shared" si="112"/>
        <v>4.1057138818217931E-4</v>
      </c>
      <c r="N897" s="51">
        <v>41312</v>
      </c>
      <c r="O897" s="77">
        <f t="shared" si="110"/>
        <v>0.47932354954684087</v>
      </c>
      <c r="P897" s="39">
        <f t="shared" si="111"/>
        <v>0.25869528389173402</v>
      </c>
    </row>
    <row r="898" spans="1:16" x14ac:dyDescent="0.3">
      <c r="A898" s="17">
        <v>41313</v>
      </c>
      <c r="B898" s="13">
        <v>25945</v>
      </c>
      <c r="C898" s="13">
        <v>54195</v>
      </c>
      <c r="D898" s="14">
        <v>1950.9</v>
      </c>
      <c r="E898" s="28">
        <f t="shared" si="105"/>
        <v>1.0712894429294906E-2</v>
      </c>
      <c r="F898" s="39">
        <f t="shared" si="105"/>
        <v>0</v>
      </c>
      <c r="H898" s="64">
        <f t="shared" si="107"/>
        <v>0.5</v>
      </c>
      <c r="I898" s="65">
        <f t="shared" si="108"/>
        <v>0.7</v>
      </c>
      <c r="J898" s="66">
        <v>0.5</v>
      </c>
      <c r="K898" s="65">
        <f t="shared" si="106"/>
        <v>0.5</v>
      </c>
      <c r="L898" s="28">
        <f t="shared" si="109"/>
        <v>4.1057138818217931E-4</v>
      </c>
      <c r="M898" s="71">
        <f t="shared" si="112"/>
        <v>5.3564472146474529E-3</v>
      </c>
      <c r="N898" s="51">
        <v>41313</v>
      </c>
      <c r="O898" s="77">
        <f t="shared" si="110"/>
        <v>0.48467999676148832</v>
      </c>
      <c r="P898" s="39">
        <f t="shared" si="111"/>
        <v>0.27115993588490572</v>
      </c>
    </row>
    <row r="899" spans="1:16" x14ac:dyDescent="0.3">
      <c r="A899" s="18">
        <v>41317</v>
      </c>
      <c r="B899" s="15">
        <v>25900</v>
      </c>
      <c r="C899" s="15">
        <v>54215</v>
      </c>
      <c r="D899" s="70">
        <v>1945.79</v>
      </c>
      <c r="E899" s="71">
        <f t="shared" si="105"/>
        <v>-1.734438234727298E-3</v>
      </c>
      <c r="F899" s="39">
        <f t="shared" si="105"/>
        <v>3.6903773410834617E-4</v>
      </c>
      <c r="H899" s="64">
        <f t="shared" si="107"/>
        <v>0.3</v>
      </c>
      <c r="I899" s="65">
        <f t="shared" si="108"/>
        <v>0.5</v>
      </c>
      <c r="J899" s="66">
        <v>0.5</v>
      </c>
      <c r="K899" s="65">
        <f t="shared" si="106"/>
        <v>0.5</v>
      </c>
      <c r="L899" s="28">
        <f t="shared" si="109"/>
        <v>5.3564472146474529E-3</v>
      </c>
      <c r="M899" s="71">
        <f t="shared" si="112"/>
        <v>-6.827002503094759E-4</v>
      </c>
      <c r="N899" s="50">
        <v>41317</v>
      </c>
      <c r="O899" s="77">
        <f t="shared" si="110"/>
        <v>0.48399729651117884</v>
      </c>
      <c r="P899" s="39">
        <f t="shared" si="111"/>
        <v>0.26783038169331608</v>
      </c>
    </row>
    <row r="900" spans="1:16" x14ac:dyDescent="0.3">
      <c r="A900" s="17">
        <v>41318</v>
      </c>
      <c r="B900" s="13">
        <v>26415</v>
      </c>
      <c r="C900" s="13">
        <v>54190</v>
      </c>
      <c r="D900" s="14">
        <v>1976.07</v>
      </c>
      <c r="E900" s="28">
        <f t="shared" si="105"/>
        <v>1.9884169884169856E-2</v>
      </c>
      <c r="F900" s="39">
        <f t="shared" si="105"/>
        <v>-4.6112699437428351E-4</v>
      </c>
      <c r="H900" s="64">
        <f t="shared" si="107"/>
        <v>0.5</v>
      </c>
      <c r="I900" s="65">
        <f t="shared" si="108"/>
        <v>0.7</v>
      </c>
      <c r="J900" s="66">
        <v>0.5</v>
      </c>
      <c r="K900" s="65">
        <f t="shared" si="106"/>
        <v>0.5</v>
      </c>
      <c r="L900" s="28">
        <f t="shared" si="109"/>
        <v>-6.827002503094759E-4</v>
      </c>
      <c r="M900" s="71">
        <f t="shared" si="112"/>
        <v>9.711521444897786E-3</v>
      </c>
      <c r="N900" s="51">
        <v>41318</v>
      </c>
      <c r="O900" s="77">
        <f t="shared" si="110"/>
        <v>0.49370881795607663</v>
      </c>
      <c r="P900" s="39">
        <f t="shared" si="111"/>
        <v>0.28756010790101261</v>
      </c>
    </row>
    <row r="901" spans="1:16" x14ac:dyDescent="0.3">
      <c r="A901" s="18">
        <v>41319</v>
      </c>
      <c r="B901" s="15">
        <v>26500</v>
      </c>
      <c r="C901" s="15">
        <v>54185</v>
      </c>
      <c r="D901" s="16">
        <v>1979.61</v>
      </c>
      <c r="E901" s="28">
        <f t="shared" si="105"/>
        <v>3.2178686352450914E-3</v>
      </c>
      <c r="F901" s="39">
        <f t="shared" si="105"/>
        <v>-9.2267946115498489E-5</v>
      </c>
      <c r="H901" s="64">
        <f t="shared" si="107"/>
        <v>0.3</v>
      </c>
      <c r="I901" s="65">
        <f t="shared" si="108"/>
        <v>0.5</v>
      </c>
      <c r="J901" s="66">
        <v>0.5</v>
      </c>
      <c r="K901" s="65">
        <f t="shared" si="106"/>
        <v>0.5</v>
      </c>
      <c r="L901" s="28">
        <f t="shared" si="109"/>
        <v>9.711521444897786E-3</v>
      </c>
      <c r="M901" s="71">
        <f t="shared" si="112"/>
        <v>1.5628003445647964E-3</v>
      </c>
      <c r="N901" s="50">
        <v>41319</v>
      </c>
      <c r="O901" s="77">
        <f t="shared" si="110"/>
        <v>0.49527161830064143</v>
      </c>
      <c r="P901" s="39">
        <f t="shared" si="111"/>
        <v>0.28986668751710387</v>
      </c>
    </row>
    <row r="902" spans="1:16" x14ac:dyDescent="0.3">
      <c r="A902" s="17">
        <v>41320</v>
      </c>
      <c r="B902" s="13">
        <v>26445</v>
      </c>
      <c r="C902" s="13">
        <v>54215</v>
      </c>
      <c r="D902" s="14">
        <v>1981.18</v>
      </c>
      <c r="E902" s="28">
        <f t="shared" si="105"/>
        <v>-2.0754716981131738E-3</v>
      </c>
      <c r="F902" s="39">
        <f t="shared" si="105"/>
        <v>5.5365876164992223E-4</v>
      </c>
      <c r="H902" s="64">
        <f t="shared" si="107"/>
        <v>0.3</v>
      </c>
      <c r="I902" s="65">
        <f t="shared" si="108"/>
        <v>0.5</v>
      </c>
      <c r="J902" s="66">
        <v>0.5</v>
      </c>
      <c r="K902" s="65">
        <f t="shared" si="106"/>
        <v>0.5</v>
      </c>
      <c r="L902" s="28">
        <f t="shared" si="109"/>
        <v>1.5628003445647964E-3</v>
      </c>
      <c r="M902" s="71">
        <f t="shared" si="112"/>
        <v>-7.6090646823162578E-4</v>
      </c>
      <c r="N902" s="51">
        <v>41320</v>
      </c>
      <c r="O902" s="77">
        <f t="shared" si="110"/>
        <v>0.4945107118324098</v>
      </c>
      <c r="P902" s="39">
        <f t="shared" si="111"/>
        <v>0.29088966209260203</v>
      </c>
    </row>
    <row r="903" spans="1:16" x14ac:dyDescent="0.3">
      <c r="A903" s="17">
        <v>41323</v>
      </c>
      <c r="B903" s="13">
        <v>26435</v>
      </c>
      <c r="C903" s="13">
        <v>54235</v>
      </c>
      <c r="D903" s="14">
        <v>1981.91</v>
      </c>
      <c r="E903" s="28">
        <f t="shared" si="105"/>
        <v>-3.7814331631691456E-4</v>
      </c>
      <c r="F903" s="39">
        <f t="shared" si="105"/>
        <v>3.6890159549929358E-4</v>
      </c>
      <c r="H903" s="64">
        <f t="shared" si="107"/>
        <v>0.3</v>
      </c>
      <c r="I903" s="65">
        <f t="shared" si="108"/>
        <v>0.5</v>
      </c>
      <c r="J903" s="66">
        <v>0.3</v>
      </c>
      <c r="K903" s="65">
        <f t="shared" si="106"/>
        <v>0.7</v>
      </c>
      <c r="L903" s="28">
        <f t="shared" si="109"/>
        <v>-2.3508037627900658E-4</v>
      </c>
      <c r="M903" s="71">
        <f t="shared" si="112"/>
        <v>1.4478812195443112E-4</v>
      </c>
      <c r="N903" s="51">
        <v>41323</v>
      </c>
      <c r="O903" s="77">
        <f t="shared" si="110"/>
        <v>0.49465549995436425</v>
      </c>
      <c r="P903" s="39">
        <f t="shared" si="111"/>
        <v>0.29136531269140065</v>
      </c>
    </row>
    <row r="904" spans="1:16" x14ac:dyDescent="0.3">
      <c r="A904" s="18">
        <v>41324</v>
      </c>
      <c r="B904" s="15">
        <v>26510</v>
      </c>
      <c r="C904" s="15">
        <v>54235</v>
      </c>
      <c r="D904" s="70">
        <v>1985.83</v>
      </c>
      <c r="E904" s="71">
        <f t="shared" si="105"/>
        <v>2.837147720824662E-3</v>
      </c>
      <c r="F904" s="39">
        <f t="shared" si="105"/>
        <v>0</v>
      </c>
      <c r="H904" s="64">
        <f t="shared" si="107"/>
        <v>0.3</v>
      </c>
      <c r="I904" s="65">
        <f t="shared" si="108"/>
        <v>0.5</v>
      </c>
      <c r="J904" s="66">
        <v>0.3</v>
      </c>
      <c r="K904" s="65">
        <f t="shared" si="106"/>
        <v>0.7</v>
      </c>
      <c r="L904" s="28">
        <f t="shared" si="109"/>
        <v>1.4478812195443112E-4</v>
      </c>
      <c r="M904" s="71">
        <f t="shared" si="112"/>
        <v>8.5114431624739857E-4</v>
      </c>
      <c r="N904" s="50">
        <v>41324</v>
      </c>
      <c r="O904" s="77">
        <f t="shared" si="110"/>
        <v>0.49550664427061164</v>
      </c>
      <c r="P904" s="39">
        <f t="shared" si="111"/>
        <v>0.29391949124933214</v>
      </c>
    </row>
    <row r="905" spans="1:16" x14ac:dyDescent="0.3">
      <c r="A905" s="17">
        <v>41325</v>
      </c>
      <c r="B905" s="13">
        <v>27080</v>
      </c>
      <c r="C905" s="13">
        <v>54250</v>
      </c>
      <c r="D905" s="14">
        <v>2024.64</v>
      </c>
      <c r="E905" s="28">
        <f t="shared" si="105"/>
        <v>2.1501320256507084E-2</v>
      </c>
      <c r="F905" s="39">
        <f t="shared" si="105"/>
        <v>2.7657416797266521E-4</v>
      </c>
      <c r="H905" s="64">
        <f t="shared" si="107"/>
        <v>0.3</v>
      </c>
      <c r="I905" s="65">
        <f t="shared" si="108"/>
        <v>0.5</v>
      </c>
      <c r="J905" s="66">
        <v>0.5</v>
      </c>
      <c r="K905" s="65">
        <f t="shared" si="106"/>
        <v>0.5</v>
      </c>
      <c r="L905" s="28">
        <f t="shared" si="109"/>
        <v>1.418573860412331E-3</v>
      </c>
      <c r="M905" s="71">
        <f t="shared" si="112"/>
        <v>1.0888947212239874E-2</v>
      </c>
      <c r="N905" s="51">
        <v>41325</v>
      </c>
      <c r="O905" s="77">
        <f t="shared" si="110"/>
        <v>0.50639559148285151</v>
      </c>
      <c r="P905" s="39">
        <f t="shared" si="111"/>
        <v>0.31920716212518085</v>
      </c>
    </row>
    <row r="906" spans="1:16" x14ac:dyDescent="0.3">
      <c r="A906" s="18">
        <v>41326</v>
      </c>
      <c r="B906" s="15">
        <v>26955</v>
      </c>
      <c r="C906" s="15">
        <v>54285</v>
      </c>
      <c r="D906" s="16">
        <v>2015.22</v>
      </c>
      <c r="E906" s="28">
        <f t="shared" si="105"/>
        <v>-4.6159527326440353E-3</v>
      </c>
      <c r="F906" s="39">
        <f t="shared" si="105"/>
        <v>6.4516129032266001E-4</v>
      </c>
      <c r="H906" s="64">
        <f t="shared" si="107"/>
        <v>0.2</v>
      </c>
      <c r="I906" s="65">
        <f t="shared" si="108"/>
        <v>0.3</v>
      </c>
      <c r="J906" s="66">
        <v>0.3</v>
      </c>
      <c r="K906" s="65">
        <f t="shared" si="106"/>
        <v>0.7</v>
      </c>
      <c r="L906" s="28">
        <f t="shared" si="109"/>
        <v>6.6439979945329903E-3</v>
      </c>
      <c r="M906" s="71">
        <f t="shared" si="112"/>
        <v>-9.331729165673484E-4</v>
      </c>
      <c r="N906" s="50">
        <v>41326</v>
      </c>
      <c r="O906" s="77">
        <f t="shared" si="110"/>
        <v>0.50546241856628416</v>
      </c>
      <c r="P906" s="39">
        <f t="shared" si="111"/>
        <v>0.31306931467219212</v>
      </c>
    </row>
    <row r="907" spans="1:16" x14ac:dyDescent="0.3">
      <c r="A907" s="17">
        <v>41327</v>
      </c>
      <c r="B907" s="13">
        <v>26995</v>
      </c>
      <c r="C907" s="13">
        <v>54275</v>
      </c>
      <c r="D907" s="14">
        <v>2018.89</v>
      </c>
      <c r="E907" s="28">
        <f t="shared" si="105"/>
        <v>1.4839547393803443E-3</v>
      </c>
      <c r="F907" s="39">
        <f t="shared" si="105"/>
        <v>-1.8421295017034822E-4</v>
      </c>
      <c r="H907" s="64">
        <f t="shared" si="107"/>
        <v>0.2</v>
      </c>
      <c r="I907" s="65">
        <f t="shared" si="108"/>
        <v>0.3</v>
      </c>
      <c r="J907" s="66">
        <v>0.2</v>
      </c>
      <c r="K907" s="65">
        <f t="shared" si="106"/>
        <v>0.8</v>
      </c>
      <c r="L907" s="28">
        <f t="shared" si="109"/>
        <v>-4.07061514270679E-4</v>
      </c>
      <c r="M907" s="71">
        <f t="shared" si="112"/>
        <v>1.4942058773979028E-4</v>
      </c>
      <c r="N907" s="51">
        <v>41327</v>
      </c>
      <c r="O907" s="77">
        <f t="shared" si="110"/>
        <v>0.50561183915402397</v>
      </c>
      <c r="P907" s="39">
        <f t="shared" si="111"/>
        <v>0.31546059918943925</v>
      </c>
    </row>
    <row r="908" spans="1:16" x14ac:dyDescent="0.3">
      <c r="A908" s="17">
        <v>41330</v>
      </c>
      <c r="B908" s="13">
        <v>26890</v>
      </c>
      <c r="C908" s="13">
        <v>54305</v>
      </c>
      <c r="D908" s="14">
        <v>2009.52</v>
      </c>
      <c r="E908" s="28">
        <f t="shared" si="105"/>
        <v>-3.8896091868864113E-3</v>
      </c>
      <c r="F908" s="39">
        <f t="shared" si="105"/>
        <v>5.5274067250121739E-4</v>
      </c>
      <c r="H908" s="64">
        <f t="shared" si="107"/>
        <v>0.2</v>
      </c>
      <c r="I908" s="65">
        <f t="shared" si="108"/>
        <v>0.3</v>
      </c>
      <c r="J908" s="66">
        <v>0.3</v>
      </c>
      <c r="K908" s="65">
        <f t="shared" si="106"/>
        <v>0.7</v>
      </c>
      <c r="L908" s="28">
        <f t="shared" si="109"/>
        <v>3.1623735669485955E-4</v>
      </c>
      <c r="M908" s="71">
        <f t="shared" si="112"/>
        <v>-7.7996428531507123E-4</v>
      </c>
      <c r="N908" s="51">
        <v>41330</v>
      </c>
      <c r="O908" s="77">
        <f t="shared" si="110"/>
        <v>0.50483187486870884</v>
      </c>
      <c r="P908" s="39">
        <f t="shared" si="111"/>
        <v>0.3093553305445873</v>
      </c>
    </row>
    <row r="909" spans="1:16" x14ac:dyDescent="0.3">
      <c r="A909" s="18">
        <v>41331</v>
      </c>
      <c r="B909" s="15">
        <v>26770</v>
      </c>
      <c r="C909" s="15">
        <v>54350</v>
      </c>
      <c r="D909" s="70">
        <v>2000.01</v>
      </c>
      <c r="E909" s="71">
        <f t="shared" si="105"/>
        <v>-4.4626255113424662E-3</v>
      </c>
      <c r="F909" s="39">
        <f t="shared" si="105"/>
        <v>8.2865297854706199E-4</v>
      </c>
      <c r="H909" s="64">
        <f t="shared" si="107"/>
        <v>0.2</v>
      </c>
      <c r="I909" s="65">
        <f t="shared" si="108"/>
        <v>0.3</v>
      </c>
      <c r="J909" s="66">
        <v>0.2</v>
      </c>
      <c r="K909" s="65">
        <f t="shared" si="106"/>
        <v>0.8</v>
      </c>
      <c r="L909" s="28">
        <f t="shared" si="109"/>
        <v>-3.3572929937630835E-4</v>
      </c>
      <c r="M909" s="71">
        <f t="shared" si="112"/>
        <v>-2.2960271943084365E-4</v>
      </c>
      <c r="N909" s="50">
        <v>41331</v>
      </c>
      <c r="O909" s="77">
        <f t="shared" si="110"/>
        <v>0.504602272149278</v>
      </c>
      <c r="P909" s="39">
        <f t="shared" si="111"/>
        <v>0.30315884123695214</v>
      </c>
    </row>
    <row r="910" spans="1:16" x14ac:dyDescent="0.3">
      <c r="A910" s="17">
        <v>41332</v>
      </c>
      <c r="B910" s="13">
        <v>26795</v>
      </c>
      <c r="C910" s="13">
        <v>54410</v>
      </c>
      <c r="D910" s="14">
        <v>2004.04</v>
      </c>
      <c r="E910" s="28">
        <f t="shared" si="105"/>
        <v>9.3388121031012794E-4</v>
      </c>
      <c r="F910" s="39">
        <f t="shared" si="105"/>
        <v>1.1039558417662576E-3</v>
      </c>
      <c r="H910" s="64">
        <f t="shared" si="107"/>
        <v>0.2</v>
      </c>
      <c r="I910" s="65">
        <f t="shared" si="108"/>
        <v>0.3</v>
      </c>
      <c r="J910" s="66">
        <v>0.2</v>
      </c>
      <c r="K910" s="65">
        <f t="shared" si="106"/>
        <v>0.8</v>
      </c>
      <c r="L910" s="28">
        <f t="shared" si="109"/>
        <v>-2.2960271943084365E-4</v>
      </c>
      <c r="M910" s="71">
        <f t="shared" si="112"/>
        <v>1.0699409154750316E-3</v>
      </c>
      <c r="N910" s="51">
        <v>41332</v>
      </c>
      <c r="O910" s="77">
        <f t="shared" si="110"/>
        <v>0.50567221306475307</v>
      </c>
      <c r="P910" s="39">
        <f t="shared" si="111"/>
        <v>0.305784693172785</v>
      </c>
    </row>
    <row r="911" spans="1:16" x14ac:dyDescent="0.3">
      <c r="A911" s="18">
        <v>41333</v>
      </c>
      <c r="B911" s="15">
        <v>27060</v>
      </c>
      <c r="C911" s="15">
        <v>54415</v>
      </c>
      <c r="D911" s="16">
        <v>2026.49</v>
      </c>
      <c r="E911" s="28">
        <f t="shared" si="105"/>
        <v>9.8899048329912365E-3</v>
      </c>
      <c r="F911" s="39">
        <f t="shared" si="105"/>
        <v>9.1894872266129468E-5</v>
      </c>
      <c r="H911" s="64">
        <f t="shared" si="107"/>
        <v>0.2</v>
      </c>
      <c r="I911" s="65">
        <f t="shared" si="108"/>
        <v>0.3</v>
      </c>
      <c r="J911" s="66">
        <v>0.2</v>
      </c>
      <c r="K911" s="65">
        <f t="shared" si="106"/>
        <v>0.8</v>
      </c>
      <c r="L911" s="28">
        <f t="shared" si="109"/>
        <v>1.0699409154750316E-3</v>
      </c>
      <c r="M911" s="71">
        <f t="shared" si="112"/>
        <v>2.051496864411151E-3</v>
      </c>
      <c r="N911" s="50">
        <v>41333</v>
      </c>
      <c r="O911" s="77">
        <f t="shared" si="110"/>
        <v>0.50772370992916427</v>
      </c>
      <c r="P911" s="39">
        <f t="shared" si="111"/>
        <v>0.32041257802624545</v>
      </c>
    </row>
    <row r="912" spans="1:16" x14ac:dyDescent="0.3">
      <c r="A912" s="17">
        <v>41337</v>
      </c>
      <c r="B912" s="13">
        <v>26825</v>
      </c>
      <c r="C912" s="13">
        <v>54405</v>
      </c>
      <c r="D912" s="14">
        <v>2013.15</v>
      </c>
      <c r="E912" s="28">
        <f t="shared" si="105"/>
        <v>-8.6844050258684247E-3</v>
      </c>
      <c r="F912" s="39">
        <f t="shared" si="105"/>
        <v>-1.8377285674908705E-4</v>
      </c>
      <c r="H912" s="64">
        <f t="shared" si="107"/>
        <v>0.2</v>
      </c>
      <c r="I912" s="65">
        <f t="shared" si="108"/>
        <v>0.3</v>
      </c>
      <c r="J912" s="66">
        <v>0.3</v>
      </c>
      <c r="K912" s="65">
        <f t="shared" si="106"/>
        <v>0.7</v>
      </c>
      <c r="L912" s="28">
        <f t="shared" si="109"/>
        <v>3.0312978604836614E-3</v>
      </c>
      <c r="M912" s="71">
        <f t="shared" si="112"/>
        <v>-2.7339625074848883E-3</v>
      </c>
      <c r="N912" s="51">
        <v>41337</v>
      </c>
      <c r="O912" s="77">
        <f t="shared" si="110"/>
        <v>0.50498974742167935</v>
      </c>
      <c r="P912" s="39">
        <f t="shared" si="111"/>
        <v>0.31172055201532523</v>
      </c>
    </row>
    <row r="913" spans="1:16" x14ac:dyDescent="0.3">
      <c r="A913" s="17">
        <v>41338</v>
      </c>
      <c r="B913" s="13">
        <v>26905</v>
      </c>
      <c r="C913" s="13">
        <v>54425</v>
      </c>
      <c r="D913" s="14">
        <v>2016.61</v>
      </c>
      <c r="E913" s="28">
        <f t="shared" ref="E913:F976" si="113">B913/B912-1</f>
        <v>2.9822926374649672E-3</v>
      </c>
      <c r="F913" s="39">
        <f t="shared" si="113"/>
        <v>3.6761327083900674E-4</v>
      </c>
      <c r="H913" s="64">
        <f t="shared" si="107"/>
        <v>0.2</v>
      </c>
      <c r="I913" s="65">
        <f t="shared" si="108"/>
        <v>0.3</v>
      </c>
      <c r="J913" s="66">
        <v>0.2</v>
      </c>
      <c r="K913" s="65">
        <f t="shared" ref="K913:K976" si="114">1-J913</f>
        <v>0.8</v>
      </c>
      <c r="L913" s="28">
        <f t="shared" si="109"/>
        <v>-1.8838992905729547E-3</v>
      </c>
      <c r="M913" s="71">
        <f t="shared" si="112"/>
        <v>8.9054914416419894E-4</v>
      </c>
      <c r="N913" s="51">
        <v>41338</v>
      </c>
      <c r="O913" s="77">
        <f t="shared" si="110"/>
        <v>0.50588029656584355</v>
      </c>
      <c r="P913" s="39">
        <f t="shared" si="111"/>
        <v>0.31397500553839741</v>
      </c>
    </row>
    <row r="914" spans="1:16" x14ac:dyDescent="0.3">
      <c r="A914" s="18">
        <v>41339</v>
      </c>
      <c r="B914" s="15">
        <v>26890</v>
      </c>
      <c r="C914" s="15">
        <v>54405</v>
      </c>
      <c r="D914" s="70">
        <v>2020.74</v>
      </c>
      <c r="E914" s="71">
        <f t="shared" si="113"/>
        <v>-5.5751719011332135E-4</v>
      </c>
      <c r="F914" s="39">
        <f t="shared" si="113"/>
        <v>-3.6747818098303853E-4</v>
      </c>
      <c r="H914" s="64">
        <f t="shared" ref="H914:H982" si="115">IF($D913&lt;=1850,0.9,IF(AND($D913&lt;=1900,$D913&gt;1850),0.7,IF(AND($D913&lt;=1950,$D913&gt;1900),0.5,IF(AND($D913&lt;=2000,$D913&gt;1950),0.3,IF($D913&gt;2000,0.2,0)))))</f>
        <v>0.2</v>
      </c>
      <c r="I914" s="65">
        <f t="shared" ref="I914:I982" si="116">IF($D913&lt;=1850,1,IF(AND($D913&lt;=1900,$D913&gt;1850),0.9,IF(AND($D913&lt;=1950,$D913&gt;1900),0.7,IF(AND($D913&lt;=2000,$D913&gt;1950),0.5,IF($D913&gt;2000,0.3,0)))))</f>
        <v>0.3</v>
      </c>
      <c r="J914" s="66">
        <v>0.3</v>
      </c>
      <c r="K914" s="65">
        <f t="shared" si="114"/>
        <v>0.7</v>
      </c>
      <c r="L914" s="28">
        <f t="shared" ref="L914:L977" si="117">E913*J914+F913*K914</f>
        <v>1.1520170808267949E-3</v>
      </c>
      <c r="M914" s="71">
        <f t="shared" si="112"/>
        <v>-4.2448988372212337E-4</v>
      </c>
      <c r="N914" s="50">
        <v>41339</v>
      </c>
      <c r="O914" s="77">
        <f t="shared" ref="O914:O977" si="118">O913+M914</f>
        <v>0.50545580668212142</v>
      </c>
      <c r="P914" s="39">
        <f t="shared" ref="P914:P977" si="119">D914/$D$16-1</f>
        <v>0.31666601509050385</v>
      </c>
    </row>
    <row r="915" spans="1:16" x14ac:dyDescent="0.3">
      <c r="A915" s="17">
        <v>41340</v>
      </c>
      <c r="B915" s="13">
        <v>26680</v>
      </c>
      <c r="C915" s="13">
        <v>54385</v>
      </c>
      <c r="D915" s="14">
        <v>2004.4</v>
      </c>
      <c r="E915" s="28">
        <f t="shared" si="113"/>
        <v>-7.8095946448494269E-3</v>
      </c>
      <c r="F915" s="39">
        <f t="shared" si="113"/>
        <v>-3.6761327083911777E-4</v>
      </c>
      <c r="H915" s="64">
        <f t="shared" si="115"/>
        <v>0.2</v>
      </c>
      <c r="I915" s="65">
        <f t="shared" si="116"/>
        <v>0.3</v>
      </c>
      <c r="J915" s="66">
        <v>0.2</v>
      </c>
      <c r="K915" s="65">
        <f t="shared" si="114"/>
        <v>0.8</v>
      </c>
      <c r="L915" s="28">
        <f t="shared" si="117"/>
        <v>-4.0548598280909509E-4</v>
      </c>
      <c r="M915" s="71">
        <f t="shared" si="112"/>
        <v>-1.8560095456411796E-3</v>
      </c>
      <c r="N915" s="51">
        <v>41340</v>
      </c>
      <c r="O915" s="77">
        <f t="shared" si="118"/>
        <v>0.50359979713648029</v>
      </c>
      <c r="P915" s="39">
        <f t="shared" si="119"/>
        <v>0.30601926059137052</v>
      </c>
    </row>
    <row r="916" spans="1:16" x14ac:dyDescent="0.3">
      <c r="A916" s="18">
        <v>41341</v>
      </c>
      <c r="B916" s="15">
        <v>26665</v>
      </c>
      <c r="C916" s="15">
        <v>54385</v>
      </c>
      <c r="D916" s="16">
        <v>2006.01</v>
      </c>
      <c r="E916" s="28">
        <f t="shared" si="113"/>
        <v>-5.6221889055474428E-4</v>
      </c>
      <c r="F916" s="39">
        <f t="shared" si="113"/>
        <v>0</v>
      </c>
      <c r="H916" s="64">
        <f t="shared" si="115"/>
        <v>0.2</v>
      </c>
      <c r="I916" s="65">
        <f t="shared" si="116"/>
        <v>0.3</v>
      </c>
      <c r="J916" s="66">
        <v>0.2</v>
      </c>
      <c r="K916" s="65">
        <f t="shared" si="114"/>
        <v>0.8</v>
      </c>
      <c r="L916" s="28">
        <f t="shared" si="117"/>
        <v>-1.8560095456411796E-3</v>
      </c>
      <c r="M916" s="71">
        <f t="shared" ref="M916:M979" si="120">E916*J916+F916*K916</f>
        <v>-1.1244377811094886E-4</v>
      </c>
      <c r="N916" s="50">
        <v>41341</v>
      </c>
      <c r="O916" s="77">
        <f t="shared" si="118"/>
        <v>0.50348735335836936</v>
      </c>
      <c r="P916" s="39">
        <f t="shared" si="119"/>
        <v>0.30706829821337811</v>
      </c>
    </row>
    <row r="917" spans="1:16" x14ac:dyDescent="0.3">
      <c r="A917" s="17">
        <v>41344</v>
      </c>
      <c r="B917" s="13">
        <v>26630</v>
      </c>
      <c r="C917" s="13">
        <v>54365</v>
      </c>
      <c r="D917" s="14">
        <v>2003.35</v>
      </c>
      <c r="E917" s="28">
        <f t="shared" si="113"/>
        <v>-1.3125820363772966E-3</v>
      </c>
      <c r="F917" s="39">
        <f t="shared" si="113"/>
        <v>-3.6774846005327433E-4</v>
      </c>
      <c r="H917" s="64">
        <f t="shared" si="115"/>
        <v>0.2</v>
      </c>
      <c r="I917" s="65">
        <f t="shared" si="116"/>
        <v>0.3</v>
      </c>
      <c r="J917" s="66">
        <v>0.2</v>
      </c>
      <c r="K917" s="65">
        <f t="shared" si="114"/>
        <v>0.8</v>
      </c>
      <c r="L917" s="28">
        <f t="shared" si="117"/>
        <v>-1.1244377811094886E-4</v>
      </c>
      <c r="M917" s="71">
        <f t="shared" si="120"/>
        <v>-5.5671517531807879E-4</v>
      </c>
      <c r="N917" s="51">
        <v>41344</v>
      </c>
      <c r="O917" s="77">
        <f t="shared" si="118"/>
        <v>0.50293063818305128</v>
      </c>
      <c r="P917" s="39">
        <f t="shared" si="119"/>
        <v>0.30533510562049582</v>
      </c>
    </row>
    <row r="918" spans="1:16" x14ac:dyDescent="0.3">
      <c r="A918" s="17">
        <v>41345</v>
      </c>
      <c r="B918" s="13">
        <v>26405</v>
      </c>
      <c r="C918" s="13">
        <v>54210</v>
      </c>
      <c r="D918" s="14">
        <v>1993.34</v>
      </c>
      <c r="E918" s="28">
        <f t="shared" si="113"/>
        <v>-8.4491175366128157E-3</v>
      </c>
      <c r="F918" s="39">
        <f t="shared" si="113"/>
        <v>-2.851099052699313E-3</v>
      </c>
      <c r="H918" s="64">
        <f t="shared" si="115"/>
        <v>0.2</v>
      </c>
      <c r="I918" s="65">
        <f t="shared" si="116"/>
        <v>0.3</v>
      </c>
      <c r="J918" s="66">
        <v>0.2</v>
      </c>
      <c r="K918" s="65">
        <f t="shared" si="114"/>
        <v>0.8</v>
      </c>
      <c r="L918" s="28">
        <f t="shared" si="117"/>
        <v>-5.5671517531807879E-4</v>
      </c>
      <c r="M918" s="71">
        <f t="shared" si="120"/>
        <v>-3.9707027494820142E-3</v>
      </c>
      <c r="N918" s="51">
        <v>41345</v>
      </c>
      <c r="O918" s="77">
        <f t="shared" si="118"/>
        <v>0.49895993543356926</v>
      </c>
      <c r="P918" s="39">
        <f t="shared" si="119"/>
        <v>0.29881282823149191</v>
      </c>
    </row>
    <row r="919" spans="1:16" x14ac:dyDescent="0.3">
      <c r="A919" s="18">
        <v>41346</v>
      </c>
      <c r="B919" s="15">
        <v>26505</v>
      </c>
      <c r="C919" s="15">
        <v>54240</v>
      </c>
      <c r="D919" s="70">
        <v>1999.73</v>
      </c>
      <c r="E919" s="71">
        <f t="shared" si="113"/>
        <v>3.7871615224389643E-3</v>
      </c>
      <c r="F919" s="39">
        <f t="shared" si="113"/>
        <v>5.5340343110121815E-4</v>
      </c>
      <c r="H919" s="64">
        <f t="shared" si="115"/>
        <v>0.3</v>
      </c>
      <c r="I919" s="65">
        <f t="shared" si="116"/>
        <v>0.5</v>
      </c>
      <c r="J919" s="66">
        <v>0.3</v>
      </c>
      <c r="K919" s="65">
        <f t="shared" si="114"/>
        <v>0.7</v>
      </c>
      <c r="L919" s="28">
        <f t="shared" si="117"/>
        <v>-4.5305045978733631E-3</v>
      </c>
      <c r="M919" s="71">
        <f t="shared" si="120"/>
        <v>1.5235308585025418E-3</v>
      </c>
      <c r="N919" s="50">
        <v>41346</v>
      </c>
      <c r="O919" s="77">
        <f t="shared" si="118"/>
        <v>0.50048346629207174</v>
      </c>
      <c r="P919" s="39">
        <f t="shared" si="119"/>
        <v>0.3029763999113857</v>
      </c>
    </row>
    <row r="920" spans="1:16" x14ac:dyDescent="0.3">
      <c r="A920" s="17">
        <v>41347</v>
      </c>
      <c r="B920" s="13">
        <v>26590</v>
      </c>
      <c r="C920" s="13">
        <v>54220</v>
      </c>
      <c r="D920" s="14">
        <v>2002.13</v>
      </c>
      <c r="E920" s="28">
        <f t="shared" si="113"/>
        <v>3.2069420863987119E-3</v>
      </c>
      <c r="F920" s="39">
        <f t="shared" si="113"/>
        <v>-3.6873156342187574E-4</v>
      </c>
      <c r="H920" s="64">
        <f t="shared" si="115"/>
        <v>0.3</v>
      </c>
      <c r="I920" s="65">
        <f t="shared" si="116"/>
        <v>0.5</v>
      </c>
      <c r="J920" s="66">
        <v>0.5</v>
      </c>
      <c r="K920" s="65">
        <f t="shared" si="114"/>
        <v>0.5</v>
      </c>
      <c r="L920" s="28">
        <f t="shared" si="117"/>
        <v>2.1702824767700912E-3</v>
      </c>
      <c r="M920" s="71">
        <f t="shared" si="120"/>
        <v>1.4191052614884181E-3</v>
      </c>
      <c r="N920" s="51">
        <v>41347</v>
      </c>
      <c r="O920" s="77">
        <f t="shared" si="118"/>
        <v>0.50190257155356011</v>
      </c>
      <c r="P920" s="39">
        <f t="shared" si="119"/>
        <v>0.30454018270195604</v>
      </c>
    </row>
    <row r="921" spans="1:16" x14ac:dyDescent="0.3">
      <c r="A921" s="18">
        <v>41348</v>
      </c>
      <c r="B921" s="15">
        <v>26325</v>
      </c>
      <c r="C921" s="15">
        <v>54255</v>
      </c>
      <c r="D921" s="16">
        <v>1986.5</v>
      </c>
      <c r="E921" s="28">
        <f t="shared" si="113"/>
        <v>-9.9661526889808227E-3</v>
      </c>
      <c r="F921" s="39">
        <f t="shared" si="113"/>
        <v>6.4551825894509918E-4</v>
      </c>
      <c r="H921" s="64">
        <f t="shared" si="115"/>
        <v>0.2</v>
      </c>
      <c r="I921" s="65">
        <f t="shared" si="116"/>
        <v>0.3</v>
      </c>
      <c r="J921" s="66">
        <v>0.3</v>
      </c>
      <c r="K921" s="65">
        <f t="shared" si="114"/>
        <v>0.7</v>
      </c>
      <c r="L921" s="28">
        <f t="shared" si="117"/>
        <v>7.0397053152430054E-4</v>
      </c>
      <c r="M921" s="71">
        <f t="shared" si="120"/>
        <v>-2.5379830254326774E-3</v>
      </c>
      <c r="N921" s="50">
        <v>41348</v>
      </c>
      <c r="O921" s="77">
        <f t="shared" si="118"/>
        <v>0.49936458852812743</v>
      </c>
      <c r="P921" s="39">
        <f t="shared" si="119"/>
        <v>0.2943560472783664</v>
      </c>
    </row>
    <row r="922" spans="1:16" x14ac:dyDescent="0.3">
      <c r="A922" s="17">
        <v>41351</v>
      </c>
      <c r="B922" s="13">
        <v>26095</v>
      </c>
      <c r="C922" s="13">
        <v>54280</v>
      </c>
      <c r="D922" s="14">
        <v>1968.18</v>
      </c>
      <c r="E922" s="28">
        <f t="shared" si="113"/>
        <v>-8.7369420702754219E-3</v>
      </c>
      <c r="F922" s="39">
        <f t="shared" si="113"/>
        <v>4.6078702423746343E-4</v>
      </c>
      <c r="H922" s="64">
        <f t="shared" si="115"/>
        <v>0.3</v>
      </c>
      <c r="I922" s="65">
        <f t="shared" si="116"/>
        <v>0.5</v>
      </c>
      <c r="J922" s="66">
        <v>0.3</v>
      </c>
      <c r="K922" s="65">
        <f t="shared" si="114"/>
        <v>0.7</v>
      </c>
      <c r="L922" s="28">
        <f t="shared" si="117"/>
        <v>-2.5379830254326774E-3</v>
      </c>
      <c r="M922" s="71">
        <f t="shared" si="120"/>
        <v>-2.2985317041164023E-3</v>
      </c>
      <c r="N922" s="51">
        <v>41351</v>
      </c>
      <c r="O922" s="77">
        <f t="shared" si="118"/>
        <v>0.497066056824011</v>
      </c>
      <c r="P922" s="39">
        <f t="shared" si="119"/>
        <v>0.28241917197701238</v>
      </c>
    </row>
    <row r="923" spans="1:16" x14ac:dyDescent="0.3">
      <c r="A923" s="17">
        <v>41352</v>
      </c>
      <c r="B923" s="13">
        <v>26190</v>
      </c>
      <c r="C923" s="13">
        <v>54280</v>
      </c>
      <c r="D923" s="14">
        <v>1978.56</v>
      </c>
      <c r="E923" s="28">
        <f t="shared" si="113"/>
        <v>3.6405441655489312E-3</v>
      </c>
      <c r="F923" s="39">
        <f t="shared" si="113"/>
        <v>0</v>
      </c>
      <c r="H923" s="64">
        <f t="shared" si="115"/>
        <v>0.3</v>
      </c>
      <c r="I923" s="65">
        <f t="shared" si="116"/>
        <v>0.5</v>
      </c>
      <c r="J923" s="66">
        <v>0.3</v>
      </c>
      <c r="K923" s="65">
        <f t="shared" si="114"/>
        <v>0.7</v>
      </c>
      <c r="L923" s="28">
        <f t="shared" si="117"/>
        <v>-2.2985317041164023E-3</v>
      </c>
      <c r="M923" s="71">
        <f t="shared" si="120"/>
        <v>1.0921632496646793E-3</v>
      </c>
      <c r="N923" s="51">
        <v>41352</v>
      </c>
      <c r="O923" s="77">
        <f t="shared" si="118"/>
        <v>0.49815822007367566</v>
      </c>
      <c r="P923" s="39">
        <f t="shared" si="119"/>
        <v>0.28918253254622939</v>
      </c>
    </row>
    <row r="924" spans="1:16" x14ac:dyDescent="0.3">
      <c r="A924" s="18">
        <v>41353</v>
      </c>
      <c r="B924" s="15">
        <v>25965</v>
      </c>
      <c r="C924" s="15">
        <v>54300</v>
      </c>
      <c r="D924" s="70">
        <v>1959.41</v>
      </c>
      <c r="E924" s="71">
        <f t="shared" si="113"/>
        <v>-8.5910652920961894E-3</v>
      </c>
      <c r="F924" s="39">
        <f t="shared" si="113"/>
        <v>3.6845983787769931E-4</v>
      </c>
      <c r="H924" s="64">
        <f t="shared" si="115"/>
        <v>0.3</v>
      </c>
      <c r="I924" s="65">
        <f t="shared" si="116"/>
        <v>0.5</v>
      </c>
      <c r="J924" s="66">
        <v>0.5</v>
      </c>
      <c r="K924" s="65">
        <f t="shared" si="114"/>
        <v>0.5</v>
      </c>
      <c r="L924" s="28">
        <f t="shared" si="117"/>
        <v>1.8202720827744656E-3</v>
      </c>
      <c r="M924" s="71">
        <f t="shared" si="120"/>
        <v>-4.111302727109245E-3</v>
      </c>
      <c r="N924" s="50">
        <v>41353</v>
      </c>
      <c r="O924" s="77">
        <f t="shared" si="118"/>
        <v>0.49404691734656642</v>
      </c>
      <c r="P924" s="39">
        <f t="shared" si="119"/>
        <v>0.27670484902980319</v>
      </c>
    </row>
    <row r="925" spans="1:16" x14ac:dyDescent="0.3">
      <c r="A925" s="17">
        <v>41354</v>
      </c>
      <c r="B925" s="13">
        <v>25790</v>
      </c>
      <c r="C925" s="13">
        <v>54325</v>
      </c>
      <c r="D925" s="14">
        <v>1950.82</v>
      </c>
      <c r="E925" s="28">
        <f t="shared" si="113"/>
        <v>-6.7398420951280125E-3</v>
      </c>
      <c r="F925" s="39">
        <f t="shared" si="113"/>
        <v>4.604051565377798E-4</v>
      </c>
      <c r="H925" s="64">
        <f t="shared" si="115"/>
        <v>0.3</v>
      </c>
      <c r="I925" s="65">
        <f t="shared" si="116"/>
        <v>0.5</v>
      </c>
      <c r="J925" s="66">
        <v>0.3</v>
      </c>
      <c r="K925" s="65">
        <f t="shared" si="114"/>
        <v>0.7</v>
      </c>
      <c r="L925" s="28">
        <f t="shared" si="117"/>
        <v>-2.3193977011144672E-3</v>
      </c>
      <c r="M925" s="71">
        <f t="shared" si="120"/>
        <v>-1.6996690189619579E-3</v>
      </c>
      <c r="N925" s="51">
        <v>41354</v>
      </c>
      <c r="O925" s="77">
        <f t="shared" si="118"/>
        <v>0.49234724832760446</v>
      </c>
      <c r="P925" s="39">
        <f t="shared" si="119"/>
        <v>0.27110780979188642</v>
      </c>
    </row>
    <row r="926" spans="1:16" x14ac:dyDescent="0.3">
      <c r="A926" s="18">
        <v>41355</v>
      </c>
      <c r="B926" s="15">
        <v>25735</v>
      </c>
      <c r="C926" s="15">
        <v>54355</v>
      </c>
      <c r="D926" s="16">
        <v>1948.71</v>
      </c>
      <c r="E926" s="28">
        <f t="shared" si="113"/>
        <v>-2.1326095385808541E-3</v>
      </c>
      <c r="F926" s="39">
        <f t="shared" si="113"/>
        <v>5.5223193741360532E-4</v>
      </c>
      <c r="H926" s="64">
        <f t="shared" si="115"/>
        <v>0.3</v>
      </c>
      <c r="I926" s="65">
        <f t="shared" si="116"/>
        <v>0.5</v>
      </c>
      <c r="J926" s="66">
        <v>0.3</v>
      </c>
      <c r="K926" s="65">
        <f t="shared" si="114"/>
        <v>0.7</v>
      </c>
      <c r="L926" s="28">
        <f t="shared" si="117"/>
        <v>-1.6996690189619579E-3</v>
      </c>
      <c r="M926" s="71">
        <f t="shared" si="120"/>
        <v>-2.5322050538473256E-4</v>
      </c>
      <c r="N926" s="50">
        <v>41355</v>
      </c>
      <c r="O926" s="77">
        <f t="shared" si="118"/>
        <v>0.49209402782221973</v>
      </c>
      <c r="P926" s="39">
        <f t="shared" si="119"/>
        <v>0.2697329840885101</v>
      </c>
    </row>
    <row r="927" spans="1:16" x14ac:dyDescent="0.3">
      <c r="A927" s="17">
        <v>41358</v>
      </c>
      <c r="B927" s="13">
        <v>26175</v>
      </c>
      <c r="C927" s="13">
        <v>54360</v>
      </c>
      <c r="D927" s="14">
        <v>1977.67</v>
      </c>
      <c r="E927" s="28">
        <f t="shared" si="113"/>
        <v>1.7097338255294359E-2</v>
      </c>
      <c r="F927" s="39">
        <f t="shared" si="113"/>
        <v>9.1987857602893186E-5</v>
      </c>
      <c r="H927" s="64">
        <f t="shared" si="115"/>
        <v>0.5</v>
      </c>
      <c r="I927" s="65">
        <f t="shared" si="116"/>
        <v>0.7</v>
      </c>
      <c r="J927" s="66">
        <v>0.5</v>
      </c>
      <c r="K927" s="65">
        <f t="shared" si="114"/>
        <v>0.5</v>
      </c>
      <c r="L927" s="28">
        <f t="shared" si="117"/>
        <v>-7.901888005836244E-4</v>
      </c>
      <c r="M927" s="71">
        <f t="shared" si="120"/>
        <v>8.5946630564486259E-3</v>
      </c>
      <c r="N927" s="51">
        <v>41358</v>
      </c>
      <c r="O927" s="77">
        <f t="shared" si="118"/>
        <v>0.5006886908786683</v>
      </c>
      <c r="P927" s="39">
        <f t="shared" si="119"/>
        <v>0.28860262976139284</v>
      </c>
    </row>
    <row r="928" spans="1:16" x14ac:dyDescent="0.3">
      <c r="A928" s="17">
        <v>41359</v>
      </c>
      <c r="B928" s="13">
        <v>26240</v>
      </c>
      <c r="C928" s="13">
        <v>54355</v>
      </c>
      <c r="D928" s="14">
        <v>1983.7</v>
      </c>
      <c r="E928" s="28">
        <f t="shared" si="113"/>
        <v>2.4832855778413876E-3</v>
      </c>
      <c r="F928" s="39">
        <f t="shared" si="113"/>
        <v>-9.1979396615204934E-5</v>
      </c>
      <c r="H928" s="64">
        <f t="shared" si="115"/>
        <v>0.3</v>
      </c>
      <c r="I928" s="65">
        <f t="shared" si="116"/>
        <v>0.5</v>
      </c>
      <c r="J928" s="66">
        <v>0.5</v>
      </c>
      <c r="K928" s="65">
        <f t="shared" si="114"/>
        <v>0.5</v>
      </c>
      <c r="L928" s="28">
        <f t="shared" si="117"/>
        <v>8.5946630564486259E-3</v>
      </c>
      <c r="M928" s="71">
        <f t="shared" si="120"/>
        <v>1.1956530906130913E-3</v>
      </c>
      <c r="N928" s="51">
        <v>41359</v>
      </c>
      <c r="O928" s="77">
        <f t="shared" si="118"/>
        <v>0.50188434396928139</v>
      </c>
      <c r="P928" s="39">
        <f t="shared" si="119"/>
        <v>0.29253163402270088</v>
      </c>
    </row>
    <row r="929" spans="1:16" x14ac:dyDescent="0.3">
      <c r="A929" s="18">
        <v>41360</v>
      </c>
      <c r="B929" s="15">
        <v>26425</v>
      </c>
      <c r="C929" s="15">
        <v>54355</v>
      </c>
      <c r="D929" s="70">
        <v>1993.44</v>
      </c>
      <c r="E929" s="71">
        <f t="shared" si="113"/>
        <v>7.0503048780488076E-3</v>
      </c>
      <c r="F929" s="39">
        <f t="shared" si="113"/>
        <v>0</v>
      </c>
      <c r="H929" s="64">
        <f t="shared" si="115"/>
        <v>0.3</v>
      </c>
      <c r="I929" s="65">
        <f t="shared" si="116"/>
        <v>0.5</v>
      </c>
      <c r="J929" s="66">
        <v>0.5</v>
      </c>
      <c r="K929" s="65">
        <f t="shared" si="114"/>
        <v>0.5</v>
      </c>
      <c r="L929" s="28">
        <f t="shared" si="117"/>
        <v>1.1956530906130913E-3</v>
      </c>
      <c r="M929" s="71">
        <f t="shared" si="120"/>
        <v>3.5251524390244038E-3</v>
      </c>
      <c r="N929" s="50">
        <v>41360</v>
      </c>
      <c r="O929" s="77">
        <f t="shared" si="118"/>
        <v>0.50540949640830579</v>
      </c>
      <c r="P929" s="39">
        <f t="shared" si="119"/>
        <v>0.2988779858477657</v>
      </c>
    </row>
    <row r="930" spans="1:16" x14ac:dyDescent="0.3">
      <c r="A930" s="17">
        <v>41361</v>
      </c>
      <c r="B930" s="13">
        <v>26455</v>
      </c>
      <c r="C930" s="13">
        <v>54520</v>
      </c>
      <c r="D930" s="14">
        <v>1993.52</v>
      </c>
      <c r="E930" s="28">
        <f t="shared" si="113"/>
        <v>1.1352885525071077E-3</v>
      </c>
      <c r="F930" s="39">
        <f t="shared" si="113"/>
        <v>3.0355993008923665E-3</v>
      </c>
      <c r="H930" s="64">
        <f t="shared" si="115"/>
        <v>0.3</v>
      </c>
      <c r="I930" s="65">
        <f t="shared" si="116"/>
        <v>0.5</v>
      </c>
      <c r="J930" s="66">
        <v>0.5</v>
      </c>
      <c r="K930" s="65">
        <f t="shared" si="114"/>
        <v>0.5</v>
      </c>
      <c r="L930" s="28">
        <f t="shared" si="117"/>
        <v>3.5251524390244038E-3</v>
      </c>
      <c r="M930" s="71">
        <f t="shared" si="120"/>
        <v>2.0854439266997371E-3</v>
      </c>
      <c r="N930" s="51">
        <v>41361</v>
      </c>
      <c r="O930" s="77">
        <f t="shared" si="118"/>
        <v>0.50749494033500553</v>
      </c>
      <c r="P930" s="39">
        <f t="shared" si="119"/>
        <v>0.29893011194078478</v>
      </c>
    </row>
    <row r="931" spans="1:16" x14ac:dyDescent="0.3">
      <c r="A931" s="18">
        <v>41362</v>
      </c>
      <c r="B931" s="15">
        <v>26560</v>
      </c>
      <c r="C931" s="15">
        <v>54515</v>
      </c>
      <c r="D931" s="16">
        <v>2004.89</v>
      </c>
      <c r="E931" s="28">
        <f t="shared" si="113"/>
        <v>3.9690039690039036E-3</v>
      </c>
      <c r="F931" s="39">
        <f t="shared" si="113"/>
        <v>-9.1709464416722675E-5</v>
      </c>
      <c r="H931" s="64">
        <f t="shared" si="115"/>
        <v>0.3</v>
      </c>
      <c r="I931" s="65">
        <f t="shared" si="116"/>
        <v>0.5</v>
      </c>
      <c r="J931" s="66">
        <v>0.3</v>
      </c>
      <c r="K931" s="65">
        <f t="shared" si="114"/>
        <v>0.7</v>
      </c>
      <c r="L931" s="28">
        <f t="shared" si="117"/>
        <v>2.4655060763767887E-3</v>
      </c>
      <c r="M931" s="71">
        <f t="shared" si="120"/>
        <v>1.126504565609465E-3</v>
      </c>
      <c r="N931" s="50">
        <v>41362</v>
      </c>
      <c r="O931" s="77">
        <f t="shared" si="118"/>
        <v>0.50862144490061501</v>
      </c>
      <c r="P931" s="39">
        <f t="shared" si="119"/>
        <v>0.30633853291111213</v>
      </c>
    </row>
    <row r="932" spans="1:16" x14ac:dyDescent="0.3">
      <c r="A932" s="17">
        <v>41365</v>
      </c>
      <c r="B932" s="13">
        <v>26485</v>
      </c>
      <c r="C932" s="13">
        <v>54510</v>
      </c>
      <c r="D932" s="14">
        <v>1995.99</v>
      </c>
      <c r="E932" s="28">
        <f t="shared" si="113"/>
        <v>-2.8237951807228434E-3</v>
      </c>
      <c r="F932" s="39">
        <f t="shared" si="113"/>
        <v>-9.1717875813968064E-5</v>
      </c>
      <c r="H932" s="64">
        <f t="shared" si="115"/>
        <v>0.2</v>
      </c>
      <c r="I932" s="65">
        <f t="shared" si="116"/>
        <v>0.3</v>
      </c>
      <c r="J932" s="66">
        <v>0.3</v>
      </c>
      <c r="K932" s="65">
        <f t="shared" si="114"/>
        <v>0.7</v>
      </c>
      <c r="L932" s="28">
        <f t="shared" si="117"/>
        <v>1.126504565609465E-3</v>
      </c>
      <c r="M932" s="71">
        <f t="shared" si="120"/>
        <v>-9.1134106728663056E-4</v>
      </c>
      <c r="N932" s="51">
        <v>41365</v>
      </c>
      <c r="O932" s="77">
        <f t="shared" si="118"/>
        <v>0.50771010383332837</v>
      </c>
      <c r="P932" s="39">
        <f t="shared" si="119"/>
        <v>0.30053950506274685</v>
      </c>
    </row>
    <row r="933" spans="1:16" x14ac:dyDescent="0.3">
      <c r="A933" s="17">
        <v>41366</v>
      </c>
      <c r="B933" s="13">
        <v>26260</v>
      </c>
      <c r="C933" s="13">
        <v>54545</v>
      </c>
      <c r="D933" s="14">
        <v>1986.15</v>
      </c>
      <c r="E933" s="28">
        <f t="shared" si="113"/>
        <v>-8.4953747404190594E-3</v>
      </c>
      <c r="F933" s="39">
        <f t="shared" si="113"/>
        <v>6.4208402128040909E-4</v>
      </c>
      <c r="H933" s="64">
        <f t="shared" si="115"/>
        <v>0.3</v>
      </c>
      <c r="I933" s="65">
        <f t="shared" si="116"/>
        <v>0.5</v>
      </c>
      <c r="J933" s="66">
        <v>0.3</v>
      </c>
      <c r="K933" s="65">
        <f t="shared" si="114"/>
        <v>0.7</v>
      </c>
      <c r="L933" s="28">
        <f t="shared" si="117"/>
        <v>-9.1134106728663056E-4</v>
      </c>
      <c r="M933" s="71">
        <f t="shared" si="120"/>
        <v>-2.0991536072294311E-3</v>
      </c>
      <c r="N933" s="51">
        <v>41366</v>
      </c>
      <c r="O933" s="77">
        <f t="shared" si="118"/>
        <v>0.50561095022609892</v>
      </c>
      <c r="P933" s="39">
        <f t="shared" si="119"/>
        <v>0.29412799562140823</v>
      </c>
    </row>
    <row r="934" spans="1:16" x14ac:dyDescent="0.3">
      <c r="A934" s="18">
        <v>41367</v>
      </c>
      <c r="B934" s="15">
        <v>26200</v>
      </c>
      <c r="C934" s="15">
        <v>54545</v>
      </c>
      <c r="D934" s="70">
        <v>1983.22</v>
      </c>
      <c r="E934" s="71">
        <f t="shared" si="113"/>
        <v>-2.2848438690022954E-3</v>
      </c>
      <c r="F934" s="39">
        <f t="shared" si="113"/>
        <v>0</v>
      </c>
      <c r="H934" s="64">
        <f t="shared" si="115"/>
        <v>0.3</v>
      </c>
      <c r="I934" s="65">
        <f t="shared" si="116"/>
        <v>0.5</v>
      </c>
      <c r="J934" s="66">
        <v>0.3</v>
      </c>
      <c r="K934" s="65">
        <f t="shared" si="114"/>
        <v>0.7</v>
      </c>
      <c r="L934" s="28">
        <f t="shared" si="117"/>
        <v>-2.0991536072294311E-3</v>
      </c>
      <c r="M934" s="71">
        <f t="shared" si="120"/>
        <v>-6.8545316070068858E-4</v>
      </c>
      <c r="N934" s="50">
        <v>41367</v>
      </c>
      <c r="O934" s="77">
        <f t="shared" si="118"/>
        <v>0.50492549706539824</v>
      </c>
      <c r="P934" s="39">
        <f t="shared" si="119"/>
        <v>0.29221887746458686</v>
      </c>
    </row>
    <row r="935" spans="1:16" x14ac:dyDescent="0.3">
      <c r="A935" s="17">
        <v>41368</v>
      </c>
      <c r="B935" s="13">
        <v>25865</v>
      </c>
      <c r="C935" s="13">
        <v>54555</v>
      </c>
      <c r="D935" s="14">
        <v>1959.45</v>
      </c>
      <c r="E935" s="28">
        <f t="shared" si="113"/>
        <v>-1.2786259541984757E-2</v>
      </c>
      <c r="F935" s="39">
        <f t="shared" si="113"/>
        <v>1.8333486112376285E-4</v>
      </c>
      <c r="H935" s="64">
        <f t="shared" si="115"/>
        <v>0.3</v>
      </c>
      <c r="I935" s="65">
        <f t="shared" si="116"/>
        <v>0.5</v>
      </c>
      <c r="J935" s="66">
        <v>0.3</v>
      </c>
      <c r="K935" s="65">
        <f t="shared" si="114"/>
        <v>0.7</v>
      </c>
      <c r="L935" s="28">
        <f t="shared" si="117"/>
        <v>-6.8545316070068858E-4</v>
      </c>
      <c r="M935" s="71">
        <f t="shared" si="120"/>
        <v>-3.7075434598087932E-3</v>
      </c>
      <c r="N935" s="51">
        <v>41368</v>
      </c>
      <c r="O935" s="77">
        <f t="shared" si="118"/>
        <v>0.50121795360558941</v>
      </c>
      <c r="P935" s="39">
        <f t="shared" si="119"/>
        <v>0.27673091207631262</v>
      </c>
    </row>
    <row r="936" spans="1:16" x14ac:dyDescent="0.3">
      <c r="A936" s="18">
        <v>41369</v>
      </c>
      <c r="B936" s="15">
        <v>25460</v>
      </c>
      <c r="C936" s="15">
        <v>54595</v>
      </c>
      <c r="D936" s="16">
        <v>1927.23</v>
      </c>
      <c r="E936" s="28">
        <f t="shared" si="113"/>
        <v>-1.5658225401121162E-2</v>
      </c>
      <c r="F936" s="39">
        <f t="shared" si="113"/>
        <v>7.3320502245444175E-4</v>
      </c>
      <c r="H936" s="64">
        <f t="shared" si="115"/>
        <v>0.3</v>
      </c>
      <c r="I936" s="65">
        <f t="shared" si="116"/>
        <v>0.5</v>
      </c>
      <c r="J936" s="66">
        <v>0.3</v>
      </c>
      <c r="K936" s="65">
        <f t="shared" si="114"/>
        <v>0.7</v>
      </c>
      <c r="L936" s="28">
        <f t="shared" si="117"/>
        <v>-3.7075434598087932E-3</v>
      </c>
      <c r="M936" s="71">
        <f t="shared" si="120"/>
        <v>-4.1842241046182397E-3</v>
      </c>
      <c r="N936" s="50">
        <v>41369</v>
      </c>
      <c r="O936" s="77">
        <f t="shared" si="118"/>
        <v>0.49703372950097119</v>
      </c>
      <c r="P936" s="39">
        <f t="shared" si="119"/>
        <v>0.25573712811290505</v>
      </c>
    </row>
    <row r="937" spans="1:16" x14ac:dyDescent="0.3">
      <c r="A937" s="17">
        <v>41372</v>
      </c>
      <c r="B937" s="13">
        <v>25480</v>
      </c>
      <c r="C937" s="13">
        <v>54585</v>
      </c>
      <c r="D937" s="14">
        <v>1918.69</v>
      </c>
      <c r="E937" s="28">
        <f t="shared" si="113"/>
        <v>7.8554595443836028E-4</v>
      </c>
      <c r="F937" s="39">
        <f t="shared" si="113"/>
        <v>-1.8316695668096905E-4</v>
      </c>
      <c r="H937" s="64">
        <f t="shared" si="115"/>
        <v>0.5</v>
      </c>
      <c r="I937" s="65">
        <f t="shared" si="116"/>
        <v>0.7</v>
      </c>
      <c r="J937" s="66">
        <v>0.5</v>
      </c>
      <c r="K937" s="65">
        <f t="shared" si="114"/>
        <v>0.5</v>
      </c>
      <c r="L937" s="28">
        <f t="shared" si="117"/>
        <v>-7.4625101893333601E-3</v>
      </c>
      <c r="M937" s="71">
        <f t="shared" si="120"/>
        <v>3.0118949887869562E-4</v>
      </c>
      <c r="N937" s="51">
        <v>41372</v>
      </c>
      <c r="O937" s="77">
        <f t="shared" si="118"/>
        <v>0.49733491899984988</v>
      </c>
      <c r="P937" s="39">
        <f t="shared" si="119"/>
        <v>0.25017266768312552</v>
      </c>
    </row>
    <row r="938" spans="1:16" x14ac:dyDescent="0.3">
      <c r="A938" s="17">
        <v>41373</v>
      </c>
      <c r="B938" s="13">
        <v>25455</v>
      </c>
      <c r="C938" s="13">
        <v>54550</v>
      </c>
      <c r="D938" s="14">
        <v>1920.74</v>
      </c>
      <c r="E938" s="28">
        <f t="shared" si="113"/>
        <v>-9.8116169544737453E-4</v>
      </c>
      <c r="F938" s="39">
        <f t="shared" si="113"/>
        <v>-6.4120179536497623E-4</v>
      </c>
      <c r="H938" s="64">
        <f t="shared" si="115"/>
        <v>0.5</v>
      </c>
      <c r="I938" s="65">
        <f t="shared" si="116"/>
        <v>0.7</v>
      </c>
      <c r="J938" s="66">
        <v>0.7</v>
      </c>
      <c r="K938" s="65">
        <f t="shared" si="114"/>
        <v>0.30000000000000004</v>
      </c>
      <c r="L938" s="28">
        <f t="shared" si="117"/>
        <v>4.9493208110256142E-4</v>
      </c>
      <c r="M938" s="71">
        <f t="shared" si="120"/>
        <v>-8.7917372542265502E-4</v>
      </c>
      <c r="N938" s="51">
        <v>41373</v>
      </c>
      <c r="O938" s="77">
        <f t="shared" si="118"/>
        <v>0.49645574527442721</v>
      </c>
      <c r="P938" s="39">
        <f t="shared" si="119"/>
        <v>0.2515083988167377</v>
      </c>
    </row>
    <row r="939" spans="1:16" x14ac:dyDescent="0.3">
      <c r="A939" s="18">
        <v>41374</v>
      </c>
      <c r="B939" s="15">
        <v>25620</v>
      </c>
      <c r="C939" s="15">
        <v>54550</v>
      </c>
      <c r="D939" s="70">
        <v>1935.58</v>
      </c>
      <c r="E939" s="71">
        <f t="shared" si="113"/>
        <v>6.4820271066587942E-3</v>
      </c>
      <c r="F939" s="39">
        <f t="shared" si="113"/>
        <v>0</v>
      </c>
      <c r="H939" s="64">
        <f t="shared" si="115"/>
        <v>0.5</v>
      </c>
      <c r="I939" s="65">
        <f t="shared" si="116"/>
        <v>0.7</v>
      </c>
      <c r="J939" s="66">
        <v>0.5</v>
      </c>
      <c r="K939" s="65">
        <f t="shared" si="114"/>
        <v>0.5</v>
      </c>
      <c r="L939" s="28">
        <f t="shared" si="117"/>
        <v>-8.1118174540617538E-4</v>
      </c>
      <c r="M939" s="71">
        <f t="shared" si="120"/>
        <v>3.2410135533293971E-3</v>
      </c>
      <c r="N939" s="50">
        <v>41374</v>
      </c>
      <c r="O939" s="77">
        <f t="shared" si="118"/>
        <v>0.4996967588277566</v>
      </c>
      <c r="P939" s="39">
        <f t="shared" si="119"/>
        <v>0.26117778907176459</v>
      </c>
    </row>
    <row r="940" spans="1:16" x14ac:dyDescent="0.3">
      <c r="A940" s="17">
        <v>41375</v>
      </c>
      <c r="B940" s="13">
        <v>25845</v>
      </c>
      <c r="C940" s="13">
        <v>54330</v>
      </c>
      <c r="D940" s="14">
        <v>1949.8</v>
      </c>
      <c r="E940" s="28">
        <f t="shared" si="113"/>
        <v>8.7822014051521791E-3</v>
      </c>
      <c r="F940" s="39">
        <f t="shared" si="113"/>
        <v>-4.0329972502290978E-3</v>
      </c>
      <c r="H940" s="64">
        <f t="shared" si="115"/>
        <v>0.5</v>
      </c>
      <c r="I940" s="65">
        <f t="shared" si="116"/>
        <v>0.7</v>
      </c>
      <c r="J940" s="66">
        <v>0.7</v>
      </c>
      <c r="K940" s="65">
        <f t="shared" si="114"/>
        <v>0.30000000000000004</v>
      </c>
      <c r="L940" s="28">
        <f t="shared" si="117"/>
        <v>4.5374189746611553E-3</v>
      </c>
      <c r="M940" s="71">
        <f t="shared" si="120"/>
        <v>4.9376418085377953E-3</v>
      </c>
      <c r="N940" s="51">
        <v>41375</v>
      </c>
      <c r="O940" s="77">
        <f t="shared" si="118"/>
        <v>0.50463440063629439</v>
      </c>
      <c r="P940" s="39">
        <f t="shared" si="119"/>
        <v>0.27044320210589423</v>
      </c>
    </row>
    <row r="941" spans="1:16" x14ac:dyDescent="0.3">
      <c r="A941" s="18">
        <v>41376</v>
      </c>
      <c r="B941" s="15">
        <v>25350</v>
      </c>
      <c r="C941" s="15">
        <v>54275</v>
      </c>
      <c r="D941" s="16">
        <v>1924.23</v>
      </c>
      <c r="E941" s="28">
        <f t="shared" si="113"/>
        <v>-1.9152640742890359E-2</v>
      </c>
      <c r="F941" s="39">
        <f t="shared" si="113"/>
        <v>-1.012332044910691E-3</v>
      </c>
      <c r="H941" s="64">
        <f t="shared" si="115"/>
        <v>0.5</v>
      </c>
      <c r="I941" s="65">
        <f t="shared" si="116"/>
        <v>0.7</v>
      </c>
      <c r="J941" s="66">
        <v>0.7</v>
      </c>
      <c r="K941" s="65">
        <f t="shared" si="114"/>
        <v>0.30000000000000004</v>
      </c>
      <c r="L941" s="28">
        <f t="shared" si="117"/>
        <v>4.9376418085377953E-3</v>
      </c>
      <c r="M941" s="71">
        <f t="shared" si="120"/>
        <v>-1.3710548133496458E-2</v>
      </c>
      <c r="N941" s="50">
        <v>41376</v>
      </c>
      <c r="O941" s="77">
        <f t="shared" si="118"/>
        <v>0.49092385250279791</v>
      </c>
      <c r="P941" s="39">
        <f t="shared" si="119"/>
        <v>0.25378239962469218</v>
      </c>
    </row>
    <row r="942" spans="1:16" x14ac:dyDescent="0.3">
      <c r="A942" s="17">
        <v>41379</v>
      </c>
      <c r="B942" s="13">
        <v>25405</v>
      </c>
      <c r="C942" s="13">
        <v>54295</v>
      </c>
      <c r="D942" s="14">
        <v>1920.45</v>
      </c>
      <c r="E942" s="28">
        <f t="shared" si="113"/>
        <v>2.1696252465484012E-3</v>
      </c>
      <c r="F942" s="39">
        <f t="shared" si="113"/>
        <v>3.6849378166747826E-4</v>
      </c>
      <c r="H942" s="64">
        <f t="shared" si="115"/>
        <v>0.5</v>
      </c>
      <c r="I942" s="65">
        <f t="shared" si="116"/>
        <v>0.7</v>
      </c>
      <c r="J942" s="66">
        <v>0.5</v>
      </c>
      <c r="K942" s="65">
        <f t="shared" si="114"/>
        <v>0.5</v>
      </c>
      <c r="L942" s="28">
        <f t="shared" si="117"/>
        <v>-1.0082486393900525E-2</v>
      </c>
      <c r="M942" s="71">
        <f t="shared" si="120"/>
        <v>1.2690595141079397E-3</v>
      </c>
      <c r="N942" s="51">
        <v>41379</v>
      </c>
      <c r="O942" s="77">
        <f t="shared" si="118"/>
        <v>0.49219291201690585</v>
      </c>
      <c r="P942" s="39">
        <f t="shared" si="119"/>
        <v>0.25131944172954368</v>
      </c>
    </row>
    <row r="943" spans="1:16" x14ac:dyDescent="0.3">
      <c r="A943" s="17">
        <v>41380</v>
      </c>
      <c r="B943" s="13">
        <v>25340</v>
      </c>
      <c r="C943" s="13">
        <v>54390</v>
      </c>
      <c r="D943" s="14">
        <v>1922.21</v>
      </c>
      <c r="E943" s="28">
        <f t="shared" si="113"/>
        <v>-2.5585514662468389E-3</v>
      </c>
      <c r="F943" s="39">
        <f t="shared" si="113"/>
        <v>1.7497007090891969E-3</v>
      </c>
      <c r="H943" s="64">
        <f t="shared" si="115"/>
        <v>0.5</v>
      </c>
      <c r="I943" s="65">
        <f t="shared" si="116"/>
        <v>0.7</v>
      </c>
      <c r="J943" s="66">
        <v>0.7</v>
      </c>
      <c r="K943" s="65">
        <f t="shared" si="114"/>
        <v>0.30000000000000004</v>
      </c>
      <c r="L943" s="28">
        <f t="shared" si="117"/>
        <v>1.6292858070841242E-3</v>
      </c>
      <c r="M943" s="71">
        <f t="shared" si="120"/>
        <v>-1.2660758136460279E-3</v>
      </c>
      <c r="N943" s="51">
        <v>41380</v>
      </c>
      <c r="O943" s="77">
        <f t="shared" si="118"/>
        <v>0.49092683620325983</v>
      </c>
      <c r="P943" s="39">
        <f t="shared" si="119"/>
        <v>0.25246621577596207</v>
      </c>
    </row>
    <row r="944" spans="1:16" x14ac:dyDescent="0.3">
      <c r="A944" s="18">
        <v>41381</v>
      </c>
      <c r="B944" s="15">
        <v>25340</v>
      </c>
      <c r="C944" s="15">
        <v>54390</v>
      </c>
      <c r="D944" s="70">
        <v>1923.84</v>
      </c>
      <c r="E944" s="71">
        <f t="shared" si="113"/>
        <v>0</v>
      </c>
      <c r="F944" s="39">
        <f t="shared" si="113"/>
        <v>0</v>
      </c>
      <c r="H944" s="64">
        <f t="shared" si="115"/>
        <v>0.5</v>
      </c>
      <c r="I944" s="65">
        <f t="shared" si="116"/>
        <v>0.7</v>
      </c>
      <c r="J944" s="66">
        <v>0.5</v>
      </c>
      <c r="K944" s="65">
        <f t="shared" si="114"/>
        <v>0.5</v>
      </c>
      <c r="L944" s="28">
        <f t="shared" si="117"/>
        <v>-4.0442537857882099E-4</v>
      </c>
      <c r="M944" s="71">
        <f t="shared" si="120"/>
        <v>0</v>
      </c>
      <c r="N944" s="50">
        <v>41381</v>
      </c>
      <c r="O944" s="77">
        <f t="shared" si="118"/>
        <v>0.49092683620325983</v>
      </c>
      <c r="P944" s="39">
        <f t="shared" si="119"/>
        <v>0.25352828492122437</v>
      </c>
    </row>
    <row r="945" spans="1:16" x14ac:dyDescent="0.3">
      <c r="A945" s="17">
        <v>41382</v>
      </c>
      <c r="B945" s="13">
        <v>25000</v>
      </c>
      <c r="C945" s="13">
        <v>54425</v>
      </c>
      <c r="D945" s="14">
        <v>1900.06</v>
      </c>
      <c r="E945" s="28">
        <f t="shared" si="113"/>
        <v>-1.3417521704814472E-2</v>
      </c>
      <c r="F945" s="39">
        <f t="shared" si="113"/>
        <v>6.4350064350060521E-4</v>
      </c>
      <c r="H945" s="64">
        <f t="shared" si="115"/>
        <v>0.5</v>
      </c>
      <c r="I945" s="65">
        <f t="shared" si="116"/>
        <v>0.7</v>
      </c>
      <c r="J945" s="66">
        <v>0.5</v>
      </c>
      <c r="K945" s="65">
        <f t="shared" si="114"/>
        <v>0.5</v>
      </c>
      <c r="L945" s="28">
        <f t="shared" si="117"/>
        <v>0</v>
      </c>
      <c r="M945" s="71">
        <f t="shared" si="120"/>
        <v>-6.3870105306569336E-3</v>
      </c>
      <c r="N945" s="51">
        <v>41382</v>
      </c>
      <c r="O945" s="77">
        <f t="shared" si="118"/>
        <v>0.4845398256726029</v>
      </c>
      <c r="P945" s="39">
        <f t="shared" si="119"/>
        <v>0.23803380377132277</v>
      </c>
    </row>
    <row r="946" spans="1:16" x14ac:dyDescent="0.3">
      <c r="A946" s="18">
        <v>41383</v>
      </c>
      <c r="B946" s="15">
        <v>25085</v>
      </c>
      <c r="C946" s="15">
        <v>54420</v>
      </c>
      <c r="D946" s="16">
        <v>1906.75</v>
      </c>
      <c r="E946" s="28">
        <f t="shared" si="113"/>
        <v>3.4000000000000696E-3</v>
      </c>
      <c r="F946" s="39">
        <f t="shared" si="113"/>
        <v>-9.1869545245759632E-5</v>
      </c>
      <c r="H946" s="64">
        <f t="shared" si="115"/>
        <v>0.5</v>
      </c>
      <c r="I946" s="65">
        <f t="shared" si="116"/>
        <v>0.7</v>
      </c>
      <c r="J946" s="66">
        <v>0.5</v>
      </c>
      <c r="K946" s="65">
        <f t="shared" si="114"/>
        <v>0.5</v>
      </c>
      <c r="L946" s="28">
        <f t="shared" si="117"/>
        <v>-6.3870105306569336E-3</v>
      </c>
      <c r="M946" s="71">
        <f t="shared" si="120"/>
        <v>1.654065227377155E-3</v>
      </c>
      <c r="N946" s="50">
        <v>41383</v>
      </c>
      <c r="O946" s="77">
        <f t="shared" si="118"/>
        <v>0.48619389089998005</v>
      </c>
      <c r="P946" s="39">
        <f t="shared" si="119"/>
        <v>0.24239284830003771</v>
      </c>
    </row>
    <row r="947" spans="1:16" x14ac:dyDescent="0.3">
      <c r="A947" s="17">
        <v>41386</v>
      </c>
      <c r="B947" s="13">
        <v>25305</v>
      </c>
      <c r="C947" s="13">
        <v>54400</v>
      </c>
      <c r="D947" s="14">
        <v>1926.31</v>
      </c>
      <c r="E947" s="28">
        <f t="shared" si="113"/>
        <v>8.7701813832967712E-3</v>
      </c>
      <c r="F947" s="39">
        <f t="shared" si="113"/>
        <v>-3.675119441381991E-4</v>
      </c>
      <c r="H947" s="64">
        <f t="shared" si="115"/>
        <v>0.5</v>
      </c>
      <c r="I947" s="65">
        <f t="shared" si="116"/>
        <v>0.7</v>
      </c>
      <c r="J947" s="66">
        <v>0.7</v>
      </c>
      <c r="K947" s="65">
        <f t="shared" si="114"/>
        <v>0.30000000000000004</v>
      </c>
      <c r="L947" s="28">
        <f t="shared" si="117"/>
        <v>2.3524391364263208E-3</v>
      </c>
      <c r="M947" s="71">
        <f t="shared" si="120"/>
        <v>6.0288733850662798E-3</v>
      </c>
      <c r="N947" s="51">
        <v>41386</v>
      </c>
      <c r="O947" s="77">
        <f t="shared" si="118"/>
        <v>0.49222276428504635</v>
      </c>
      <c r="P947" s="39">
        <f t="shared" si="119"/>
        <v>0.25513767804318643</v>
      </c>
    </row>
    <row r="948" spans="1:16" x14ac:dyDescent="0.3">
      <c r="A948" s="17">
        <v>41387</v>
      </c>
      <c r="B948" s="13">
        <v>25235</v>
      </c>
      <c r="C948" s="13">
        <v>54425</v>
      </c>
      <c r="D948" s="14">
        <v>1918.63</v>
      </c>
      <c r="E948" s="28">
        <f t="shared" si="113"/>
        <v>-2.7662517289073207E-3</v>
      </c>
      <c r="F948" s="39">
        <f t="shared" si="113"/>
        <v>4.5955882352943789E-4</v>
      </c>
      <c r="H948" s="64">
        <f t="shared" si="115"/>
        <v>0.5</v>
      </c>
      <c r="I948" s="65">
        <f t="shared" si="116"/>
        <v>0.7</v>
      </c>
      <c r="J948" s="66">
        <v>0.7</v>
      </c>
      <c r="K948" s="65">
        <f t="shared" si="114"/>
        <v>0.30000000000000004</v>
      </c>
      <c r="L948" s="28">
        <f t="shared" si="117"/>
        <v>6.0288733850662798E-3</v>
      </c>
      <c r="M948" s="71">
        <f t="shared" si="120"/>
        <v>-1.7985085631762928E-3</v>
      </c>
      <c r="N948" s="51">
        <v>41387</v>
      </c>
      <c r="O948" s="77">
        <f t="shared" si="118"/>
        <v>0.49042425572187004</v>
      </c>
      <c r="P948" s="39">
        <f t="shared" si="119"/>
        <v>0.25013357311336137</v>
      </c>
    </row>
    <row r="949" spans="1:16" x14ac:dyDescent="0.3">
      <c r="A949" s="18">
        <v>41388</v>
      </c>
      <c r="B949" s="15">
        <v>25430</v>
      </c>
      <c r="C949" s="15">
        <v>54420</v>
      </c>
      <c r="D949" s="70">
        <v>1935.31</v>
      </c>
      <c r="E949" s="71">
        <f t="shared" si="113"/>
        <v>7.7273627897760377E-3</v>
      </c>
      <c r="F949" s="39">
        <f t="shared" si="113"/>
        <v>-9.1869545245759632E-5</v>
      </c>
      <c r="H949" s="64">
        <f t="shared" si="115"/>
        <v>0.5</v>
      </c>
      <c r="I949" s="65">
        <f t="shared" si="116"/>
        <v>0.7</v>
      </c>
      <c r="J949" s="66">
        <v>0.5</v>
      </c>
      <c r="K949" s="65">
        <f t="shared" si="114"/>
        <v>0.5</v>
      </c>
      <c r="L949" s="28">
        <f t="shared" si="117"/>
        <v>-1.1533464526889414E-3</v>
      </c>
      <c r="M949" s="71">
        <f t="shared" si="120"/>
        <v>3.8177466222651391E-3</v>
      </c>
      <c r="N949" s="50">
        <v>41388</v>
      </c>
      <c r="O949" s="77">
        <f t="shared" si="118"/>
        <v>0.49424200234413518</v>
      </c>
      <c r="P949" s="39">
        <f t="shared" si="119"/>
        <v>0.26100186350782528</v>
      </c>
    </row>
    <row r="950" spans="1:16" x14ac:dyDescent="0.3">
      <c r="A950" s="17">
        <v>41389</v>
      </c>
      <c r="B950" s="13">
        <v>25570</v>
      </c>
      <c r="C950" s="13">
        <v>54505</v>
      </c>
      <c r="D950" s="14">
        <v>1951.6</v>
      </c>
      <c r="E950" s="28">
        <f t="shared" si="113"/>
        <v>5.5053086905230142E-3</v>
      </c>
      <c r="F950" s="39">
        <f t="shared" si="113"/>
        <v>1.5619257625871796E-3</v>
      </c>
      <c r="H950" s="64">
        <f t="shared" si="115"/>
        <v>0.5</v>
      </c>
      <c r="I950" s="65">
        <f t="shared" si="116"/>
        <v>0.7</v>
      </c>
      <c r="J950" s="66">
        <v>0.7</v>
      </c>
      <c r="K950" s="65">
        <f t="shared" si="114"/>
        <v>0.30000000000000004</v>
      </c>
      <c r="L950" s="28">
        <f t="shared" si="117"/>
        <v>5.3815930892694985E-3</v>
      </c>
      <c r="M950" s="71">
        <f t="shared" si="120"/>
        <v>4.3222938121422637E-3</v>
      </c>
      <c r="N950" s="51">
        <v>41389</v>
      </c>
      <c r="O950" s="77">
        <f t="shared" si="118"/>
        <v>0.49856429615627745</v>
      </c>
      <c r="P950" s="39">
        <f t="shared" si="119"/>
        <v>0.27161603919882182</v>
      </c>
    </row>
    <row r="951" spans="1:16" x14ac:dyDescent="0.3">
      <c r="A951" s="18">
        <v>41390</v>
      </c>
      <c r="B951" s="15">
        <v>25535</v>
      </c>
      <c r="C951" s="15">
        <v>54580</v>
      </c>
      <c r="D951" s="16">
        <v>1944.56</v>
      </c>
      <c r="E951" s="28">
        <f t="shared" si="113"/>
        <v>-1.3687915526007233E-3</v>
      </c>
      <c r="F951" s="39">
        <f t="shared" si="113"/>
        <v>1.3760205485735533E-3</v>
      </c>
      <c r="H951" s="64">
        <f t="shared" si="115"/>
        <v>0.3</v>
      </c>
      <c r="I951" s="65">
        <f t="shared" si="116"/>
        <v>0.5</v>
      </c>
      <c r="J951" s="66">
        <v>0.5</v>
      </c>
      <c r="K951" s="65">
        <f t="shared" si="114"/>
        <v>0.5</v>
      </c>
      <c r="L951" s="28">
        <f t="shared" si="117"/>
        <v>3.5336172265550969E-3</v>
      </c>
      <c r="M951" s="71">
        <f t="shared" si="120"/>
        <v>3.6144979864149995E-6</v>
      </c>
      <c r="N951" s="50">
        <v>41390</v>
      </c>
      <c r="O951" s="77">
        <f t="shared" si="118"/>
        <v>0.49856791065426387</v>
      </c>
      <c r="P951" s="39">
        <f t="shared" si="119"/>
        <v>0.26702894301314872</v>
      </c>
    </row>
    <row r="952" spans="1:16" x14ac:dyDescent="0.3">
      <c r="A952" s="17">
        <v>41393</v>
      </c>
      <c r="B952" s="13">
        <v>25265</v>
      </c>
      <c r="C952" s="13">
        <v>54590</v>
      </c>
      <c r="D952" s="14">
        <v>1940.7</v>
      </c>
      <c r="E952" s="28">
        <f t="shared" si="113"/>
        <v>-1.0573722341883696E-2</v>
      </c>
      <c r="F952" s="39">
        <f t="shared" si="113"/>
        <v>1.8321729571280088E-4</v>
      </c>
      <c r="H952" s="64">
        <f t="shared" si="115"/>
        <v>0.5</v>
      </c>
      <c r="I952" s="65">
        <f t="shared" si="116"/>
        <v>0.7</v>
      </c>
      <c r="J952" s="66">
        <v>0.5</v>
      </c>
      <c r="K952" s="65">
        <f t="shared" si="114"/>
        <v>0.5</v>
      </c>
      <c r="L952" s="28">
        <f t="shared" si="117"/>
        <v>3.6144979864149995E-6</v>
      </c>
      <c r="M952" s="71">
        <f t="shared" si="120"/>
        <v>-5.1952525230854474E-3</v>
      </c>
      <c r="N952" s="51">
        <v>41393</v>
      </c>
      <c r="O952" s="77">
        <f t="shared" si="118"/>
        <v>0.49337265813117842</v>
      </c>
      <c r="P952" s="39">
        <f t="shared" si="119"/>
        <v>0.26451385902498137</v>
      </c>
    </row>
    <row r="953" spans="1:16" x14ac:dyDescent="0.3">
      <c r="A953" s="17">
        <v>41394</v>
      </c>
      <c r="B953" s="13">
        <v>25590</v>
      </c>
      <c r="C953" s="13">
        <v>54620</v>
      </c>
      <c r="D953" s="14">
        <v>1963.95</v>
      </c>
      <c r="E953" s="28">
        <f t="shared" si="113"/>
        <v>1.2863645359192599E-2</v>
      </c>
      <c r="F953" s="39">
        <f t="shared" si="113"/>
        <v>5.4955119985344858E-4</v>
      </c>
      <c r="H953" s="64">
        <f t="shared" si="115"/>
        <v>0.5</v>
      </c>
      <c r="I953" s="65">
        <f t="shared" si="116"/>
        <v>0.7</v>
      </c>
      <c r="J953" s="66">
        <v>0.5</v>
      </c>
      <c r="K953" s="65">
        <f t="shared" si="114"/>
        <v>0.5</v>
      </c>
      <c r="L953" s="28">
        <f t="shared" si="117"/>
        <v>-5.1952525230854474E-3</v>
      </c>
      <c r="M953" s="71">
        <f t="shared" si="120"/>
        <v>6.7065982795230239E-3</v>
      </c>
      <c r="N953" s="51">
        <v>41394</v>
      </c>
      <c r="O953" s="77">
        <f t="shared" si="118"/>
        <v>0.5000792564107015</v>
      </c>
      <c r="P953" s="39">
        <f t="shared" si="119"/>
        <v>0.27966300480863215</v>
      </c>
    </row>
    <row r="954" spans="1:16" x14ac:dyDescent="0.3">
      <c r="A954" s="18">
        <v>41396</v>
      </c>
      <c r="B954" s="15">
        <v>25450</v>
      </c>
      <c r="C954" s="15">
        <v>54720</v>
      </c>
      <c r="D954" s="70">
        <v>1957.21</v>
      </c>
      <c r="E954" s="71">
        <f t="shared" si="113"/>
        <v>-5.4708870652598884E-3</v>
      </c>
      <c r="F954" s="39">
        <f t="shared" si="113"/>
        <v>1.8308311973636027E-3</v>
      </c>
      <c r="H954" s="64">
        <f t="shared" si="115"/>
        <v>0.3</v>
      </c>
      <c r="I954" s="65">
        <f t="shared" si="116"/>
        <v>0.5</v>
      </c>
      <c r="J954" s="66">
        <v>0.5</v>
      </c>
      <c r="K954" s="65">
        <f t="shared" si="114"/>
        <v>0.5</v>
      </c>
      <c r="L954" s="28">
        <f t="shared" si="117"/>
        <v>6.7065982795230239E-3</v>
      </c>
      <c r="M954" s="71">
        <f t="shared" si="120"/>
        <v>-1.8200279339481429E-3</v>
      </c>
      <c r="N954" s="50">
        <v>41396</v>
      </c>
      <c r="O954" s="77">
        <f t="shared" si="118"/>
        <v>0.49825922847675336</v>
      </c>
      <c r="P954" s="39">
        <f t="shared" si="119"/>
        <v>0.27527138147178021</v>
      </c>
    </row>
    <row r="955" spans="1:16" x14ac:dyDescent="0.3">
      <c r="A955" s="17">
        <v>41397</v>
      </c>
      <c r="B955" s="13">
        <v>25560</v>
      </c>
      <c r="C955" s="13">
        <v>54700</v>
      </c>
      <c r="D955" s="14">
        <v>1965.71</v>
      </c>
      <c r="E955" s="28">
        <f t="shared" si="113"/>
        <v>4.3222003929273001E-3</v>
      </c>
      <c r="F955" s="39">
        <f t="shared" si="113"/>
        <v>-3.654970760234022E-4</v>
      </c>
      <c r="H955" s="64">
        <f t="shared" si="115"/>
        <v>0.3</v>
      </c>
      <c r="I955" s="65">
        <f t="shared" si="116"/>
        <v>0.5</v>
      </c>
      <c r="J955" s="66">
        <v>0.3</v>
      </c>
      <c r="K955" s="65">
        <f t="shared" si="114"/>
        <v>0.7</v>
      </c>
      <c r="L955" s="28">
        <f t="shared" si="117"/>
        <v>-3.5968428142344453E-4</v>
      </c>
      <c r="M955" s="71">
        <f t="shared" si="120"/>
        <v>1.0408121646618084E-3</v>
      </c>
      <c r="N955" s="51">
        <v>41397</v>
      </c>
      <c r="O955" s="77">
        <f t="shared" si="118"/>
        <v>0.49930004064141514</v>
      </c>
      <c r="P955" s="39">
        <f t="shared" si="119"/>
        <v>0.28080977885505032</v>
      </c>
    </row>
    <row r="956" spans="1:16" x14ac:dyDescent="0.3">
      <c r="A956" s="18">
        <v>41400</v>
      </c>
      <c r="B956" s="15">
        <v>25470</v>
      </c>
      <c r="C956" s="15">
        <v>54560</v>
      </c>
      <c r="D956" s="16">
        <v>1961.48</v>
      </c>
      <c r="E956" s="28">
        <f t="shared" si="113"/>
        <v>-3.5211267605633756E-3</v>
      </c>
      <c r="F956" s="39">
        <f t="shared" si="113"/>
        <v>-2.5594149908592101E-3</v>
      </c>
      <c r="H956" s="64">
        <f t="shared" si="115"/>
        <v>0.3</v>
      </c>
      <c r="I956" s="65">
        <f t="shared" si="116"/>
        <v>0.5</v>
      </c>
      <c r="J956" s="66">
        <v>0.5</v>
      </c>
      <c r="K956" s="65">
        <f t="shared" si="114"/>
        <v>0.5</v>
      </c>
      <c r="L956" s="28">
        <f t="shared" si="117"/>
        <v>1.9783516584519489E-3</v>
      </c>
      <c r="M956" s="71">
        <f t="shared" si="120"/>
        <v>-3.0402708757112928E-3</v>
      </c>
      <c r="N956" s="50">
        <v>41400</v>
      </c>
      <c r="O956" s="77">
        <f t="shared" si="118"/>
        <v>0.49625976976570385</v>
      </c>
      <c r="P956" s="39">
        <f t="shared" si="119"/>
        <v>0.27805361168667009</v>
      </c>
    </row>
    <row r="957" spans="1:16" x14ac:dyDescent="0.3">
      <c r="A957" s="17">
        <v>41401</v>
      </c>
      <c r="B957" s="13">
        <v>25425</v>
      </c>
      <c r="C957" s="13">
        <v>54590</v>
      </c>
      <c r="D957" s="14">
        <v>1954.35</v>
      </c>
      <c r="E957" s="28">
        <f t="shared" si="113"/>
        <v>-1.7667844522968323E-3</v>
      </c>
      <c r="F957" s="39">
        <f t="shared" si="113"/>
        <v>5.498533724339616E-4</v>
      </c>
      <c r="H957" s="64">
        <f t="shared" si="115"/>
        <v>0.3</v>
      </c>
      <c r="I957" s="65">
        <f t="shared" si="116"/>
        <v>0.5</v>
      </c>
      <c r="J957" s="66">
        <v>0.3</v>
      </c>
      <c r="K957" s="65">
        <f t="shared" si="114"/>
        <v>0.7</v>
      </c>
      <c r="L957" s="28">
        <f t="shared" si="117"/>
        <v>-2.8479285217704597E-3</v>
      </c>
      <c r="M957" s="71">
        <f t="shared" si="120"/>
        <v>-1.4513797498527659E-4</v>
      </c>
      <c r="N957" s="51">
        <v>41401</v>
      </c>
      <c r="O957" s="77">
        <f t="shared" si="118"/>
        <v>0.49611463179071857</v>
      </c>
      <c r="P957" s="39">
        <f t="shared" si="119"/>
        <v>0.27340787364635055</v>
      </c>
    </row>
    <row r="958" spans="1:16" x14ac:dyDescent="0.3">
      <c r="A958" s="17">
        <v>41402</v>
      </c>
      <c r="B958" s="13">
        <v>25400</v>
      </c>
      <c r="C958" s="13">
        <v>54545</v>
      </c>
      <c r="D958" s="14">
        <v>1956.45</v>
      </c>
      <c r="E958" s="28">
        <f t="shared" si="113"/>
        <v>-9.8328416912485395E-4</v>
      </c>
      <c r="F958" s="39">
        <f t="shared" si="113"/>
        <v>-8.2432679978017287E-4</v>
      </c>
      <c r="H958" s="64">
        <f t="shared" si="115"/>
        <v>0.3</v>
      </c>
      <c r="I958" s="65">
        <f t="shared" si="116"/>
        <v>0.5</v>
      </c>
      <c r="J958" s="66">
        <v>0.3</v>
      </c>
      <c r="K958" s="65">
        <f t="shared" si="114"/>
        <v>0.7</v>
      </c>
      <c r="L958" s="28">
        <f t="shared" si="117"/>
        <v>-1.4513797498527659E-4</v>
      </c>
      <c r="M958" s="71">
        <f t="shared" si="120"/>
        <v>-8.7201401058357715E-4</v>
      </c>
      <c r="N958" s="51">
        <v>41402</v>
      </c>
      <c r="O958" s="77">
        <f t="shared" si="118"/>
        <v>0.49524261778013501</v>
      </c>
      <c r="P958" s="39">
        <f t="shared" si="119"/>
        <v>0.27477618358809974</v>
      </c>
    </row>
    <row r="959" spans="1:16" x14ac:dyDescent="0.3">
      <c r="A959" s="18">
        <v>41403</v>
      </c>
      <c r="B959" s="15">
        <v>25765</v>
      </c>
      <c r="C959" s="15">
        <v>54585</v>
      </c>
      <c r="D959" s="70">
        <v>1979.45</v>
      </c>
      <c r="E959" s="71">
        <f t="shared" si="113"/>
        <v>1.4370078740157499E-2</v>
      </c>
      <c r="F959" s="39">
        <f t="shared" si="113"/>
        <v>7.3333944449527344E-4</v>
      </c>
      <c r="H959" s="64">
        <f t="shared" si="115"/>
        <v>0.3</v>
      </c>
      <c r="I959" s="65">
        <f t="shared" si="116"/>
        <v>0.5</v>
      </c>
      <c r="J959" s="66">
        <v>0.3</v>
      </c>
      <c r="K959" s="65">
        <f t="shared" si="114"/>
        <v>0.7</v>
      </c>
      <c r="L959" s="28">
        <f t="shared" si="117"/>
        <v>-8.7201401058357715E-4</v>
      </c>
      <c r="M959" s="71">
        <f t="shared" si="120"/>
        <v>4.8243612331939408E-3</v>
      </c>
      <c r="N959" s="50">
        <v>41403</v>
      </c>
      <c r="O959" s="77">
        <f t="shared" si="118"/>
        <v>0.50006697901332897</v>
      </c>
      <c r="P959" s="39">
        <f t="shared" si="119"/>
        <v>0.28976243533106594</v>
      </c>
    </row>
    <row r="960" spans="1:16" x14ac:dyDescent="0.3">
      <c r="A960" s="17">
        <v>41404</v>
      </c>
      <c r="B960" s="13">
        <v>25240</v>
      </c>
      <c r="C960" s="13">
        <v>54565</v>
      </c>
      <c r="D960" s="14">
        <v>1944.75</v>
      </c>
      <c r="E960" s="28">
        <f t="shared" si="113"/>
        <v>-2.0376479720551122E-2</v>
      </c>
      <c r="F960" s="39">
        <f t="shared" si="113"/>
        <v>-3.6640102592289114E-4</v>
      </c>
      <c r="H960" s="64">
        <f t="shared" si="115"/>
        <v>0.3</v>
      </c>
      <c r="I960" s="65">
        <f t="shared" si="116"/>
        <v>0.5</v>
      </c>
      <c r="J960" s="66">
        <v>0.5</v>
      </c>
      <c r="K960" s="65">
        <f t="shared" si="114"/>
        <v>0.5</v>
      </c>
      <c r="L960" s="28">
        <f t="shared" si="117"/>
        <v>7.5517090923263863E-3</v>
      </c>
      <c r="M960" s="71">
        <f t="shared" si="120"/>
        <v>-1.0371440373237006E-2</v>
      </c>
      <c r="N960" s="51">
        <v>41404</v>
      </c>
      <c r="O960" s="77">
        <f t="shared" si="118"/>
        <v>0.48969553864009197</v>
      </c>
      <c r="P960" s="39">
        <f t="shared" si="119"/>
        <v>0.26715274248406895</v>
      </c>
    </row>
    <row r="961" spans="1:16" x14ac:dyDescent="0.3">
      <c r="A961" s="18">
        <v>41407</v>
      </c>
      <c r="B961" s="15">
        <v>25320</v>
      </c>
      <c r="C961" s="15">
        <v>54515</v>
      </c>
      <c r="D961" s="16">
        <v>1948.7</v>
      </c>
      <c r="E961" s="28">
        <f t="shared" si="113"/>
        <v>3.1695721077653616E-3</v>
      </c>
      <c r="F961" s="39">
        <f t="shared" si="113"/>
        <v>-9.1633831210480299E-4</v>
      </c>
      <c r="H961" s="64">
        <f t="shared" si="115"/>
        <v>0.5</v>
      </c>
      <c r="I961" s="65">
        <f t="shared" si="116"/>
        <v>0.7</v>
      </c>
      <c r="J961" s="66">
        <v>0.5</v>
      </c>
      <c r="K961" s="65">
        <f t="shared" si="114"/>
        <v>0.5</v>
      </c>
      <c r="L961" s="28">
        <f t="shared" si="117"/>
        <v>-1.0371440373237006E-2</v>
      </c>
      <c r="M961" s="71">
        <f t="shared" si="120"/>
        <v>1.1266168978302793E-3</v>
      </c>
      <c r="N961" s="50">
        <v>41407</v>
      </c>
      <c r="O961" s="77">
        <f t="shared" si="118"/>
        <v>0.49082215553792224</v>
      </c>
      <c r="P961" s="39">
        <f t="shared" si="119"/>
        <v>0.26972646832688274</v>
      </c>
    </row>
    <row r="962" spans="1:16" x14ac:dyDescent="0.3">
      <c r="A962" s="17">
        <v>41408</v>
      </c>
      <c r="B962" s="13">
        <v>25620</v>
      </c>
      <c r="C962" s="13">
        <v>54565</v>
      </c>
      <c r="D962" s="14">
        <v>1968.83</v>
      </c>
      <c r="E962" s="28">
        <f t="shared" si="113"/>
        <v>1.1848341232227444E-2</v>
      </c>
      <c r="F962" s="39">
        <f t="shared" si="113"/>
        <v>9.1717875813990268E-4</v>
      </c>
      <c r="H962" s="64">
        <f t="shared" si="115"/>
        <v>0.5</v>
      </c>
      <c r="I962" s="65">
        <f t="shared" si="116"/>
        <v>0.7</v>
      </c>
      <c r="J962" s="66">
        <v>0.7</v>
      </c>
      <c r="K962" s="65">
        <f t="shared" si="114"/>
        <v>0.30000000000000004</v>
      </c>
      <c r="L962" s="28">
        <f t="shared" si="117"/>
        <v>1.9437989818043119E-3</v>
      </c>
      <c r="M962" s="71">
        <f t="shared" si="120"/>
        <v>8.5689924900011795E-3</v>
      </c>
      <c r="N962" s="51">
        <v>41408</v>
      </c>
      <c r="O962" s="77">
        <f t="shared" si="118"/>
        <v>0.49939114802792345</v>
      </c>
      <c r="P962" s="39">
        <f t="shared" si="119"/>
        <v>0.28284269648279192</v>
      </c>
    </row>
    <row r="963" spans="1:16" x14ac:dyDescent="0.3">
      <c r="A963" s="17">
        <v>41409</v>
      </c>
      <c r="B963" s="13">
        <v>25625</v>
      </c>
      <c r="C963" s="13">
        <v>54545</v>
      </c>
      <c r="D963" s="14">
        <v>1971.26</v>
      </c>
      <c r="E963" s="28">
        <f t="shared" si="113"/>
        <v>1.951600312255497E-4</v>
      </c>
      <c r="F963" s="39">
        <f t="shared" si="113"/>
        <v>-3.6653532484187679E-4</v>
      </c>
      <c r="H963" s="64">
        <f t="shared" si="115"/>
        <v>0.3</v>
      </c>
      <c r="I963" s="65">
        <f t="shared" si="116"/>
        <v>0.5</v>
      </c>
      <c r="J963" s="66">
        <v>0.5</v>
      </c>
      <c r="K963" s="65">
        <f t="shared" si="114"/>
        <v>0.5</v>
      </c>
      <c r="L963" s="28">
        <f t="shared" si="117"/>
        <v>6.3827599951836733E-3</v>
      </c>
      <c r="M963" s="71">
        <f t="shared" si="120"/>
        <v>-8.5687646808163542E-5</v>
      </c>
      <c r="N963" s="51">
        <v>41409</v>
      </c>
      <c r="O963" s="77">
        <f t="shared" si="118"/>
        <v>0.49930546038111528</v>
      </c>
      <c r="P963" s="39">
        <f t="shared" si="119"/>
        <v>0.28442602655824434</v>
      </c>
    </row>
    <row r="964" spans="1:16" x14ac:dyDescent="0.3">
      <c r="A964" s="18">
        <v>41410</v>
      </c>
      <c r="B964" s="15">
        <v>25850</v>
      </c>
      <c r="C964" s="15">
        <v>54575</v>
      </c>
      <c r="D964" s="70">
        <v>1986.81</v>
      </c>
      <c r="E964" s="71">
        <f t="shared" si="113"/>
        <v>8.7804878048780566E-3</v>
      </c>
      <c r="F964" s="39">
        <f t="shared" si="113"/>
        <v>5.5000458337151059E-4</v>
      </c>
      <c r="H964" s="64">
        <f t="shared" si="115"/>
        <v>0.3</v>
      </c>
      <c r="I964" s="65">
        <f t="shared" si="116"/>
        <v>0.5</v>
      </c>
      <c r="J964" s="66">
        <v>0.5</v>
      </c>
      <c r="K964" s="65">
        <f t="shared" si="114"/>
        <v>0.5</v>
      </c>
      <c r="L964" s="28">
        <f t="shared" si="117"/>
        <v>-8.5687646808163542E-5</v>
      </c>
      <c r="M964" s="71">
        <f t="shared" si="120"/>
        <v>4.6652461941247836E-3</v>
      </c>
      <c r="N964" s="50">
        <v>41410</v>
      </c>
      <c r="O964" s="77">
        <f t="shared" si="118"/>
        <v>0.50397070657524012</v>
      </c>
      <c r="P964" s="39">
        <f t="shared" si="119"/>
        <v>0.29455803588881491</v>
      </c>
    </row>
    <row r="965" spans="1:16" x14ac:dyDescent="0.3">
      <c r="A965" s="17">
        <v>41414</v>
      </c>
      <c r="B965" s="13">
        <v>25850</v>
      </c>
      <c r="C965" s="13">
        <v>54530</v>
      </c>
      <c r="D965" s="14">
        <v>1982.43</v>
      </c>
      <c r="E965" s="28">
        <f t="shared" si="113"/>
        <v>0</v>
      </c>
      <c r="F965" s="39">
        <f t="shared" si="113"/>
        <v>-8.2455336692621728E-4</v>
      </c>
      <c r="H965" s="64">
        <f t="shared" si="115"/>
        <v>0.3</v>
      </c>
      <c r="I965" s="65">
        <f t="shared" si="116"/>
        <v>0.5</v>
      </c>
      <c r="J965" s="66">
        <v>0.5</v>
      </c>
      <c r="K965" s="65">
        <f t="shared" si="114"/>
        <v>0.5</v>
      </c>
      <c r="L965" s="28">
        <f t="shared" si="117"/>
        <v>4.6652461941247836E-3</v>
      </c>
      <c r="M965" s="71">
        <f t="shared" si="120"/>
        <v>-4.1227668346310864E-4</v>
      </c>
      <c r="N965" s="51">
        <v>41414</v>
      </c>
      <c r="O965" s="77">
        <f t="shared" si="118"/>
        <v>0.50355842989177702</v>
      </c>
      <c r="P965" s="39">
        <f t="shared" si="119"/>
        <v>0.2917041322960241</v>
      </c>
    </row>
    <row r="966" spans="1:16" x14ac:dyDescent="0.3">
      <c r="A966" s="18">
        <v>41415</v>
      </c>
      <c r="B966" s="15">
        <v>25835</v>
      </c>
      <c r="C966" s="15">
        <v>54535</v>
      </c>
      <c r="D966" s="16">
        <v>1981.09</v>
      </c>
      <c r="E966" s="28">
        <f t="shared" si="113"/>
        <v>-5.8027079303679674E-4</v>
      </c>
      <c r="F966" s="39">
        <f t="shared" si="113"/>
        <v>9.1692646249752485E-5</v>
      </c>
      <c r="H966" s="64">
        <f t="shared" si="115"/>
        <v>0.3</v>
      </c>
      <c r="I966" s="65">
        <f t="shared" si="116"/>
        <v>0.5</v>
      </c>
      <c r="J966" s="66">
        <v>0.5</v>
      </c>
      <c r="K966" s="65">
        <f t="shared" si="114"/>
        <v>0.5</v>
      </c>
      <c r="L966" s="28">
        <f t="shared" si="117"/>
        <v>-4.1227668346310864E-4</v>
      </c>
      <c r="M966" s="71">
        <f t="shared" si="120"/>
        <v>-2.4428907339352213E-4</v>
      </c>
      <c r="N966" s="50">
        <v>41415</v>
      </c>
      <c r="O966" s="77">
        <f t="shared" si="118"/>
        <v>0.50331414081838344</v>
      </c>
      <c r="P966" s="39">
        <f t="shared" si="119"/>
        <v>0.2908310202379556</v>
      </c>
    </row>
    <row r="967" spans="1:16" x14ac:dyDescent="0.3">
      <c r="A967" s="17">
        <v>41416</v>
      </c>
      <c r="B967" s="13">
        <v>25990</v>
      </c>
      <c r="C967" s="13">
        <v>54530</v>
      </c>
      <c r="D967" s="14">
        <v>1993.83</v>
      </c>
      <c r="E967" s="28">
        <f t="shared" si="113"/>
        <v>5.9996129281982835E-3</v>
      </c>
      <c r="F967" s="39">
        <f t="shared" si="113"/>
        <v>-9.1684239479250529E-5</v>
      </c>
      <c r="H967" s="64">
        <f t="shared" si="115"/>
        <v>0.3</v>
      </c>
      <c r="I967" s="65">
        <f t="shared" si="116"/>
        <v>0.5</v>
      </c>
      <c r="J967" s="66">
        <v>0.3</v>
      </c>
      <c r="K967" s="65">
        <f t="shared" si="114"/>
        <v>0.7</v>
      </c>
      <c r="L967" s="28">
        <f t="shared" si="117"/>
        <v>-1.0989638553621228E-4</v>
      </c>
      <c r="M967" s="71">
        <f t="shared" si="120"/>
        <v>1.7357049108240096E-3</v>
      </c>
      <c r="N967" s="51">
        <v>41416</v>
      </c>
      <c r="O967" s="77">
        <f t="shared" si="118"/>
        <v>0.50504984572920741</v>
      </c>
      <c r="P967" s="39">
        <f t="shared" si="119"/>
        <v>0.29913210055123329</v>
      </c>
    </row>
    <row r="968" spans="1:16" x14ac:dyDescent="0.3">
      <c r="A968" s="17">
        <v>41417</v>
      </c>
      <c r="B968" s="13">
        <v>25640</v>
      </c>
      <c r="C968" s="13">
        <v>54515</v>
      </c>
      <c r="D968" s="14">
        <v>1969.19</v>
      </c>
      <c r="E968" s="28">
        <f t="shared" si="113"/>
        <v>-1.3466717968449449E-2</v>
      </c>
      <c r="F968" s="39">
        <f t="shared" si="113"/>
        <v>-2.7507793874925746E-4</v>
      </c>
      <c r="H968" s="64">
        <f t="shared" si="115"/>
        <v>0.3</v>
      </c>
      <c r="I968" s="65">
        <f t="shared" si="116"/>
        <v>0.5</v>
      </c>
      <c r="J968" s="66">
        <v>0.5</v>
      </c>
      <c r="K968" s="65">
        <f t="shared" si="114"/>
        <v>0.5</v>
      </c>
      <c r="L968" s="28">
        <f t="shared" si="117"/>
        <v>2.9539643443595165E-3</v>
      </c>
      <c r="M968" s="71">
        <f t="shared" si="120"/>
        <v>-6.8708979535993531E-3</v>
      </c>
      <c r="N968" s="51">
        <v>41417</v>
      </c>
      <c r="O968" s="77">
        <f t="shared" si="118"/>
        <v>0.49817894777560806</v>
      </c>
      <c r="P968" s="39">
        <f t="shared" si="119"/>
        <v>0.28307726390137744</v>
      </c>
    </row>
    <row r="969" spans="1:16" x14ac:dyDescent="0.3">
      <c r="A969" s="18">
        <v>41418</v>
      </c>
      <c r="B969" s="15">
        <v>25680</v>
      </c>
      <c r="C969" s="15">
        <v>54535</v>
      </c>
      <c r="D969" s="70">
        <v>1973.45</v>
      </c>
      <c r="E969" s="71">
        <f t="shared" si="113"/>
        <v>1.5600624024960652E-3</v>
      </c>
      <c r="F969" s="39">
        <f t="shared" si="113"/>
        <v>3.668715032560943E-4</v>
      </c>
      <c r="H969" s="64">
        <f t="shared" si="115"/>
        <v>0.3</v>
      </c>
      <c r="I969" s="65">
        <f t="shared" si="116"/>
        <v>0.5</v>
      </c>
      <c r="J969" s="66">
        <v>0.3</v>
      </c>
      <c r="K969" s="65">
        <f t="shared" si="114"/>
        <v>0.7</v>
      </c>
      <c r="L969" s="28">
        <f t="shared" si="117"/>
        <v>-4.232569947659315E-3</v>
      </c>
      <c r="M969" s="71">
        <f t="shared" si="120"/>
        <v>7.2482877302808551E-4</v>
      </c>
      <c r="N969" s="50">
        <v>41418</v>
      </c>
      <c r="O969" s="77">
        <f t="shared" si="118"/>
        <v>0.49890377654863616</v>
      </c>
      <c r="P969" s="39">
        <f t="shared" si="119"/>
        <v>0.28585297835463996</v>
      </c>
    </row>
    <row r="970" spans="1:16" x14ac:dyDescent="0.3">
      <c r="A970" s="17">
        <v>41421</v>
      </c>
      <c r="B970" s="13">
        <v>25800</v>
      </c>
      <c r="C970" s="13">
        <v>54555</v>
      </c>
      <c r="D970" s="14">
        <v>1979.97</v>
      </c>
      <c r="E970" s="28">
        <f t="shared" si="113"/>
        <v>4.6728971962617383E-3</v>
      </c>
      <c r="F970" s="39">
        <f t="shared" si="113"/>
        <v>3.6673695791700212E-4</v>
      </c>
      <c r="H970" s="64">
        <f t="shared" si="115"/>
        <v>0.3</v>
      </c>
      <c r="I970" s="65">
        <f t="shared" si="116"/>
        <v>0.5</v>
      </c>
      <c r="J970" s="66">
        <v>0.5</v>
      </c>
      <c r="K970" s="65">
        <f t="shared" si="114"/>
        <v>0.5</v>
      </c>
      <c r="L970" s="28">
        <f t="shared" si="117"/>
        <v>9.6346695287607975E-4</v>
      </c>
      <c r="M970" s="71">
        <f t="shared" si="120"/>
        <v>2.5198170770893702E-3</v>
      </c>
      <c r="N970" s="51">
        <v>41421</v>
      </c>
      <c r="O970" s="77">
        <f t="shared" si="118"/>
        <v>0.50142359362572553</v>
      </c>
      <c r="P970" s="39">
        <f t="shared" si="119"/>
        <v>0.29010125493568939</v>
      </c>
    </row>
    <row r="971" spans="1:16" x14ac:dyDescent="0.3">
      <c r="A971" s="18">
        <v>41422</v>
      </c>
      <c r="B971" s="15">
        <v>25895</v>
      </c>
      <c r="C971" s="15">
        <v>54520</v>
      </c>
      <c r="D971" s="16">
        <v>1986.22</v>
      </c>
      <c r="E971" s="28">
        <f t="shared" si="113"/>
        <v>3.6821705426357543E-3</v>
      </c>
      <c r="F971" s="39">
        <f t="shared" si="113"/>
        <v>-6.4155439464763653E-4</v>
      </c>
      <c r="H971" s="64">
        <f t="shared" si="115"/>
        <v>0.3</v>
      </c>
      <c r="I971" s="65">
        <f t="shared" si="116"/>
        <v>0.5</v>
      </c>
      <c r="J971" s="66">
        <v>0.5</v>
      </c>
      <c r="K971" s="65">
        <f t="shared" si="114"/>
        <v>0.5</v>
      </c>
      <c r="L971" s="28">
        <f t="shared" si="117"/>
        <v>2.5198170770893702E-3</v>
      </c>
      <c r="M971" s="71">
        <f t="shared" si="120"/>
        <v>1.5203080739940589E-3</v>
      </c>
      <c r="N971" s="50">
        <v>41422</v>
      </c>
      <c r="O971" s="77">
        <f t="shared" si="118"/>
        <v>0.50294390169971959</v>
      </c>
      <c r="P971" s="39">
        <f t="shared" si="119"/>
        <v>0.29417360595279973</v>
      </c>
    </row>
    <row r="972" spans="1:16" x14ac:dyDescent="0.3">
      <c r="A972" s="17">
        <v>41423</v>
      </c>
      <c r="B972" s="13">
        <v>26095</v>
      </c>
      <c r="C972" s="13">
        <v>54320</v>
      </c>
      <c r="D972" s="14">
        <v>2001.2</v>
      </c>
      <c r="E972" s="28">
        <f t="shared" si="113"/>
        <v>7.7234987449315007E-3</v>
      </c>
      <c r="F972" s="39">
        <f t="shared" si="113"/>
        <v>-3.668378576669129E-3</v>
      </c>
      <c r="H972" s="64">
        <f t="shared" si="115"/>
        <v>0.3</v>
      </c>
      <c r="I972" s="65">
        <f t="shared" si="116"/>
        <v>0.5</v>
      </c>
      <c r="J972" s="66">
        <v>0.5</v>
      </c>
      <c r="K972" s="65">
        <f t="shared" si="114"/>
        <v>0.5</v>
      </c>
      <c r="L972" s="28">
        <f t="shared" si="117"/>
        <v>1.5203080739940589E-3</v>
      </c>
      <c r="M972" s="71">
        <f t="shared" si="120"/>
        <v>2.0275600841311858E-3</v>
      </c>
      <c r="N972" s="51">
        <v>41423</v>
      </c>
      <c r="O972" s="77">
        <f t="shared" si="118"/>
        <v>0.50497146178385077</v>
      </c>
      <c r="P972" s="39">
        <f t="shared" si="119"/>
        <v>0.30393421687061006</v>
      </c>
    </row>
    <row r="973" spans="1:16" x14ac:dyDescent="0.3">
      <c r="A973" s="17">
        <v>41424</v>
      </c>
      <c r="B973" s="13">
        <v>26115</v>
      </c>
      <c r="C973" s="13">
        <v>54355</v>
      </c>
      <c r="D973" s="14">
        <v>2000.1</v>
      </c>
      <c r="E973" s="28">
        <f t="shared" si="113"/>
        <v>7.6643035064183351E-4</v>
      </c>
      <c r="F973" s="39">
        <f t="shared" si="113"/>
        <v>6.4432989690721421E-4</v>
      </c>
      <c r="H973" s="64">
        <f t="shared" si="115"/>
        <v>0.2</v>
      </c>
      <c r="I973" s="65">
        <f t="shared" si="116"/>
        <v>0.3</v>
      </c>
      <c r="J973" s="66">
        <v>0.3</v>
      </c>
      <c r="K973" s="65">
        <f t="shared" si="114"/>
        <v>0.7</v>
      </c>
      <c r="L973" s="28">
        <f t="shared" si="117"/>
        <v>-2.5081538018893994E-4</v>
      </c>
      <c r="M973" s="71">
        <f t="shared" si="120"/>
        <v>6.8096003302759995E-4</v>
      </c>
      <c r="N973" s="51">
        <v>41424</v>
      </c>
      <c r="O973" s="77">
        <f t="shared" si="118"/>
        <v>0.50565242181687842</v>
      </c>
      <c r="P973" s="39">
        <f t="shared" si="119"/>
        <v>0.30321748309159857</v>
      </c>
    </row>
    <row r="974" spans="1:16" x14ac:dyDescent="0.3">
      <c r="A974" s="18">
        <v>41425</v>
      </c>
      <c r="B974" s="15">
        <v>26135</v>
      </c>
      <c r="C974" s="15">
        <v>54295</v>
      </c>
      <c r="D974" s="70">
        <v>2001.05</v>
      </c>
      <c r="E974" s="71">
        <f t="shared" si="113"/>
        <v>7.658433850277202E-4</v>
      </c>
      <c r="F974" s="39">
        <f t="shared" si="113"/>
        <v>-1.103854291233608E-3</v>
      </c>
      <c r="H974" s="64">
        <f t="shared" si="115"/>
        <v>0.2</v>
      </c>
      <c r="I974" s="65">
        <f t="shared" si="116"/>
        <v>0.3</v>
      </c>
      <c r="J974" s="66">
        <v>0.3</v>
      </c>
      <c r="K974" s="65">
        <f t="shared" si="114"/>
        <v>0.7</v>
      </c>
      <c r="L974" s="28">
        <f t="shared" si="117"/>
        <v>6.8096003302759995E-4</v>
      </c>
      <c r="M974" s="71">
        <f t="shared" si="120"/>
        <v>-5.4294498835520948E-4</v>
      </c>
      <c r="N974" s="50">
        <v>41425</v>
      </c>
      <c r="O974" s="77">
        <f t="shared" si="118"/>
        <v>0.50510947682852325</v>
      </c>
      <c r="P974" s="39">
        <f t="shared" si="119"/>
        <v>0.30383648044619926</v>
      </c>
    </row>
    <row r="975" spans="1:16" x14ac:dyDescent="0.3">
      <c r="A975" s="17">
        <v>41428</v>
      </c>
      <c r="B975" s="13">
        <v>26040</v>
      </c>
      <c r="C975" s="13">
        <v>54305</v>
      </c>
      <c r="D975" s="14">
        <v>1989.57</v>
      </c>
      <c r="E975" s="28">
        <f t="shared" si="113"/>
        <v>-3.63497225942222E-3</v>
      </c>
      <c r="F975" s="39">
        <f t="shared" si="113"/>
        <v>1.8417902200940084E-4</v>
      </c>
      <c r="H975" s="64">
        <f t="shared" si="115"/>
        <v>0.2</v>
      </c>
      <c r="I975" s="65">
        <f t="shared" si="116"/>
        <v>0.3</v>
      </c>
      <c r="J975" s="66">
        <v>0.3</v>
      </c>
      <c r="K975" s="65">
        <f t="shared" si="114"/>
        <v>0.7</v>
      </c>
      <c r="L975" s="28">
        <f t="shared" si="117"/>
        <v>-5.4294498835520948E-4</v>
      </c>
      <c r="M975" s="71">
        <f t="shared" si="120"/>
        <v>-9.6156636242008533E-4</v>
      </c>
      <c r="N975" s="51">
        <v>41428</v>
      </c>
      <c r="O975" s="77">
        <f t="shared" si="118"/>
        <v>0.50414791046610319</v>
      </c>
      <c r="P975" s="39">
        <f t="shared" si="119"/>
        <v>0.29635638609797099</v>
      </c>
    </row>
    <row r="976" spans="1:16" x14ac:dyDescent="0.3">
      <c r="A976" s="18">
        <v>41429</v>
      </c>
      <c r="B976" s="15">
        <v>26000</v>
      </c>
      <c r="C976" s="15">
        <v>54305</v>
      </c>
      <c r="D976" s="16">
        <v>1989.51</v>
      </c>
      <c r="E976" s="28">
        <f t="shared" si="113"/>
        <v>-1.536098310291889E-3</v>
      </c>
      <c r="F976" s="39">
        <f t="shared" si="113"/>
        <v>0</v>
      </c>
      <c r="H976" s="64">
        <f t="shared" si="115"/>
        <v>0.3</v>
      </c>
      <c r="I976" s="65">
        <f t="shared" si="116"/>
        <v>0.5</v>
      </c>
      <c r="J976" s="66">
        <v>0.3</v>
      </c>
      <c r="K976" s="65">
        <f t="shared" si="114"/>
        <v>0.7</v>
      </c>
      <c r="L976" s="28">
        <f t="shared" si="117"/>
        <v>-9.6156636242008533E-4</v>
      </c>
      <c r="M976" s="71">
        <f t="shared" si="120"/>
        <v>-4.6082949308756671E-4</v>
      </c>
      <c r="N976" s="50">
        <v>41429</v>
      </c>
      <c r="O976" s="77">
        <f t="shared" si="118"/>
        <v>0.50368708097301562</v>
      </c>
      <c r="P976" s="39">
        <f t="shared" si="119"/>
        <v>0.29631729152820663</v>
      </c>
    </row>
    <row r="977" spans="1:16" x14ac:dyDescent="0.3">
      <c r="A977" s="17">
        <v>41430</v>
      </c>
      <c r="B977" s="13">
        <v>25645</v>
      </c>
      <c r="C977" s="13">
        <v>54250</v>
      </c>
      <c r="D977" s="14">
        <v>1959.19</v>
      </c>
      <c r="E977" s="28">
        <f t="shared" ref="E977:F981" si="121">B977/B976-1</f>
        <v>-1.3653846153846128E-2</v>
      </c>
      <c r="F977" s="39">
        <f t="shared" si="121"/>
        <v>-1.0127980848908535E-3</v>
      </c>
      <c r="H977" s="64">
        <f t="shared" si="115"/>
        <v>0.3</v>
      </c>
      <c r="I977" s="65">
        <f t="shared" si="116"/>
        <v>0.5</v>
      </c>
      <c r="J977" s="66">
        <v>0.3</v>
      </c>
      <c r="K977" s="65">
        <f t="shared" ref="K977:K981" si="122">1-J977</f>
        <v>0.7</v>
      </c>
      <c r="L977" s="28">
        <f t="shared" si="117"/>
        <v>-4.6082949308756671E-4</v>
      </c>
      <c r="M977" s="71">
        <f t="shared" si="120"/>
        <v>-4.8051125055774352E-3</v>
      </c>
      <c r="N977" s="51">
        <v>41430</v>
      </c>
      <c r="O977" s="77">
        <f t="shared" si="118"/>
        <v>0.49888196846743821</v>
      </c>
      <c r="P977" s="39">
        <f t="shared" si="119"/>
        <v>0.27656150227400089</v>
      </c>
    </row>
    <row r="978" spans="1:16" x14ac:dyDescent="0.3">
      <c r="A978" s="17">
        <v>41432</v>
      </c>
      <c r="B978" s="13">
        <v>25100</v>
      </c>
      <c r="C978" s="13">
        <v>54310</v>
      </c>
      <c r="D978" s="14">
        <v>1923.85</v>
      </c>
      <c r="E978" s="28">
        <f t="shared" si="121"/>
        <v>-2.1251705985572245E-2</v>
      </c>
      <c r="F978" s="39">
        <f t="shared" si="121"/>
        <v>1.1059907834101157E-3</v>
      </c>
      <c r="H978" s="64">
        <f t="shared" si="115"/>
        <v>0.3</v>
      </c>
      <c r="I978" s="65">
        <f t="shared" si="116"/>
        <v>0.5</v>
      </c>
      <c r="J978" s="66">
        <v>0.3</v>
      </c>
      <c r="K978" s="65">
        <f t="shared" si="122"/>
        <v>0.7</v>
      </c>
      <c r="L978" s="28">
        <f t="shared" ref="L978:L981" si="123">E977*J978+F977*K978</f>
        <v>-4.8051125055774352E-3</v>
      </c>
      <c r="M978" s="71">
        <f t="shared" si="120"/>
        <v>-5.6013182472845922E-3</v>
      </c>
      <c r="N978" s="51">
        <v>41432</v>
      </c>
      <c r="O978" s="77">
        <f t="shared" ref="O978:O988" si="124">O977+M978</f>
        <v>0.4932806502201536</v>
      </c>
      <c r="P978" s="39">
        <f t="shared" ref="P978:P981" si="125">D978/$D$16-1</f>
        <v>0.25353480068285172</v>
      </c>
    </row>
    <row r="979" spans="1:16" x14ac:dyDescent="0.3">
      <c r="A979" s="18">
        <v>41435</v>
      </c>
      <c r="B979" s="15">
        <v>25225</v>
      </c>
      <c r="C979" s="15">
        <v>54255</v>
      </c>
      <c r="D979" s="70">
        <v>1932.7</v>
      </c>
      <c r="E979" s="71">
        <f t="shared" si="121"/>
        <v>4.980079681274896E-3</v>
      </c>
      <c r="F979" s="39">
        <f t="shared" si="121"/>
        <v>-1.0127048425704333E-3</v>
      </c>
      <c r="H979" s="64">
        <f t="shared" si="115"/>
        <v>0.5</v>
      </c>
      <c r="I979" s="65">
        <f t="shared" si="116"/>
        <v>0.7</v>
      </c>
      <c r="J979" s="66">
        <v>0.5</v>
      </c>
      <c r="K979" s="65">
        <f t="shared" si="122"/>
        <v>0.5</v>
      </c>
      <c r="L979" s="28">
        <f t="shared" si="123"/>
        <v>-1.0072857601081064E-2</v>
      </c>
      <c r="M979" s="71">
        <f t="shared" si="120"/>
        <v>1.9836874193522314E-3</v>
      </c>
      <c r="N979" s="50">
        <v>41435</v>
      </c>
      <c r="O979" s="77">
        <f t="shared" si="124"/>
        <v>0.49526433763950584</v>
      </c>
      <c r="P979" s="39">
        <f t="shared" si="125"/>
        <v>0.25930124972308022</v>
      </c>
    </row>
    <row r="980" spans="1:16" x14ac:dyDescent="0.3">
      <c r="A980" s="17">
        <v>41436</v>
      </c>
      <c r="B980" s="13">
        <v>25045</v>
      </c>
      <c r="C980" s="13">
        <v>53790</v>
      </c>
      <c r="D980" s="14">
        <v>1920.68</v>
      </c>
      <c r="E980" s="28">
        <f t="shared" si="121"/>
        <v>-7.1357779980177893E-3</v>
      </c>
      <c r="F980" s="39">
        <f t="shared" si="121"/>
        <v>-8.5706386508156429E-3</v>
      </c>
      <c r="H980" s="64">
        <f t="shared" si="115"/>
        <v>0.5</v>
      </c>
      <c r="I980" s="65">
        <f t="shared" si="116"/>
        <v>0.7</v>
      </c>
      <c r="J980" s="66">
        <v>0.7</v>
      </c>
      <c r="K980" s="65">
        <f t="shared" si="122"/>
        <v>0.30000000000000004</v>
      </c>
      <c r="L980" s="28">
        <f t="shared" si="123"/>
        <v>3.1822443241212965E-3</v>
      </c>
      <c r="M980" s="71">
        <f t="shared" ref="M980:M988" si="126">E980*J980+F980*K980</f>
        <v>-7.5662361938571452E-3</v>
      </c>
      <c r="N980" s="51">
        <v>41436</v>
      </c>
      <c r="O980" s="77">
        <f t="shared" si="124"/>
        <v>0.48769810144564868</v>
      </c>
      <c r="P980" s="39">
        <f t="shared" si="125"/>
        <v>0.25146930424697356</v>
      </c>
    </row>
    <row r="981" spans="1:16" x14ac:dyDescent="0.3">
      <c r="A981" s="18">
        <v>41437</v>
      </c>
      <c r="B981" s="15">
        <v>24835</v>
      </c>
      <c r="C981" s="15">
        <v>53665</v>
      </c>
      <c r="D981" s="16">
        <v>1909.91</v>
      </c>
      <c r="E981" s="28">
        <f t="shared" si="121"/>
        <v>-8.3849071670992759E-3</v>
      </c>
      <c r="F981" s="39">
        <f t="shared" si="121"/>
        <v>-2.3238520171035004E-3</v>
      </c>
      <c r="H981" s="64">
        <f t="shared" si="115"/>
        <v>0.5</v>
      </c>
      <c r="I981" s="65">
        <f t="shared" si="116"/>
        <v>0.7</v>
      </c>
      <c r="J981" s="66">
        <v>0.7</v>
      </c>
      <c r="K981" s="65">
        <f t="shared" si="122"/>
        <v>0.30000000000000004</v>
      </c>
      <c r="L981" s="28">
        <f t="shared" si="123"/>
        <v>-7.5662361938571452E-3</v>
      </c>
      <c r="M981" s="71">
        <f t="shared" si="126"/>
        <v>-6.5665906221005427E-3</v>
      </c>
      <c r="N981" s="50">
        <v>41437</v>
      </c>
      <c r="O981" s="77">
        <f t="shared" si="124"/>
        <v>0.48113151082354816</v>
      </c>
      <c r="P981" s="39">
        <f t="shared" si="125"/>
        <v>0.24445182897428874</v>
      </c>
    </row>
    <row r="982" spans="1:16" x14ac:dyDescent="0.3">
      <c r="A982" s="17">
        <v>41438</v>
      </c>
      <c r="B982" s="13">
        <v>24495</v>
      </c>
      <c r="C982" s="13">
        <v>53675</v>
      </c>
      <c r="D982" s="14">
        <v>1882.73</v>
      </c>
      <c r="E982" s="28">
        <f t="shared" ref="E982:E988" si="127">B982/B981-1</f>
        <v>-1.3690356351922728E-2</v>
      </c>
      <c r="F982" s="39">
        <f t="shared" ref="F982:F988" si="128">C982/C981-1</f>
        <v>1.8634119072014066E-4</v>
      </c>
      <c r="H982" s="64">
        <f t="shared" si="115"/>
        <v>0.5</v>
      </c>
      <c r="I982" s="65">
        <f t="shared" si="116"/>
        <v>0.7</v>
      </c>
      <c r="J982" s="66">
        <v>0.5</v>
      </c>
      <c r="K982" s="65">
        <f t="shared" ref="K982:K988" si="129">1-J982</f>
        <v>0.5</v>
      </c>
      <c r="L982" s="28">
        <f t="shared" ref="L982:L988" si="130">E981*J982+F981*K982</f>
        <v>-5.3543795921013881E-3</v>
      </c>
      <c r="M982" s="71">
        <f t="shared" si="126"/>
        <v>-6.7520075806012936E-3</v>
      </c>
      <c r="N982" s="50">
        <v>41437</v>
      </c>
      <c r="O982" s="77">
        <f t="shared" si="124"/>
        <v>0.47437950324294686</v>
      </c>
      <c r="P982" s="39">
        <f t="shared" ref="P982:P988" si="131">D982/$D$16-1</f>
        <v>0.2267419888710791</v>
      </c>
    </row>
    <row r="983" spans="1:16" x14ac:dyDescent="0.3">
      <c r="A983" s="17">
        <v>41439</v>
      </c>
      <c r="B983" s="13">
        <v>24515</v>
      </c>
      <c r="C983" s="13">
        <v>53790</v>
      </c>
      <c r="D983" s="14">
        <v>1889.24</v>
      </c>
      <c r="E983" s="28">
        <f t="shared" si="127"/>
        <v>8.1649316186971355E-4</v>
      </c>
      <c r="F983" s="39">
        <f t="shared" si="128"/>
        <v>2.1425244527246701E-3</v>
      </c>
      <c r="H983" s="64">
        <f t="shared" ref="H983:H988" si="132">IF($D982&lt;=1850,0.9,IF(AND($D982&lt;=1900,$D982&gt;1850),0.7,IF(AND($D982&lt;=1950,$D982&gt;1900),0.5,IF(AND($D982&lt;=2000,$D982&gt;1950),0.3,IF($D982&gt;2000,0.2,0)))))</f>
        <v>0.7</v>
      </c>
      <c r="I983" s="65">
        <f t="shared" ref="I983:I988" si="133">IF($D982&lt;=1850,1,IF(AND($D982&lt;=1900,$D982&gt;1850),0.9,IF(AND($D982&lt;=1950,$D982&gt;1900),0.7,IF(AND($D982&lt;=2000,$D982&gt;1950),0.5,IF($D982&gt;2000,0.3,0)))))</f>
        <v>0.9</v>
      </c>
      <c r="J983" s="66">
        <v>0.7</v>
      </c>
      <c r="K983" s="65">
        <f t="shared" si="129"/>
        <v>0.30000000000000004</v>
      </c>
      <c r="L983" s="28">
        <f t="shared" si="130"/>
        <v>-9.5273470891298669E-3</v>
      </c>
      <c r="M983" s="71">
        <f t="shared" si="126"/>
        <v>1.2143025491262007E-3</v>
      </c>
      <c r="N983" s="50">
        <v>41437</v>
      </c>
      <c r="O983" s="77">
        <f t="shared" si="124"/>
        <v>0.47559380579207305</v>
      </c>
      <c r="P983" s="39">
        <f t="shared" si="131"/>
        <v>0.23098374969050139</v>
      </c>
    </row>
    <row r="984" spans="1:16" x14ac:dyDescent="0.3">
      <c r="A984" s="18">
        <v>41442</v>
      </c>
      <c r="B984" s="15">
        <v>24495</v>
      </c>
      <c r="C984" s="15">
        <v>53785</v>
      </c>
      <c r="D984" s="16">
        <v>1883.1</v>
      </c>
      <c r="E984" s="28">
        <f t="shared" si="127"/>
        <v>-8.1582704466653944E-4</v>
      </c>
      <c r="F984" s="39">
        <f t="shared" si="128"/>
        <v>-9.295408068410449E-5</v>
      </c>
      <c r="H984" s="64">
        <f t="shared" si="132"/>
        <v>0.7</v>
      </c>
      <c r="I984" s="65">
        <f t="shared" si="133"/>
        <v>0.9</v>
      </c>
      <c r="J984" s="66">
        <v>0.7</v>
      </c>
      <c r="K984" s="65">
        <f t="shared" si="129"/>
        <v>0.30000000000000004</v>
      </c>
      <c r="L984" s="28">
        <f t="shared" si="130"/>
        <v>1.2143025491262007E-3</v>
      </c>
      <c r="M984" s="71">
        <f t="shared" si="126"/>
        <v>-5.9896515547180895E-4</v>
      </c>
      <c r="N984" s="50">
        <v>41437</v>
      </c>
      <c r="O984" s="77">
        <f t="shared" si="124"/>
        <v>0.47499484063660125</v>
      </c>
      <c r="P984" s="39">
        <f t="shared" si="131"/>
        <v>0.22698307205129198</v>
      </c>
    </row>
    <row r="985" spans="1:16" x14ac:dyDescent="0.3">
      <c r="A985" s="17">
        <v>41443</v>
      </c>
      <c r="B985" s="13">
        <v>24690</v>
      </c>
      <c r="C985" s="13">
        <v>53810</v>
      </c>
      <c r="D985" s="14">
        <v>1900.62</v>
      </c>
      <c r="E985" s="28">
        <f t="shared" si="127"/>
        <v>7.9608083282303177E-3</v>
      </c>
      <c r="F985" s="39">
        <f t="shared" si="128"/>
        <v>4.6481360974248709E-4</v>
      </c>
      <c r="H985" s="64">
        <f t="shared" si="132"/>
        <v>0.7</v>
      </c>
      <c r="I985" s="65">
        <f t="shared" si="133"/>
        <v>0.9</v>
      </c>
      <c r="J985" s="66">
        <v>0.7</v>
      </c>
      <c r="K985" s="65">
        <f t="shared" si="129"/>
        <v>0.30000000000000004</v>
      </c>
      <c r="L985" s="28">
        <f t="shared" si="130"/>
        <v>-5.9896515547180895E-4</v>
      </c>
      <c r="M985" s="71">
        <f t="shared" si="126"/>
        <v>5.712009912683968E-3</v>
      </c>
      <c r="N985" s="50">
        <v>41437</v>
      </c>
      <c r="O985" s="77">
        <f t="shared" si="124"/>
        <v>0.48070685054928519</v>
      </c>
      <c r="P985" s="39">
        <f t="shared" si="131"/>
        <v>0.23839868642245587</v>
      </c>
    </row>
    <row r="986" spans="1:16" x14ac:dyDescent="0.3">
      <c r="A986" s="18">
        <v>41444</v>
      </c>
      <c r="B986" s="15">
        <v>24570</v>
      </c>
      <c r="C986" s="15">
        <v>53840</v>
      </c>
      <c r="D986" s="16">
        <v>1888.31</v>
      </c>
      <c r="E986" s="28">
        <f t="shared" si="127"/>
        <v>-4.860267314702349E-3</v>
      </c>
      <c r="F986" s="39">
        <f t="shared" si="128"/>
        <v>5.5751719011332135E-4</v>
      </c>
      <c r="H986" s="64">
        <f t="shared" si="132"/>
        <v>0.5</v>
      </c>
      <c r="I986" s="65">
        <f t="shared" si="133"/>
        <v>0.7</v>
      </c>
      <c r="J986" s="66">
        <v>0.7</v>
      </c>
      <c r="K986" s="65">
        <f t="shared" si="129"/>
        <v>0.30000000000000004</v>
      </c>
      <c r="L986" s="28">
        <f t="shared" si="130"/>
        <v>5.712009912683968E-3</v>
      </c>
      <c r="M986" s="71">
        <f t="shared" si="126"/>
        <v>-3.2349319632576476E-3</v>
      </c>
      <c r="N986" s="50">
        <v>41437</v>
      </c>
      <c r="O986" s="77">
        <f t="shared" si="124"/>
        <v>0.47747191858602755</v>
      </c>
      <c r="P986" s="39">
        <f t="shared" si="131"/>
        <v>0.23037778385915519</v>
      </c>
    </row>
    <row r="987" spans="1:16" x14ac:dyDescent="0.3">
      <c r="A987" s="17">
        <v>41445</v>
      </c>
      <c r="B987" s="13">
        <v>23980</v>
      </c>
      <c r="C987" s="13">
        <v>53550</v>
      </c>
      <c r="D987" s="14">
        <v>1850.49</v>
      </c>
      <c r="E987" s="28">
        <f t="shared" si="127"/>
        <v>-2.4013024013023965E-2</v>
      </c>
      <c r="F987" s="39">
        <f t="shared" si="128"/>
        <v>-5.3863298662704118E-3</v>
      </c>
      <c r="H987" s="64">
        <f t="shared" si="132"/>
        <v>0.7</v>
      </c>
      <c r="I987" s="65">
        <f t="shared" si="133"/>
        <v>0.9</v>
      </c>
      <c r="J987" s="66">
        <v>0.7</v>
      </c>
      <c r="K987" s="65">
        <f t="shared" si="129"/>
        <v>0.30000000000000004</v>
      </c>
      <c r="L987" s="28">
        <f t="shared" si="130"/>
        <v>-3.2349319632576476E-3</v>
      </c>
      <c r="M987" s="71">
        <f t="shared" si="126"/>
        <v>-1.8425015768997896E-2</v>
      </c>
      <c r="N987" s="50">
        <v>41437</v>
      </c>
      <c r="O987" s="77">
        <f t="shared" si="124"/>
        <v>0.45904690281702965</v>
      </c>
      <c r="P987" s="39">
        <f t="shared" si="131"/>
        <v>0.20573517338441683</v>
      </c>
    </row>
    <row r="988" spans="1:16" x14ac:dyDescent="0.3">
      <c r="A988" s="17">
        <v>41446</v>
      </c>
      <c r="B988" s="13">
        <v>23615</v>
      </c>
      <c r="C988" s="13">
        <v>53450</v>
      </c>
      <c r="D988" s="14">
        <v>1822.83</v>
      </c>
      <c r="E988" s="28">
        <f t="shared" si="127"/>
        <v>-1.5221017514595481E-2</v>
      </c>
      <c r="F988" s="39">
        <f t="shared" si="128"/>
        <v>-1.8674136321195078E-3</v>
      </c>
      <c r="H988" s="64">
        <f t="shared" si="132"/>
        <v>0.7</v>
      </c>
      <c r="I988" s="65">
        <f t="shared" si="133"/>
        <v>0.9</v>
      </c>
      <c r="J988" s="66">
        <v>0.7</v>
      </c>
      <c r="K988" s="65">
        <f t="shared" si="129"/>
        <v>0.30000000000000004</v>
      </c>
      <c r="L988" s="28">
        <f t="shared" si="130"/>
        <v>-1.8425015768997896E-2</v>
      </c>
      <c r="M988" s="71">
        <f t="shared" si="126"/>
        <v>-1.1214936349852688E-2</v>
      </c>
      <c r="N988" s="50">
        <v>41437</v>
      </c>
      <c r="O988" s="77">
        <f t="shared" si="124"/>
        <v>0.44783196646717693</v>
      </c>
      <c r="P988" s="39">
        <f t="shared" si="131"/>
        <v>0.18771257672309316</v>
      </c>
    </row>
    <row r="989" spans="1:16" x14ac:dyDescent="0.3">
      <c r="A989" s="18"/>
      <c r="B989" s="15"/>
      <c r="C989" s="15"/>
      <c r="D989" s="16"/>
    </row>
    <row r="990" spans="1:16" x14ac:dyDescent="0.3">
      <c r="A990" s="17"/>
      <c r="B990" s="13"/>
      <c r="C990" s="13"/>
      <c r="D990" s="14"/>
    </row>
    <row r="991" spans="1:16" x14ac:dyDescent="0.3">
      <c r="A991" s="18"/>
      <c r="B991" s="15"/>
      <c r="C991" s="15"/>
      <c r="D991" s="16"/>
    </row>
    <row r="992" spans="1:16" x14ac:dyDescent="0.3">
      <c r="A992" s="17"/>
      <c r="B992" s="13"/>
      <c r="C992" s="13"/>
      <c r="D992" s="14"/>
    </row>
    <row r="993" spans="1:4" x14ac:dyDescent="0.3">
      <c r="A993" s="17"/>
      <c r="B993" s="13"/>
      <c r="C993" s="13"/>
      <c r="D993" s="14"/>
    </row>
    <row r="994" spans="1:4" x14ac:dyDescent="0.3">
      <c r="A994" s="18"/>
      <c r="B994" s="15"/>
      <c r="C994" s="15"/>
      <c r="D994" s="16"/>
    </row>
    <row r="995" spans="1:4" x14ac:dyDescent="0.3">
      <c r="A995" s="17"/>
      <c r="B995" s="13"/>
      <c r="C995" s="13"/>
      <c r="D995" s="14"/>
    </row>
    <row r="996" spans="1:4" x14ac:dyDescent="0.3">
      <c r="A996" s="18"/>
      <c r="B996" s="15"/>
      <c r="C996" s="15"/>
      <c r="D996" s="16"/>
    </row>
    <row r="997" spans="1:4" x14ac:dyDescent="0.3">
      <c r="A997" s="17"/>
      <c r="B997" s="13"/>
      <c r="C997" s="13"/>
      <c r="D997" s="14"/>
    </row>
    <row r="998" spans="1:4" x14ac:dyDescent="0.3">
      <c r="A998" s="17"/>
      <c r="B998" s="13"/>
      <c r="C998" s="13"/>
      <c r="D998" s="14"/>
    </row>
    <row r="999" spans="1:4" x14ac:dyDescent="0.3">
      <c r="A999" s="18"/>
      <c r="B999" s="15"/>
      <c r="C999" s="15"/>
      <c r="D999" s="16"/>
    </row>
    <row r="1000" spans="1:4" x14ac:dyDescent="0.3">
      <c r="A1000" s="17"/>
      <c r="B1000" s="13"/>
      <c r="C1000" s="13"/>
      <c r="D1000" s="14"/>
    </row>
    <row r="1001" spans="1:4" x14ac:dyDescent="0.3">
      <c r="A1001" s="18"/>
      <c r="B1001" s="15"/>
      <c r="C1001" s="15"/>
      <c r="D1001" s="16"/>
    </row>
    <row r="1002" spans="1:4" x14ac:dyDescent="0.3">
      <c r="A1002" s="17"/>
      <c r="B1002" s="13"/>
      <c r="C1002" s="13"/>
      <c r="D1002" s="14"/>
    </row>
    <row r="1003" spans="1:4" x14ac:dyDescent="0.3">
      <c r="A1003" s="17"/>
      <c r="B1003" s="13"/>
      <c r="C1003" s="13"/>
      <c r="D1003" s="14"/>
    </row>
    <row r="1004" spans="1:4" x14ac:dyDescent="0.3">
      <c r="A1004" s="18"/>
      <c r="B1004" s="15"/>
      <c r="C1004" s="15"/>
      <c r="D1004" s="16"/>
    </row>
    <row r="1005" spans="1:4" x14ac:dyDescent="0.3">
      <c r="A1005" s="17"/>
      <c r="B1005" s="13"/>
      <c r="C1005" s="13"/>
      <c r="D1005" s="14"/>
    </row>
    <row r="1006" spans="1:4" x14ac:dyDescent="0.3">
      <c r="A1006" s="18"/>
      <c r="B1006" s="15"/>
      <c r="C1006" s="15"/>
      <c r="D1006" s="16"/>
    </row>
    <row r="1007" spans="1:4" x14ac:dyDescent="0.3">
      <c r="A1007" s="17"/>
      <c r="B1007" s="13"/>
      <c r="C1007" s="13"/>
      <c r="D1007" s="14"/>
    </row>
    <row r="1008" spans="1:4" x14ac:dyDescent="0.3">
      <c r="A1008" s="17"/>
      <c r="B1008" s="13"/>
      <c r="C1008" s="13"/>
      <c r="D1008" s="14"/>
    </row>
    <row r="1009" spans="1:4" x14ac:dyDescent="0.3">
      <c r="A1009" s="18"/>
      <c r="B1009" s="15"/>
      <c r="C1009" s="15"/>
      <c r="D1009" s="16"/>
    </row>
    <row r="1010" spans="1:4" x14ac:dyDescent="0.3">
      <c r="A1010" s="17"/>
      <c r="B1010" s="13"/>
      <c r="C1010" s="13"/>
      <c r="D1010" s="14"/>
    </row>
    <row r="1011" spans="1:4" x14ac:dyDescent="0.3">
      <c r="A1011" s="18"/>
      <c r="B1011" s="15"/>
      <c r="C1011" s="15"/>
      <c r="D1011" s="16"/>
    </row>
    <row r="1012" spans="1:4" x14ac:dyDescent="0.3">
      <c r="A1012" s="17"/>
      <c r="B1012" s="13"/>
      <c r="C1012" s="13"/>
      <c r="D1012" s="14"/>
    </row>
    <row r="1013" spans="1:4" x14ac:dyDescent="0.3">
      <c r="A1013" s="17"/>
      <c r="B1013" s="13"/>
      <c r="C1013" s="13"/>
      <c r="D1013" s="14"/>
    </row>
    <row r="1014" spans="1:4" x14ac:dyDescent="0.3">
      <c r="A1014" s="18"/>
      <c r="B1014" s="15"/>
      <c r="C1014" s="15"/>
      <c r="D1014" s="16"/>
    </row>
    <row r="1015" spans="1:4" x14ac:dyDescent="0.3">
      <c r="A1015" s="17"/>
      <c r="B1015" s="13"/>
      <c r="C1015" s="13"/>
      <c r="D1015" s="14"/>
    </row>
    <row r="1016" spans="1:4" x14ac:dyDescent="0.3">
      <c r="A1016" s="18"/>
      <c r="B1016" s="15"/>
      <c r="C1016" s="15"/>
      <c r="D1016" s="16"/>
    </row>
    <row r="1017" spans="1:4" x14ac:dyDescent="0.3">
      <c r="A1017" s="17"/>
      <c r="B1017" s="13"/>
      <c r="C1017" s="13"/>
      <c r="D1017" s="14"/>
    </row>
    <row r="1018" spans="1:4" x14ac:dyDescent="0.3">
      <c r="A1018" s="17"/>
      <c r="B1018" s="13"/>
      <c r="C1018" s="13"/>
      <c r="D1018" s="14"/>
    </row>
    <row r="1019" spans="1:4" x14ac:dyDescent="0.3">
      <c r="A1019" s="18"/>
      <c r="B1019" s="15"/>
      <c r="C1019" s="15"/>
      <c r="D1019" s="16"/>
    </row>
    <row r="1020" spans="1:4" x14ac:dyDescent="0.3">
      <c r="A1020" s="17"/>
      <c r="B1020" s="13"/>
      <c r="C1020" s="13"/>
      <c r="D1020" s="14"/>
    </row>
    <row r="1021" spans="1:4" x14ac:dyDescent="0.3">
      <c r="A1021" s="18"/>
      <c r="B1021" s="15"/>
      <c r="C1021" s="15"/>
      <c r="D1021" s="16"/>
    </row>
    <row r="1022" spans="1:4" x14ac:dyDescent="0.3">
      <c r="A1022" s="17"/>
      <c r="B1022" s="13"/>
      <c r="C1022" s="13"/>
      <c r="D1022" s="14"/>
    </row>
    <row r="1023" spans="1:4" x14ac:dyDescent="0.3">
      <c r="A1023" s="17"/>
      <c r="B1023" s="13"/>
      <c r="C1023" s="13"/>
      <c r="D1023" s="14"/>
    </row>
    <row r="1024" spans="1:4" x14ac:dyDescent="0.3">
      <c r="A1024" s="18"/>
      <c r="B1024" s="15"/>
      <c r="C1024" s="15"/>
      <c r="D1024" s="16"/>
    </row>
    <row r="1025" spans="1:4" x14ac:dyDescent="0.3">
      <c r="A1025" s="17"/>
      <c r="B1025" s="13"/>
      <c r="C1025" s="13"/>
      <c r="D1025" s="14"/>
    </row>
    <row r="1026" spans="1:4" x14ac:dyDescent="0.3">
      <c r="A1026" s="18"/>
      <c r="B1026" s="15"/>
      <c r="C1026" s="15"/>
      <c r="D1026" s="16"/>
    </row>
    <row r="1027" spans="1:4" x14ac:dyDescent="0.3">
      <c r="A1027" s="17"/>
      <c r="B1027" s="13"/>
      <c r="C1027" s="13"/>
      <c r="D1027" s="14"/>
    </row>
    <row r="1028" spans="1:4" x14ac:dyDescent="0.3">
      <c r="A1028" s="17"/>
      <c r="B1028" s="13"/>
      <c r="C1028" s="13"/>
      <c r="D1028" s="14"/>
    </row>
    <row r="1029" spans="1:4" x14ac:dyDescent="0.3">
      <c r="A1029" s="18"/>
      <c r="B1029" s="15"/>
      <c r="C1029" s="15"/>
      <c r="D1029" s="16"/>
    </row>
    <row r="1030" spans="1:4" x14ac:dyDescent="0.3">
      <c r="A1030" s="17"/>
      <c r="B1030" s="13"/>
      <c r="C1030" s="13"/>
      <c r="D1030" s="14"/>
    </row>
    <row r="1031" spans="1:4" x14ac:dyDescent="0.3">
      <c r="A1031" s="18"/>
      <c r="B1031" s="15"/>
      <c r="C1031" s="15"/>
      <c r="D1031" s="16"/>
    </row>
    <row r="1032" spans="1:4" x14ac:dyDescent="0.3">
      <c r="A1032" s="17"/>
      <c r="B1032" s="13"/>
      <c r="C1032" s="13"/>
      <c r="D1032" s="14"/>
    </row>
    <row r="1033" spans="1:4" x14ac:dyDescent="0.3">
      <c r="A1033" s="17"/>
      <c r="B1033" s="13"/>
      <c r="C1033" s="13"/>
      <c r="D1033" s="14"/>
    </row>
    <row r="1034" spans="1:4" x14ac:dyDescent="0.3">
      <c r="A1034" s="18"/>
      <c r="B1034" s="15"/>
      <c r="C1034" s="15"/>
      <c r="D1034" s="16"/>
    </row>
    <row r="1035" spans="1:4" x14ac:dyDescent="0.3">
      <c r="A1035" s="17"/>
      <c r="B1035" s="13"/>
      <c r="C1035" s="13"/>
      <c r="D1035" s="14"/>
    </row>
    <row r="1036" spans="1:4" x14ac:dyDescent="0.3">
      <c r="A1036" s="18"/>
      <c r="B1036" s="15"/>
      <c r="C1036" s="15"/>
      <c r="D1036" s="16"/>
    </row>
    <row r="1037" spans="1:4" x14ac:dyDescent="0.3">
      <c r="A1037" s="17"/>
      <c r="B1037" s="13"/>
      <c r="C1037" s="13"/>
      <c r="D1037" s="14"/>
    </row>
    <row r="1038" spans="1:4" x14ac:dyDescent="0.3">
      <c r="A1038" s="17"/>
      <c r="B1038" s="13"/>
      <c r="C1038" s="13"/>
      <c r="D1038" s="14"/>
    </row>
    <row r="1039" spans="1:4" x14ac:dyDescent="0.3">
      <c r="A1039" s="18"/>
      <c r="B1039" s="15"/>
      <c r="C1039" s="15"/>
      <c r="D1039" s="16"/>
    </row>
    <row r="1040" spans="1:4" x14ac:dyDescent="0.3">
      <c r="A1040" s="17"/>
      <c r="B1040" s="13"/>
      <c r="C1040" s="13"/>
      <c r="D1040" s="14"/>
    </row>
    <row r="1041" spans="1:4" x14ac:dyDescent="0.3">
      <c r="A1041" s="18"/>
      <c r="B1041" s="15"/>
      <c r="C1041" s="15"/>
      <c r="D1041" s="16"/>
    </row>
    <row r="1042" spans="1:4" x14ac:dyDescent="0.3">
      <c r="A1042" s="17"/>
      <c r="B1042" s="13"/>
      <c r="C1042" s="13"/>
      <c r="D1042" s="14"/>
    </row>
    <row r="1043" spans="1:4" x14ac:dyDescent="0.3">
      <c r="A1043" s="17"/>
      <c r="B1043" s="13"/>
      <c r="C1043" s="13"/>
      <c r="D1043" s="14"/>
    </row>
    <row r="1044" spans="1:4" x14ac:dyDescent="0.3">
      <c r="A1044" s="18"/>
      <c r="B1044" s="15"/>
      <c r="C1044" s="15"/>
      <c r="D1044" s="16"/>
    </row>
    <row r="1045" spans="1:4" x14ac:dyDescent="0.3">
      <c r="A1045" s="17"/>
      <c r="B1045" s="13"/>
      <c r="C1045" s="13"/>
      <c r="D1045" s="14"/>
    </row>
    <row r="1046" spans="1:4" x14ac:dyDescent="0.3">
      <c r="A1046" s="18"/>
      <c r="B1046" s="15"/>
      <c r="C1046" s="15"/>
      <c r="D1046" s="16"/>
    </row>
    <row r="1047" spans="1:4" x14ac:dyDescent="0.3">
      <c r="A1047" s="17"/>
      <c r="B1047" s="13"/>
      <c r="C1047" s="13"/>
      <c r="D1047" s="14"/>
    </row>
    <row r="1048" spans="1:4" x14ac:dyDescent="0.3">
      <c r="A1048" s="17"/>
      <c r="B1048" s="13"/>
      <c r="C1048" s="13"/>
      <c r="D1048" s="14"/>
    </row>
    <row r="1049" spans="1:4" x14ac:dyDescent="0.3">
      <c r="A1049" s="18"/>
      <c r="B1049" s="15"/>
      <c r="C1049" s="15"/>
      <c r="D1049" s="16"/>
    </row>
    <row r="1050" spans="1:4" x14ac:dyDescent="0.3">
      <c r="A1050" s="17"/>
      <c r="B1050" s="13"/>
      <c r="C1050" s="13"/>
      <c r="D1050" s="14"/>
    </row>
    <row r="1051" spans="1:4" x14ac:dyDescent="0.3">
      <c r="A1051" s="18"/>
      <c r="B1051" s="15"/>
      <c r="C1051" s="15"/>
      <c r="D1051" s="16"/>
    </row>
    <row r="1052" spans="1:4" x14ac:dyDescent="0.3">
      <c r="A1052" s="17"/>
      <c r="B1052" s="13"/>
      <c r="C1052" s="13"/>
      <c r="D1052" s="14"/>
    </row>
    <row r="1053" spans="1:4" x14ac:dyDescent="0.3">
      <c r="A1053" s="17"/>
      <c r="B1053" s="13"/>
      <c r="C1053" s="13"/>
      <c r="D1053" s="14"/>
    </row>
    <row r="1054" spans="1:4" x14ac:dyDescent="0.3">
      <c r="A1054" s="18"/>
      <c r="B1054" s="15"/>
      <c r="C1054" s="15"/>
      <c r="D1054" s="16"/>
    </row>
    <row r="1055" spans="1:4" x14ac:dyDescent="0.3">
      <c r="A1055" s="17"/>
      <c r="B1055" s="13"/>
      <c r="C1055" s="13"/>
      <c r="D1055" s="14"/>
    </row>
    <row r="1056" spans="1:4" x14ac:dyDescent="0.3">
      <c r="A1056" s="18"/>
      <c r="B1056" s="15"/>
      <c r="C1056" s="15"/>
      <c r="D1056" s="16"/>
    </row>
    <row r="1057" spans="1:4" x14ac:dyDescent="0.3">
      <c r="A1057" s="17"/>
      <c r="B1057" s="13"/>
      <c r="C1057" s="13"/>
      <c r="D1057" s="14"/>
    </row>
    <row r="1058" spans="1:4" x14ac:dyDescent="0.3">
      <c r="A1058" s="17"/>
      <c r="B1058" s="13"/>
      <c r="C1058" s="13"/>
      <c r="D1058" s="14"/>
    </row>
    <row r="1059" spans="1:4" x14ac:dyDescent="0.3">
      <c r="A1059" s="18"/>
      <c r="B1059" s="15"/>
      <c r="C1059" s="15"/>
      <c r="D1059" s="16"/>
    </row>
    <row r="1060" spans="1:4" x14ac:dyDescent="0.3">
      <c r="A1060" s="17"/>
      <c r="B1060" s="13"/>
      <c r="C1060" s="13"/>
      <c r="D1060" s="14"/>
    </row>
    <row r="1061" spans="1:4" x14ac:dyDescent="0.3">
      <c r="A1061" s="18"/>
      <c r="B1061" s="15"/>
      <c r="C1061" s="15"/>
      <c r="D1061" s="16"/>
    </row>
    <row r="1062" spans="1:4" x14ac:dyDescent="0.3">
      <c r="A1062" s="17"/>
      <c r="B1062" s="13"/>
      <c r="C1062" s="13"/>
      <c r="D1062" s="14"/>
    </row>
    <row r="1063" spans="1:4" x14ac:dyDescent="0.3">
      <c r="A1063" s="17"/>
      <c r="B1063" s="13"/>
      <c r="C1063" s="13"/>
      <c r="D1063" s="14"/>
    </row>
    <row r="1064" spans="1:4" x14ac:dyDescent="0.3">
      <c r="A1064" s="18"/>
      <c r="B1064" s="15"/>
      <c r="C1064" s="15"/>
      <c r="D1064" s="16"/>
    </row>
    <row r="1065" spans="1:4" x14ac:dyDescent="0.3">
      <c r="A1065" s="17"/>
      <c r="B1065" s="13"/>
      <c r="C1065" s="13"/>
      <c r="D1065" s="14"/>
    </row>
    <row r="1066" spans="1:4" x14ac:dyDescent="0.3">
      <c r="A1066" s="18"/>
      <c r="B1066" s="15"/>
      <c r="C1066" s="15"/>
      <c r="D1066" s="16"/>
    </row>
    <row r="1067" spans="1:4" x14ac:dyDescent="0.3">
      <c r="A1067" s="17"/>
      <c r="B1067" s="13"/>
      <c r="C1067" s="13"/>
      <c r="D1067" s="14"/>
    </row>
    <row r="1068" spans="1:4" x14ac:dyDescent="0.3">
      <c r="A1068" s="17"/>
      <c r="B1068" s="13"/>
      <c r="C1068" s="13"/>
      <c r="D1068" s="14"/>
    </row>
    <row r="1069" spans="1:4" x14ac:dyDescent="0.3">
      <c r="A1069" s="18"/>
      <c r="B1069" s="15"/>
      <c r="C1069" s="15"/>
      <c r="D1069" s="16"/>
    </row>
    <row r="1070" spans="1:4" x14ac:dyDescent="0.3">
      <c r="A1070" s="17"/>
      <c r="B1070" s="13"/>
      <c r="C1070" s="13"/>
      <c r="D1070" s="14"/>
    </row>
    <row r="1071" spans="1:4" x14ac:dyDescent="0.3">
      <c r="A1071" s="18"/>
      <c r="B1071" s="15"/>
      <c r="C1071" s="15"/>
      <c r="D1071" s="16"/>
    </row>
    <row r="1072" spans="1:4" x14ac:dyDescent="0.3">
      <c r="A1072" s="17"/>
      <c r="B1072" s="13"/>
      <c r="C1072" s="13"/>
      <c r="D1072" s="14"/>
    </row>
    <row r="1073" spans="1:4" x14ac:dyDescent="0.3">
      <c r="A1073" s="17"/>
      <c r="B1073" s="13"/>
      <c r="C1073" s="13"/>
      <c r="D1073" s="14"/>
    </row>
    <row r="1074" spans="1:4" x14ac:dyDescent="0.3">
      <c r="A1074" s="18"/>
      <c r="B1074" s="15"/>
      <c r="C1074" s="15"/>
      <c r="D1074" s="16"/>
    </row>
    <row r="1075" spans="1:4" x14ac:dyDescent="0.3">
      <c r="A1075" s="17"/>
      <c r="B1075" s="13"/>
      <c r="C1075" s="13"/>
      <c r="D1075" s="14"/>
    </row>
    <row r="1076" spans="1:4" x14ac:dyDescent="0.3">
      <c r="A1076" s="18"/>
      <c r="B1076" s="15"/>
      <c r="C1076" s="15"/>
      <c r="D1076" s="16"/>
    </row>
    <row r="1077" spans="1:4" x14ac:dyDescent="0.3">
      <c r="A1077" s="17"/>
      <c r="B1077" s="13"/>
      <c r="C1077" s="13"/>
      <c r="D1077" s="14"/>
    </row>
    <row r="1078" spans="1:4" x14ac:dyDescent="0.3">
      <c r="A1078" s="17"/>
      <c r="B1078" s="13"/>
      <c r="C1078" s="13"/>
      <c r="D1078" s="14"/>
    </row>
    <row r="1079" spans="1:4" x14ac:dyDescent="0.3">
      <c r="A1079" s="18"/>
      <c r="B1079" s="15"/>
      <c r="C1079" s="15"/>
      <c r="D1079" s="16"/>
    </row>
    <row r="1080" spans="1:4" x14ac:dyDescent="0.3">
      <c r="A1080" s="17"/>
      <c r="B1080" s="13"/>
      <c r="C1080" s="13"/>
      <c r="D1080" s="14"/>
    </row>
    <row r="1081" spans="1:4" x14ac:dyDescent="0.3">
      <c r="A1081" s="18"/>
      <c r="B1081" s="15"/>
      <c r="C1081" s="15"/>
      <c r="D1081" s="16"/>
    </row>
    <row r="1082" spans="1:4" x14ac:dyDescent="0.3">
      <c r="A1082" s="17"/>
      <c r="B1082" s="13"/>
      <c r="C1082" s="13"/>
      <c r="D1082" s="14"/>
    </row>
    <row r="1083" spans="1:4" x14ac:dyDescent="0.3">
      <c r="A1083" s="17"/>
      <c r="B1083" s="13"/>
      <c r="C1083" s="13"/>
      <c r="D1083" s="14"/>
    </row>
    <row r="1084" spans="1:4" x14ac:dyDescent="0.3">
      <c r="A1084" s="18"/>
      <c r="B1084" s="15"/>
      <c r="C1084" s="15"/>
      <c r="D1084" s="16"/>
    </row>
    <row r="1085" spans="1:4" x14ac:dyDescent="0.3">
      <c r="A1085" s="17"/>
      <c r="B1085" s="13"/>
      <c r="C1085" s="13"/>
      <c r="D1085" s="14"/>
    </row>
    <row r="1086" spans="1:4" x14ac:dyDescent="0.3">
      <c r="A1086" s="18"/>
      <c r="B1086" s="15"/>
      <c r="C1086" s="15"/>
      <c r="D1086" s="16"/>
    </row>
    <row r="1087" spans="1:4" x14ac:dyDescent="0.3">
      <c r="A1087" s="17"/>
      <c r="B1087" s="13"/>
      <c r="C1087" s="13"/>
      <c r="D1087" s="14"/>
    </row>
    <row r="1088" spans="1:4" x14ac:dyDescent="0.3">
      <c r="A1088" s="17"/>
      <c r="B1088" s="13"/>
      <c r="C1088" s="13"/>
      <c r="D1088" s="14"/>
    </row>
    <row r="1089" spans="1:4" x14ac:dyDescent="0.3">
      <c r="A1089" s="18"/>
      <c r="B1089" s="15"/>
      <c r="C1089" s="15"/>
      <c r="D1089" s="16"/>
    </row>
    <row r="1090" spans="1:4" x14ac:dyDescent="0.3">
      <c r="A1090" s="17"/>
      <c r="B1090" s="13"/>
      <c r="C1090" s="13"/>
      <c r="D1090" s="14"/>
    </row>
    <row r="1091" spans="1:4" x14ac:dyDescent="0.3">
      <c r="A1091" s="18"/>
      <c r="B1091" s="15"/>
      <c r="C1091" s="15"/>
      <c r="D1091" s="16"/>
    </row>
    <row r="1092" spans="1:4" x14ac:dyDescent="0.3">
      <c r="A1092" s="17"/>
      <c r="B1092" s="13"/>
      <c r="C1092" s="13"/>
      <c r="D1092" s="14"/>
    </row>
    <row r="1093" spans="1:4" x14ac:dyDescent="0.3">
      <c r="A1093" s="17"/>
      <c r="B1093" s="13"/>
      <c r="C1093" s="13"/>
      <c r="D1093" s="14"/>
    </row>
    <row r="1094" spans="1:4" x14ac:dyDescent="0.3">
      <c r="A1094" s="18"/>
      <c r="B1094" s="15"/>
      <c r="C1094" s="15"/>
      <c r="D1094" s="16"/>
    </row>
    <row r="1095" spans="1:4" x14ac:dyDescent="0.3">
      <c r="A1095" s="17"/>
      <c r="B1095" s="13"/>
      <c r="C1095" s="13"/>
      <c r="D1095" s="14"/>
    </row>
    <row r="1096" spans="1:4" x14ac:dyDescent="0.3">
      <c r="A1096" s="18"/>
      <c r="B1096" s="15"/>
      <c r="C1096" s="15"/>
      <c r="D1096" s="16"/>
    </row>
    <row r="1097" spans="1:4" x14ac:dyDescent="0.3">
      <c r="A1097" s="17"/>
      <c r="B1097" s="13"/>
      <c r="C1097" s="13"/>
      <c r="D1097" s="14"/>
    </row>
    <row r="1098" spans="1:4" x14ac:dyDescent="0.3">
      <c r="A1098" s="17"/>
      <c r="B1098" s="13"/>
      <c r="C1098" s="13"/>
      <c r="D1098" s="14"/>
    </row>
    <row r="1099" spans="1:4" x14ac:dyDescent="0.3">
      <c r="A1099" s="18"/>
      <c r="B1099" s="15"/>
      <c r="C1099" s="15"/>
      <c r="D1099" s="16"/>
    </row>
    <row r="1100" spans="1:4" x14ac:dyDescent="0.3">
      <c r="A1100" s="17"/>
      <c r="B1100" s="13"/>
      <c r="C1100" s="13"/>
      <c r="D1100" s="14"/>
    </row>
    <row r="1101" spans="1:4" x14ac:dyDescent="0.3">
      <c r="A1101" s="18"/>
      <c r="B1101" s="15"/>
      <c r="C1101" s="15"/>
      <c r="D1101" s="16"/>
    </row>
    <row r="1102" spans="1:4" x14ac:dyDescent="0.3">
      <c r="A1102" s="17"/>
      <c r="B1102" s="13"/>
      <c r="C1102" s="13"/>
      <c r="D1102" s="14"/>
    </row>
    <row r="1103" spans="1:4" x14ac:dyDescent="0.3">
      <c r="A1103" s="17"/>
      <c r="B1103" s="13"/>
      <c r="C1103" s="13"/>
      <c r="D1103" s="14"/>
    </row>
    <row r="1104" spans="1:4" x14ac:dyDescent="0.3">
      <c r="A1104" s="18"/>
      <c r="B1104" s="15"/>
      <c r="C1104" s="15"/>
      <c r="D1104" s="16"/>
    </row>
    <row r="1105" spans="1:4" x14ac:dyDescent="0.3">
      <c r="A1105" s="17"/>
      <c r="B1105" s="13"/>
      <c r="C1105" s="13"/>
      <c r="D1105" s="14"/>
    </row>
    <row r="1106" spans="1:4" x14ac:dyDescent="0.3">
      <c r="A1106" s="18"/>
      <c r="B1106" s="15"/>
      <c r="C1106" s="15"/>
      <c r="D1106" s="16"/>
    </row>
    <row r="1107" spans="1:4" x14ac:dyDescent="0.3">
      <c r="A1107" s="17"/>
      <c r="B1107" s="13"/>
      <c r="C1107" s="13"/>
      <c r="D1107" s="14"/>
    </row>
    <row r="1108" spans="1:4" x14ac:dyDescent="0.3">
      <c r="A1108" s="17"/>
      <c r="B1108" s="13"/>
      <c r="C1108" s="13"/>
      <c r="D1108" s="14"/>
    </row>
    <row r="1109" spans="1:4" x14ac:dyDescent="0.3">
      <c r="A1109" s="18"/>
      <c r="B1109" s="15"/>
      <c r="C1109" s="15"/>
      <c r="D1109" s="16"/>
    </row>
    <row r="1110" spans="1:4" x14ac:dyDescent="0.3">
      <c r="A1110" s="17"/>
      <c r="B1110" s="13"/>
      <c r="C1110" s="13"/>
      <c r="D1110" s="14"/>
    </row>
    <row r="1111" spans="1:4" x14ac:dyDescent="0.3">
      <c r="A1111" s="18"/>
      <c r="B1111" s="15"/>
      <c r="C1111" s="15"/>
      <c r="D1111" s="16"/>
    </row>
    <row r="1112" spans="1:4" x14ac:dyDescent="0.3">
      <c r="A1112" s="17"/>
      <c r="B1112" s="13"/>
      <c r="C1112" s="13"/>
      <c r="D1112" s="14"/>
    </row>
    <row r="1113" spans="1:4" x14ac:dyDescent="0.3">
      <c r="A1113" s="17"/>
      <c r="B1113" s="13"/>
      <c r="C1113" s="13"/>
      <c r="D1113" s="14"/>
    </row>
    <row r="1114" spans="1:4" x14ac:dyDescent="0.3">
      <c r="A1114" s="18"/>
      <c r="B1114" s="15"/>
      <c r="C1114" s="15"/>
      <c r="D1114" s="16"/>
    </row>
    <row r="1115" spans="1:4" x14ac:dyDescent="0.3">
      <c r="A1115" s="17"/>
      <c r="B1115" s="13"/>
      <c r="C1115" s="13"/>
      <c r="D1115" s="14"/>
    </row>
    <row r="1116" spans="1:4" x14ac:dyDescent="0.3">
      <c r="A1116" s="18"/>
      <c r="B1116" s="15"/>
      <c r="C1116" s="15"/>
      <c r="D1116" s="16"/>
    </row>
    <row r="1117" spans="1:4" x14ac:dyDescent="0.3">
      <c r="A1117" s="17"/>
      <c r="B1117" s="13"/>
      <c r="C1117" s="13"/>
      <c r="D1117" s="14"/>
    </row>
    <row r="1118" spans="1:4" x14ac:dyDescent="0.3">
      <c r="A1118" s="17"/>
      <c r="B1118" s="13"/>
      <c r="C1118" s="13"/>
      <c r="D1118" s="14"/>
    </row>
    <row r="1119" spans="1:4" x14ac:dyDescent="0.3">
      <c r="A1119" s="18"/>
      <c r="B1119" s="15"/>
      <c r="C1119" s="15"/>
      <c r="D1119" s="16"/>
    </row>
    <row r="1120" spans="1:4" x14ac:dyDescent="0.3">
      <c r="A1120" s="17"/>
      <c r="B1120" s="13"/>
      <c r="C1120" s="13"/>
      <c r="D1120" s="14"/>
    </row>
    <row r="1121" spans="1:4" x14ac:dyDescent="0.3">
      <c r="A1121" s="18"/>
      <c r="B1121" s="15"/>
      <c r="C1121" s="15"/>
      <c r="D1121" s="16"/>
    </row>
    <row r="1122" spans="1:4" x14ac:dyDescent="0.3">
      <c r="A1122" s="17"/>
      <c r="B1122" s="13"/>
      <c r="C1122" s="13"/>
      <c r="D1122" s="14"/>
    </row>
    <row r="1123" spans="1:4" x14ac:dyDescent="0.3">
      <c r="A1123" s="17"/>
      <c r="B1123" s="13"/>
      <c r="C1123" s="13"/>
      <c r="D1123" s="14"/>
    </row>
    <row r="1124" spans="1:4" x14ac:dyDescent="0.3">
      <c r="A1124" s="18"/>
      <c r="B1124" s="15"/>
      <c r="C1124" s="15"/>
      <c r="D1124" s="16"/>
    </row>
    <row r="1125" spans="1:4" x14ac:dyDescent="0.3">
      <c r="A1125" s="17"/>
      <c r="B1125" s="13"/>
      <c r="C1125" s="13"/>
      <c r="D1125" s="14"/>
    </row>
    <row r="1126" spans="1:4" x14ac:dyDescent="0.3">
      <c r="A1126" s="18"/>
      <c r="B1126" s="15"/>
      <c r="C1126" s="15"/>
      <c r="D1126" s="16"/>
    </row>
    <row r="1127" spans="1:4" x14ac:dyDescent="0.3">
      <c r="A1127" s="17"/>
      <c r="B1127" s="13"/>
      <c r="C1127" s="13"/>
      <c r="D1127" s="14"/>
    </row>
    <row r="1128" spans="1:4" x14ac:dyDescent="0.3">
      <c r="A1128" s="17"/>
      <c r="B1128" s="13"/>
      <c r="C1128" s="13"/>
      <c r="D1128" s="14"/>
    </row>
    <row r="1129" spans="1:4" x14ac:dyDescent="0.3">
      <c r="A1129" s="18"/>
      <c r="B1129" s="15"/>
      <c r="C1129" s="15"/>
      <c r="D1129" s="16"/>
    </row>
    <row r="1130" spans="1:4" x14ac:dyDescent="0.3">
      <c r="A1130" s="17"/>
      <c r="B1130" s="13"/>
      <c r="C1130" s="13"/>
      <c r="D1130" s="14"/>
    </row>
    <row r="1131" spans="1:4" x14ac:dyDescent="0.3">
      <c r="A1131" s="18"/>
      <c r="B1131" s="15"/>
      <c r="C1131" s="15"/>
      <c r="D1131" s="16"/>
    </row>
    <row r="1132" spans="1:4" x14ac:dyDescent="0.3">
      <c r="A1132" s="17"/>
      <c r="B1132" s="13"/>
      <c r="C1132" s="13"/>
      <c r="D1132" s="14"/>
    </row>
    <row r="1133" spans="1:4" x14ac:dyDescent="0.3">
      <c r="A1133" s="17"/>
      <c r="B1133" s="13"/>
      <c r="C1133" s="13"/>
      <c r="D1133" s="14"/>
    </row>
    <row r="1134" spans="1:4" x14ac:dyDescent="0.3">
      <c r="A1134" s="18"/>
      <c r="B1134" s="15"/>
      <c r="C1134" s="15"/>
      <c r="D1134" s="16"/>
    </row>
    <row r="1135" spans="1:4" x14ac:dyDescent="0.3">
      <c r="A1135" s="17"/>
      <c r="B1135" s="13"/>
      <c r="C1135" s="13"/>
      <c r="D1135" s="14"/>
    </row>
    <row r="1136" spans="1:4" x14ac:dyDescent="0.3">
      <c r="A1136" s="18"/>
      <c r="B1136" s="15"/>
      <c r="C1136" s="15"/>
      <c r="D1136" s="16"/>
    </row>
    <row r="1137" spans="1:4" x14ac:dyDescent="0.3">
      <c r="A1137" s="17"/>
      <c r="B1137" s="13"/>
      <c r="C1137" s="13"/>
      <c r="D1137" s="14"/>
    </row>
    <row r="1138" spans="1:4" x14ac:dyDescent="0.3">
      <c r="A1138" s="17"/>
      <c r="B1138" s="13"/>
      <c r="C1138" s="13"/>
      <c r="D1138" s="14"/>
    </row>
    <row r="1139" spans="1:4" x14ac:dyDescent="0.3">
      <c r="A1139" s="18"/>
      <c r="B1139" s="15"/>
      <c r="C1139" s="15"/>
      <c r="D1139" s="16"/>
    </row>
    <row r="1140" spans="1:4" x14ac:dyDescent="0.3">
      <c r="A1140" s="17"/>
      <c r="B1140" s="13"/>
      <c r="C1140" s="13"/>
      <c r="D1140" s="14"/>
    </row>
    <row r="1141" spans="1:4" x14ac:dyDescent="0.3">
      <c r="A1141" s="18"/>
      <c r="B1141" s="15"/>
      <c r="C1141" s="15"/>
      <c r="D1141" s="16"/>
    </row>
    <row r="1142" spans="1:4" x14ac:dyDescent="0.3">
      <c r="A1142" s="17"/>
      <c r="B1142" s="13"/>
      <c r="C1142" s="13"/>
      <c r="D1142" s="14"/>
    </row>
    <row r="1143" spans="1:4" x14ac:dyDescent="0.3">
      <c r="A1143" s="17"/>
      <c r="B1143" s="13"/>
      <c r="C1143" s="13"/>
      <c r="D1143" s="14"/>
    </row>
    <row r="1144" spans="1:4" x14ac:dyDescent="0.3">
      <c r="A1144" s="18"/>
      <c r="B1144" s="15"/>
      <c r="C1144" s="15"/>
      <c r="D1144" s="16"/>
    </row>
    <row r="1145" spans="1:4" x14ac:dyDescent="0.3">
      <c r="A1145" s="17"/>
      <c r="B1145" s="13"/>
      <c r="C1145" s="13"/>
      <c r="D1145" s="14"/>
    </row>
    <row r="1146" spans="1:4" x14ac:dyDescent="0.3">
      <c r="A1146" s="18"/>
      <c r="B1146" s="15"/>
      <c r="C1146" s="15"/>
      <c r="D1146" s="16"/>
    </row>
    <row r="1147" spans="1:4" x14ac:dyDescent="0.3">
      <c r="A1147" s="17"/>
      <c r="B1147" s="13"/>
      <c r="C1147" s="13"/>
      <c r="D1147" s="14"/>
    </row>
    <row r="1148" spans="1:4" x14ac:dyDescent="0.3">
      <c r="A1148" s="17"/>
      <c r="B1148" s="13"/>
      <c r="C1148" s="13"/>
      <c r="D1148" s="14"/>
    </row>
    <row r="1149" spans="1:4" x14ac:dyDescent="0.3">
      <c r="A1149" s="18"/>
      <c r="B1149" s="15"/>
      <c r="C1149" s="15"/>
      <c r="D1149" s="16"/>
    </row>
    <row r="1150" spans="1:4" x14ac:dyDescent="0.3">
      <c r="A1150" s="17"/>
      <c r="B1150" s="13"/>
      <c r="C1150" s="13"/>
      <c r="D1150" s="14"/>
    </row>
    <row r="1151" spans="1:4" x14ac:dyDescent="0.3">
      <c r="A1151" s="18"/>
      <c r="B1151" s="15"/>
      <c r="C1151" s="15"/>
      <c r="D1151" s="16"/>
    </row>
    <row r="1152" spans="1:4" x14ac:dyDescent="0.3">
      <c r="A1152" s="17"/>
      <c r="B1152" s="13"/>
      <c r="C1152" s="13"/>
      <c r="D1152" s="14"/>
    </row>
    <row r="1153" spans="1:4" x14ac:dyDescent="0.3">
      <c r="A1153" s="17"/>
      <c r="B1153" s="13"/>
      <c r="C1153" s="13"/>
      <c r="D1153" s="14"/>
    </row>
    <row r="1154" spans="1:4" x14ac:dyDescent="0.3">
      <c r="A1154" s="18"/>
      <c r="B1154" s="15"/>
      <c r="C1154" s="15"/>
      <c r="D1154" s="16"/>
    </row>
    <row r="1155" spans="1:4" x14ac:dyDescent="0.3">
      <c r="A1155" s="17"/>
      <c r="B1155" s="13"/>
      <c r="C1155" s="13"/>
      <c r="D1155" s="14"/>
    </row>
    <row r="1156" spans="1:4" x14ac:dyDescent="0.3">
      <c r="A1156" s="18"/>
      <c r="B1156" s="15"/>
      <c r="C1156" s="15"/>
      <c r="D1156" s="16"/>
    </row>
    <row r="1157" spans="1:4" x14ac:dyDescent="0.3">
      <c r="A1157" s="17"/>
      <c r="B1157" s="13"/>
      <c r="C1157" s="13"/>
      <c r="D1157" s="14"/>
    </row>
    <row r="1158" spans="1:4" x14ac:dyDescent="0.3">
      <c r="A1158" s="17"/>
      <c r="B1158" s="13"/>
      <c r="C1158" s="13"/>
      <c r="D1158" s="14"/>
    </row>
    <row r="1159" spans="1:4" x14ac:dyDescent="0.3">
      <c r="A1159" s="18"/>
      <c r="B1159" s="15"/>
      <c r="C1159" s="15"/>
      <c r="D1159" s="16"/>
    </row>
    <row r="1160" spans="1:4" x14ac:dyDescent="0.3">
      <c r="A1160" s="17"/>
      <c r="B1160" s="13"/>
      <c r="C1160" s="13"/>
      <c r="D1160" s="14"/>
    </row>
    <row r="1161" spans="1:4" x14ac:dyDescent="0.3">
      <c r="A1161" s="18"/>
      <c r="B1161" s="15"/>
      <c r="C1161" s="15"/>
      <c r="D1161" s="16"/>
    </row>
    <row r="1162" spans="1:4" x14ac:dyDescent="0.3">
      <c r="A1162" s="17"/>
      <c r="B1162" s="13"/>
      <c r="C1162" s="13"/>
      <c r="D1162" s="14"/>
    </row>
    <row r="1163" spans="1:4" x14ac:dyDescent="0.3">
      <c r="A1163" s="17"/>
      <c r="B1163" s="13"/>
      <c r="C1163" s="13"/>
      <c r="D1163" s="14"/>
    </row>
    <row r="1164" spans="1:4" x14ac:dyDescent="0.3">
      <c r="A1164" s="18"/>
      <c r="B1164" s="15"/>
      <c r="C1164" s="15"/>
      <c r="D1164" s="16"/>
    </row>
    <row r="1165" spans="1:4" x14ac:dyDescent="0.3">
      <c r="A1165" s="17"/>
      <c r="B1165" s="13"/>
      <c r="C1165" s="13"/>
      <c r="D1165" s="14"/>
    </row>
    <row r="1166" spans="1:4" x14ac:dyDescent="0.3">
      <c r="A1166" s="18"/>
      <c r="B1166" s="15"/>
      <c r="C1166" s="15"/>
      <c r="D1166" s="16"/>
    </row>
    <row r="1167" spans="1:4" x14ac:dyDescent="0.3">
      <c r="A1167" s="17"/>
      <c r="B1167" s="13"/>
      <c r="C1167" s="13"/>
      <c r="D1167" s="14"/>
    </row>
    <row r="1168" spans="1:4" x14ac:dyDescent="0.3">
      <c r="A1168" s="17"/>
      <c r="B1168" s="13"/>
      <c r="C1168" s="13"/>
      <c r="D1168" s="14"/>
    </row>
    <row r="1169" spans="1:4" x14ac:dyDescent="0.3">
      <c r="A1169" s="18"/>
      <c r="B1169" s="15"/>
      <c r="C1169" s="15"/>
      <c r="D1169" s="16"/>
    </row>
    <row r="1170" spans="1:4" x14ac:dyDescent="0.3">
      <c r="A1170" s="17"/>
      <c r="B1170" s="13"/>
      <c r="C1170" s="13"/>
      <c r="D1170" s="14"/>
    </row>
    <row r="1171" spans="1:4" x14ac:dyDescent="0.3">
      <c r="A1171" s="18"/>
      <c r="B1171" s="15"/>
      <c r="C1171" s="15"/>
      <c r="D1171" s="16"/>
    </row>
    <row r="1172" spans="1:4" x14ac:dyDescent="0.3">
      <c r="A1172" s="17"/>
      <c r="B1172" s="13"/>
      <c r="C1172" s="13"/>
      <c r="D1172" s="14"/>
    </row>
    <row r="1173" spans="1:4" x14ac:dyDescent="0.3">
      <c r="A1173" s="17"/>
      <c r="B1173" s="13"/>
      <c r="C1173" s="13"/>
      <c r="D1173" s="14"/>
    </row>
    <row r="1174" spans="1:4" x14ac:dyDescent="0.3">
      <c r="A1174" s="18"/>
      <c r="B1174" s="15"/>
      <c r="C1174" s="15"/>
      <c r="D1174" s="16"/>
    </row>
    <row r="1175" spans="1:4" x14ac:dyDescent="0.3">
      <c r="A1175" s="17"/>
      <c r="B1175" s="13"/>
      <c r="C1175" s="13"/>
      <c r="D1175" s="14"/>
    </row>
    <row r="1176" spans="1:4" x14ac:dyDescent="0.3">
      <c r="A1176" s="18"/>
      <c r="B1176" s="15"/>
      <c r="C1176" s="15"/>
      <c r="D1176" s="16"/>
    </row>
    <row r="1177" spans="1:4" x14ac:dyDescent="0.3">
      <c r="A1177" s="17"/>
      <c r="B1177" s="13"/>
      <c r="C1177" s="13"/>
      <c r="D1177" s="14"/>
    </row>
    <row r="1178" spans="1:4" x14ac:dyDescent="0.3">
      <c r="A1178" s="17"/>
      <c r="B1178" s="13"/>
      <c r="C1178" s="13"/>
      <c r="D1178" s="14"/>
    </row>
    <row r="1179" spans="1:4" x14ac:dyDescent="0.3">
      <c r="A1179" s="18"/>
      <c r="B1179" s="15"/>
      <c r="C1179" s="15"/>
      <c r="D1179" s="16"/>
    </row>
    <row r="1180" spans="1:4" x14ac:dyDescent="0.3">
      <c r="A1180" s="17"/>
      <c r="B1180" s="13"/>
      <c r="C1180" s="13"/>
      <c r="D1180" s="14"/>
    </row>
    <row r="1181" spans="1:4" x14ac:dyDescent="0.3">
      <c r="A1181" s="18"/>
      <c r="B1181" s="15"/>
      <c r="C1181" s="15"/>
      <c r="D1181" s="16"/>
    </row>
    <row r="1182" spans="1:4" x14ac:dyDescent="0.3">
      <c r="A1182" s="17"/>
      <c r="B1182" s="13"/>
      <c r="C1182" s="13"/>
      <c r="D1182" s="14"/>
    </row>
    <row r="1183" spans="1:4" x14ac:dyDescent="0.3">
      <c r="A1183" s="17"/>
      <c r="B1183" s="13"/>
      <c r="C1183" s="13"/>
      <c r="D1183" s="14"/>
    </row>
    <row r="1184" spans="1:4" x14ac:dyDescent="0.3">
      <c r="A1184" s="18"/>
      <c r="B1184" s="15"/>
      <c r="C1184" s="15"/>
      <c r="D1184" s="16"/>
    </row>
    <row r="1185" spans="1:4" x14ac:dyDescent="0.3">
      <c r="A1185" s="17"/>
      <c r="B1185" s="13"/>
      <c r="C1185" s="13"/>
      <c r="D1185" s="14"/>
    </row>
    <row r="1186" spans="1:4" x14ac:dyDescent="0.3">
      <c r="A1186" s="18"/>
      <c r="B1186" s="15"/>
      <c r="C1186" s="15"/>
      <c r="D1186" s="16"/>
    </row>
    <row r="1187" spans="1:4" x14ac:dyDescent="0.3">
      <c r="A1187" s="17"/>
      <c r="B1187" s="13"/>
      <c r="C1187" s="13"/>
      <c r="D1187" s="14"/>
    </row>
    <row r="1188" spans="1:4" x14ac:dyDescent="0.3">
      <c r="A1188" s="17"/>
      <c r="B1188" s="13"/>
      <c r="C1188" s="13"/>
      <c r="D1188" s="14"/>
    </row>
    <row r="1189" spans="1:4" x14ac:dyDescent="0.3">
      <c r="A1189" s="18"/>
      <c r="B1189" s="15"/>
      <c r="C1189" s="15"/>
      <c r="D1189" s="16"/>
    </row>
    <row r="1190" spans="1:4" x14ac:dyDescent="0.3">
      <c r="A1190" s="17"/>
      <c r="B1190" s="13"/>
      <c r="C1190" s="13"/>
      <c r="D1190" s="14"/>
    </row>
    <row r="1191" spans="1:4" x14ac:dyDescent="0.3">
      <c r="A1191" s="18"/>
      <c r="B1191" s="15"/>
      <c r="C1191" s="15"/>
      <c r="D1191" s="16"/>
    </row>
    <row r="1192" spans="1:4" x14ac:dyDescent="0.3">
      <c r="A1192" s="17"/>
      <c r="B1192" s="13"/>
      <c r="C1192" s="13"/>
      <c r="D1192" s="14"/>
    </row>
    <row r="1193" spans="1:4" x14ac:dyDescent="0.3">
      <c r="A1193" s="17"/>
      <c r="B1193" s="13"/>
      <c r="C1193" s="13"/>
      <c r="D1193" s="14"/>
    </row>
    <row r="1194" spans="1:4" x14ac:dyDescent="0.3">
      <c r="A1194" s="18"/>
      <c r="B1194" s="15"/>
      <c r="C1194" s="15"/>
      <c r="D1194" s="16"/>
    </row>
    <row r="1195" spans="1:4" x14ac:dyDescent="0.3">
      <c r="A1195" s="17"/>
      <c r="B1195" s="13"/>
      <c r="C1195" s="13"/>
      <c r="D1195" s="14"/>
    </row>
    <row r="1196" spans="1:4" x14ac:dyDescent="0.3">
      <c r="A1196" s="18"/>
      <c r="B1196" s="15"/>
      <c r="C1196" s="15"/>
      <c r="D1196" s="16"/>
    </row>
    <row r="1197" spans="1:4" x14ac:dyDescent="0.3">
      <c r="A1197" s="17"/>
      <c r="B1197" s="13"/>
      <c r="C1197" s="13"/>
      <c r="D1197" s="14"/>
    </row>
    <row r="1198" spans="1:4" x14ac:dyDescent="0.3">
      <c r="A1198" s="17"/>
      <c r="B1198" s="13"/>
      <c r="C1198" s="13"/>
      <c r="D1198" s="14"/>
    </row>
    <row r="1199" spans="1:4" x14ac:dyDescent="0.3">
      <c r="A1199" s="18"/>
      <c r="B1199" s="15"/>
      <c r="C1199" s="15"/>
      <c r="D1199" s="16"/>
    </row>
    <row r="1200" spans="1:4" x14ac:dyDescent="0.3">
      <c r="A1200" s="17"/>
      <c r="B1200" s="13"/>
      <c r="C1200" s="13"/>
      <c r="D1200" s="14"/>
    </row>
    <row r="1201" spans="1:4" x14ac:dyDescent="0.3">
      <c r="A1201" s="18"/>
      <c r="B1201" s="15"/>
      <c r="C1201" s="15"/>
      <c r="D1201" s="16"/>
    </row>
    <row r="1202" spans="1:4" x14ac:dyDescent="0.3">
      <c r="A1202" s="17"/>
      <c r="B1202" s="13"/>
      <c r="C1202" s="13"/>
      <c r="D1202" s="14"/>
    </row>
    <row r="1203" spans="1:4" x14ac:dyDescent="0.3">
      <c r="A1203" s="17"/>
      <c r="B1203" s="13"/>
      <c r="C1203" s="13"/>
      <c r="D1203" s="14"/>
    </row>
    <row r="1204" spans="1:4" x14ac:dyDescent="0.3">
      <c r="A1204" s="18"/>
      <c r="B1204" s="15"/>
      <c r="C1204" s="15"/>
      <c r="D1204" s="16"/>
    </row>
    <row r="1205" spans="1:4" x14ac:dyDescent="0.3">
      <c r="A1205" s="17"/>
      <c r="B1205" s="13"/>
      <c r="C1205" s="13"/>
      <c r="D1205" s="14"/>
    </row>
    <row r="1206" spans="1:4" x14ac:dyDescent="0.3">
      <c r="A1206" s="18"/>
      <c r="B1206" s="15"/>
      <c r="C1206" s="15"/>
      <c r="D1206" s="16"/>
    </row>
    <row r="1207" spans="1:4" x14ac:dyDescent="0.3">
      <c r="A1207" s="17"/>
      <c r="B1207" s="13"/>
      <c r="C1207" s="13"/>
      <c r="D1207" s="14"/>
    </row>
    <row r="1208" spans="1:4" x14ac:dyDescent="0.3">
      <c r="A1208" s="17"/>
      <c r="B1208" s="13"/>
      <c r="C1208" s="13"/>
      <c r="D1208" s="14"/>
    </row>
    <row r="1209" spans="1:4" x14ac:dyDescent="0.3">
      <c r="A1209" s="18"/>
      <c r="B1209" s="15"/>
      <c r="C1209" s="15"/>
      <c r="D1209" s="16"/>
    </row>
    <row r="1210" spans="1:4" x14ac:dyDescent="0.3">
      <c r="A1210" s="17"/>
      <c r="B1210" s="13"/>
      <c r="C1210" s="13"/>
      <c r="D1210" s="14"/>
    </row>
    <row r="1211" spans="1:4" x14ac:dyDescent="0.3">
      <c r="A1211" s="18"/>
      <c r="B1211" s="15"/>
      <c r="C1211" s="15"/>
      <c r="D1211" s="16"/>
    </row>
    <row r="1212" spans="1:4" x14ac:dyDescent="0.3">
      <c r="A1212" s="17"/>
      <c r="B1212" s="13"/>
      <c r="C1212" s="13"/>
      <c r="D1212" s="14"/>
    </row>
    <row r="1213" spans="1:4" x14ac:dyDescent="0.3">
      <c r="A1213" s="17"/>
      <c r="B1213" s="13"/>
      <c r="C1213" s="13"/>
      <c r="D1213" s="14"/>
    </row>
    <row r="1214" spans="1:4" x14ac:dyDescent="0.3">
      <c r="A1214" s="18"/>
      <c r="B1214" s="15"/>
      <c r="C1214" s="15"/>
      <c r="D1214" s="16"/>
    </row>
    <row r="1215" spans="1:4" x14ac:dyDescent="0.3">
      <c r="A1215" s="17"/>
      <c r="B1215" s="13"/>
      <c r="C1215" s="13"/>
      <c r="D1215" s="14"/>
    </row>
    <row r="1216" spans="1:4" x14ac:dyDescent="0.3">
      <c r="A1216" s="18"/>
      <c r="B1216" s="15"/>
      <c r="C1216" s="15"/>
      <c r="D1216" s="16"/>
    </row>
    <row r="1217" spans="1:4" x14ac:dyDescent="0.3">
      <c r="A1217" s="17"/>
      <c r="B1217" s="13"/>
      <c r="C1217" s="13"/>
      <c r="D1217" s="14"/>
    </row>
    <row r="1218" spans="1:4" x14ac:dyDescent="0.3">
      <c r="A1218" s="17"/>
      <c r="B1218" s="13"/>
      <c r="C1218" s="13"/>
      <c r="D1218" s="14"/>
    </row>
    <row r="1219" spans="1:4" x14ac:dyDescent="0.3">
      <c r="A1219" s="18"/>
      <c r="B1219" s="15"/>
      <c r="C1219" s="15"/>
      <c r="D1219" s="16"/>
    </row>
    <row r="1220" spans="1:4" x14ac:dyDescent="0.3">
      <c r="A1220" s="17"/>
      <c r="B1220" s="13"/>
      <c r="C1220" s="13"/>
      <c r="D1220" s="14"/>
    </row>
    <row r="1221" spans="1:4" x14ac:dyDescent="0.3">
      <c r="A1221" s="18"/>
      <c r="B1221" s="15"/>
      <c r="C1221" s="15"/>
      <c r="D1221" s="16"/>
    </row>
    <row r="1222" spans="1:4" x14ac:dyDescent="0.3">
      <c r="A1222" s="17"/>
      <c r="B1222" s="13"/>
      <c r="C1222" s="13"/>
      <c r="D1222" s="14"/>
    </row>
    <row r="1223" spans="1:4" x14ac:dyDescent="0.3">
      <c r="A1223" s="17"/>
      <c r="B1223" s="13"/>
      <c r="C1223" s="13"/>
      <c r="D1223" s="14"/>
    </row>
    <row r="1224" spans="1:4" x14ac:dyDescent="0.3">
      <c r="A1224" s="18"/>
      <c r="B1224" s="15"/>
      <c r="C1224" s="15"/>
      <c r="D1224" s="16"/>
    </row>
    <row r="1225" spans="1:4" x14ac:dyDescent="0.3">
      <c r="A1225" s="17"/>
      <c r="B1225" s="13"/>
      <c r="C1225" s="13"/>
      <c r="D1225" s="14"/>
    </row>
    <row r="1226" spans="1:4" x14ac:dyDescent="0.3">
      <c r="A1226" s="18"/>
      <c r="B1226" s="15"/>
      <c r="C1226" s="15"/>
      <c r="D1226" s="16"/>
    </row>
    <row r="1227" spans="1:4" x14ac:dyDescent="0.3">
      <c r="A1227" s="17"/>
      <c r="B1227" s="13"/>
      <c r="C1227" s="13"/>
      <c r="D1227" s="14"/>
    </row>
    <row r="1228" spans="1:4" x14ac:dyDescent="0.3">
      <c r="A1228" s="17"/>
      <c r="B1228" s="13"/>
      <c r="C1228" s="13"/>
      <c r="D1228" s="14"/>
    </row>
    <row r="1229" spans="1:4" x14ac:dyDescent="0.3">
      <c r="A1229" s="18"/>
      <c r="B1229" s="15"/>
      <c r="C1229" s="15"/>
      <c r="D1229" s="16"/>
    </row>
    <row r="1230" spans="1:4" x14ac:dyDescent="0.3">
      <c r="A1230" s="17"/>
      <c r="B1230" s="13"/>
      <c r="C1230" s="13"/>
      <c r="D1230" s="14"/>
    </row>
    <row r="1231" spans="1:4" x14ac:dyDescent="0.3">
      <c r="A1231" s="18"/>
      <c r="B1231" s="15"/>
      <c r="C1231" s="15"/>
      <c r="D1231" s="16"/>
    </row>
    <row r="1232" spans="1:4" x14ac:dyDescent="0.3">
      <c r="A1232" s="17"/>
      <c r="B1232" s="13"/>
      <c r="C1232" s="13"/>
      <c r="D1232" s="14"/>
    </row>
    <row r="1233" spans="1:4" x14ac:dyDescent="0.3">
      <c r="A1233" s="17"/>
      <c r="B1233" s="13"/>
      <c r="C1233" s="13"/>
      <c r="D1233" s="14"/>
    </row>
    <row r="1234" spans="1:4" x14ac:dyDescent="0.3">
      <c r="A1234" s="18"/>
      <c r="B1234" s="15"/>
      <c r="C1234" s="15"/>
      <c r="D1234" s="16"/>
    </row>
    <row r="1235" spans="1:4" x14ac:dyDescent="0.3">
      <c r="A1235" s="17"/>
      <c r="B1235" s="13"/>
      <c r="C1235" s="13"/>
      <c r="D1235" s="14"/>
    </row>
    <row r="1236" spans="1:4" x14ac:dyDescent="0.3">
      <c r="A1236" s="18"/>
      <c r="B1236" s="15"/>
      <c r="C1236" s="15"/>
      <c r="D1236" s="16"/>
    </row>
    <row r="1237" spans="1:4" x14ac:dyDescent="0.3">
      <c r="A1237" s="17"/>
      <c r="B1237" s="13"/>
      <c r="C1237" s="13"/>
      <c r="D1237" s="14"/>
    </row>
    <row r="1238" spans="1:4" x14ac:dyDescent="0.3">
      <c r="A1238" s="17"/>
      <c r="B1238" s="13"/>
      <c r="C1238" s="13"/>
      <c r="D1238" s="14"/>
    </row>
    <row r="1239" spans="1:4" x14ac:dyDescent="0.3">
      <c r="A1239" s="18"/>
      <c r="B1239" s="15"/>
      <c r="C1239" s="15"/>
      <c r="D1239" s="16"/>
    </row>
    <row r="1240" spans="1:4" x14ac:dyDescent="0.3">
      <c r="A1240" s="17"/>
      <c r="B1240" s="13"/>
      <c r="C1240" s="13"/>
      <c r="D1240" s="14"/>
    </row>
    <row r="1241" spans="1:4" x14ac:dyDescent="0.3">
      <c r="A1241" s="18"/>
      <c r="B1241" s="15"/>
      <c r="C1241" s="15"/>
      <c r="D1241" s="16"/>
    </row>
    <row r="1242" spans="1:4" x14ac:dyDescent="0.3">
      <c r="A1242" s="17"/>
      <c r="B1242" s="13"/>
      <c r="C1242" s="13"/>
      <c r="D1242" s="14"/>
    </row>
    <row r="1243" spans="1:4" x14ac:dyDescent="0.3">
      <c r="A1243" s="17"/>
      <c r="B1243" s="13"/>
      <c r="C1243" s="13"/>
      <c r="D1243" s="14"/>
    </row>
    <row r="1244" spans="1:4" x14ac:dyDescent="0.3">
      <c r="A1244" s="18"/>
      <c r="B1244" s="15"/>
      <c r="C1244" s="15"/>
      <c r="D1244" s="16"/>
    </row>
    <row r="1245" spans="1:4" x14ac:dyDescent="0.3">
      <c r="A1245" s="17"/>
      <c r="B1245" s="13"/>
      <c r="C1245" s="13"/>
      <c r="D1245" s="14"/>
    </row>
    <row r="1246" spans="1:4" x14ac:dyDescent="0.3">
      <c r="A1246" s="18"/>
      <c r="B1246" s="15"/>
      <c r="C1246" s="15"/>
      <c r="D1246" s="16"/>
    </row>
    <row r="1247" spans="1:4" x14ac:dyDescent="0.3">
      <c r="A1247" s="17"/>
      <c r="B1247" s="13"/>
      <c r="C1247" s="13"/>
      <c r="D1247" s="14"/>
    </row>
    <row r="1248" spans="1:4" x14ac:dyDescent="0.3">
      <c r="A1248" s="17"/>
      <c r="B1248" s="13"/>
      <c r="C1248" s="13"/>
      <c r="D1248" s="14"/>
    </row>
    <row r="1249" spans="1:4" x14ac:dyDescent="0.3">
      <c r="A1249" s="18"/>
      <c r="B1249" s="15"/>
      <c r="C1249" s="15"/>
      <c r="D1249" s="16"/>
    </row>
    <row r="1250" spans="1:4" x14ac:dyDescent="0.3">
      <c r="A1250" s="17"/>
      <c r="B1250" s="13"/>
      <c r="C1250" s="13"/>
      <c r="D1250" s="14"/>
    </row>
    <row r="1251" spans="1:4" x14ac:dyDescent="0.3">
      <c r="A1251" s="18"/>
      <c r="B1251" s="15"/>
      <c r="C1251" s="15"/>
      <c r="D1251" s="16"/>
    </row>
    <row r="1252" spans="1:4" x14ac:dyDescent="0.3">
      <c r="A1252" s="17"/>
      <c r="B1252" s="13"/>
      <c r="C1252" s="13"/>
      <c r="D1252" s="14"/>
    </row>
    <row r="1253" spans="1:4" x14ac:dyDescent="0.3">
      <c r="A1253" s="17"/>
      <c r="B1253" s="13"/>
      <c r="C1253" s="13"/>
      <c r="D1253" s="14"/>
    </row>
    <row r="1254" spans="1:4" x14ac:dyDescent="0.3">
      <c r="A1254" s="18"/>
      <c r="B1254" s="15"/>
      <c r="C1254" s="15"/>
      <c r="D1254" s="16"/>
    </row>
    <row r="1255" spans="1:4" x14ac:dyDescent="0.3">
      <c r="A1255" s="17"/>
      <c r="B1255" s="13"/>
      <c r="C1255" s="13"/>
      <c r="D1255" s="14"/>
    </row>
    <row r="1256" spans="1:4" x14ac:dyDescent="0.3">
      <c r="A1256" s="18"/>
      <c r="B1256" s="15"/>
      <c r="C1256" s="15"/>
      <c r="D1256" s="16"/>
    </row>
    <row r="1257" spans="1:4" x14ac:dyDescent="0.3">
      <c r="A1257" s="17"/>
      <c r="B1257" s="13"/>
      <c r="C1257" s="13"/>
      <c r="D1257" s="14"/>
    </row>
    <row r="1258" spans="1:4" x14ac:dyDescent="0.3">
      <c r="A1258" s="17"/>
      <c r="B1258" s="13"/>
      <c r="C1258" s="13"/>
      <c r="D1258" s="14"/>
    </row>
    <row r="1259" spans="1:4" x14ac:dyDescent="0.3">
      <c r="A1259" s="18"/>
      <c r="B1259" s="15"/>
      <c r="C1259" s="15"/>
      <c r="D1259" s="16"/>
    </row>
    <row r="1260" spans="1:4" x14ac:dyDescent="0.3">
      <c r="A1260" s="17"/>
      <c r="B1260" s="13"/>
      <c r="C1260" s="13"/>
      <c r="D1260" s="14"/>
    </row>
    <row r="1261" spans="1:4" x14ac:dyDescent="0.3">
      <c r="A1261" s="18"/>
      <c r="B1261" s="15"/>
      <c r="C1261" s="15"/>
      <c r="D1261" s="16"/>
    </row>
    <row r="1262" spans="1:4" x14ac:dyDescent="0.3">
      <c r="A1262" s="17"/>
      <c r="B1262" s="13"/>
      <c r="C1262" s="13"/>
      <c r="D1262" s="14"/>
    </row>
    <row r="1263" spans="1:4" x14ac:dyDescent="0.3">
      <c r="A1263" s="17"/>
      <c r="B1263" s="13"/>
      <c r="C1263" s="13"/>
      <c r="D1263" s="14"/>
    </row>
    <row r="1264" spans="1:4" x14ac:dyDescent="0.3">
      <c r="A1264" s="18"/>
      <c r="B1264" s="15"/>
      <c r="C1264" s="15"/>
      <c r="D1264" s="16"/>
    </row>
    <row r="1265" spans="1:4" x14ac:dyDescent="0.3">
      <c r="A1265" s="17"/>
      <c r="B1265" s="13"/>
      <c r="C1265" s="13"/>
      <c r="D1265" s="14"/>
    </row>
    <row r="1266" spans="1:4" x14ac:dyDescent="0.3">
      <c r="A1266" s="18"/>
      <c r="B1266" s="15"/>
      <c r="C1266" s="15"/>
      <c r="D1266" s="16"/>
    </row>
    <row r="1267" spans="1:4" x14ac:dyDescent="0.3">
      <c r="A1267" s="17"/>
      <c r="B1267" s="13"/>
      <c r="C1267" s="13"/>
      <c r="D1267" s="14"/>
    </row>
    <row r="1268" spans="1:4" x14ac:dyDescent="0.3">
      <c r="A1268" s="17"/>
      <c r="B1268" s="13"/>
      <c r="C1268" s="13"/>
      <c r="D1268" s="14"/>
    </row>
    <row r="1269" spans="1:4" x14ac:dyDescent="0.3">
      <c r="A1269" s="18"/>
      <c r="B1269" s="15"/>
      <c r="C1269" s="15"/>
      <c r="D1269" s="16"/>
    </row>
    <row r="1270" spans="1:4" x14ac:dyDescent="0.3">
      <c r="A1270" s="17"/>
      <c r="B1270" s="13"/>
      <c r="C1270" s="13"/>
      <c r="D1270" s="14"/>
    </row>
    <row r="1271" spans="1:4" x14ac:dyDescent="0.3">
      <c r="A1271" s="18"/>
      <c r="B1271" s="15"/>
      <c r="C1271" s="15"/>
      <c r="D1271" s="16"/>
    </row>
    <row r="1272" spans="1:4" x14ac:dyDescent="0.3">
      <c r="A1272" s="17"/>
      <c r="B1272" s="13"/>
      <c r="C1272" s="13"/>
      <c r="D1272" s="14"/>
    </row>
    <row r="1273" spans="1:4" x14ac:dyDescent="0.3">
      <c r="A1273" s="17"/>
      <c r="B1273" s="13"/>
      <c r="C1273" s="13"/>
      <c r="D1273" s="14"/>
    </row>
    <row r="1274" spans="1:4" x14ac:dyDescent="0.3">
      <c r="A1274" s="18"/>
      <c r="B1274" s="15"/>
      <c r="C1274" s="15"/>
      <c r="D1274" s="16"/>
    </row>
    <row r="1275" spans="1:4" x14ac:dyDescent="0.3">
      <c r="A1275" s="17"/>
      <c r="B1275" s="13"/>
      <c r="C1275" s="13"/>
      <c r="D1275" s="14"/>
    </row>
    <row r="1276" spans="1:4" x14ac:dyDescent="0.3">
      <c r="A1276" s="18"/>
      <c r="B1276" s="15"/>
      <c r="C1276" s="15"/>
      <c r="D1276" s="16"/>
    </row>
    <row r="1277" spans="1:4" x14ac:dyDescent="0.3">
      <c r="A1277" s="17"/>
      <c r="B1277" s="13"/>
      <c r="C1277" s="13"/>
      <c r="D1277" s="14"/>
    </row>
    <row r="1278" spans="1:4" x14ac:dyDescent="0.3">
      <c r="A1278" s="17"/>
      <c r="B1278" s="13"/>
      <c r="C1278" s="13"/>
      <c r="D1278" s="14"/>
    </row>
    <row r="1279" spans="1:4" x14ac:dyDescent="0.3">
      <c r="A1279" s="18"/>
      <c r="B1279" s="15"/>
      <c r="C1279" s="15"/>
      <c r="D1279" s="16"/>
    </row>
    <row r="1280" spans="1:4" x14ac:dyDescent="0.3">
      <c r="A1280" s="17"/>
      <c r="B1280" s="13"/>
      <c r="C1280" s="13"/>
      <c r="D1280" s="14"/>
    </row>
    <row r="1281" spans="1:4" x14ac:dyDescent="0.3">
      <c r="A1281" s="18"/>
      <c r="B1281" s="15"/>
      <c r="C1281" s="15"/>
      <c r="D1281" s="16"/>
    </row>
    <row r="1282" spans="1:4" x14ac:dyDescent="0.3">
      <c r="A1282" s="17"/>
      <c r="B1282" s="13"/>
      <c r="C1282" s="13"/>
      <c r="D1282" s="14"/>
    </row>
    <row r="1283" spans="1:4" x14ac:dyDescent="0.3">
      <c r="A1283" s="17"/>
      <c r="B1283" s="13"/>
      <c r="C1283" s="13"/>
      <c r="D1283" s="14"/>
    </row>
    <row r="1284" spans="1:4" x14ac:dyDescent="0.3">
      <c r="A1284" s="18"/>
      <c r="B1284" s="15"/>
      <c r="C1284" s="15"/>
      <c r="D1284" s="16"/>
    </row>
    <row r="1285" spans="1:4" x14ac:dyDescent="0.3">
      <c r="A1285" s="17"/>
      <c r="B1285" s="13"/>
      <c r="C1285" s="13"/>
      <c r="D1285" s="14"/>
    </row>
    <row r="1286" spans="1:4" x14ac:dyDescent="0.3">
      <c r="A1286" s="18"/>
      <c r="B1286" s="15"/>
      <c r="C1286" s="15"/>
      <c r="D1286" s="16"/>
    </row>
    <row r="1287" spans="1:4" x14ac:dyDescent="0.3">
      <c r="A1287" s="17"/>
      <c r="B1287" s="13"/>
      <c r="C1287" s="13"/>
      <c r="D1287" s="14"/>
    </row>
    <row r="1288" spans="1:4" x14ac:dyDescent="0.3">
      <c r="A1288" s="17"/>
      <c r="B1288" s="13"/>
      <c r="C1288" s="13"/>
      <c r="D1288" s="14"/>
    </row>
    <row r="1289" spans="1:4" x14ac:dyDescent="0.3">
      <c r="A1289" s="18"/>
      <c r="B1289" s="15"/>
      <c r="C1289" s="15"/>
      <c r="D1289" s="16"/>
    </row>
    <row r="1290" spans="1:4" x14ac:dyDescent="0.3">
      <c r="A1290" s="17"/>
      <c r="B1290" s="13"/>
      <c r="C1290" s="13"/>
      <c r="D1290" s="14"/>
    </row>
    <row r="1291" spans="1:4" x14ac:dyDescent="0.3">
      <c r="A1291" s="18"/>
      <c r="B1291" s="15"/>
      <c r="C1291" s="15"/>
      <c r="D1291" s="16"/>
    </row>
    <row r="1292" spans="1:4" x14ac:dyDescent="0.3">
      <c r="A1292" s="17"/>
      <c r="B1292" s="13"/>
      <c r="C1292" s="13"/>
      <c r="D1292" s="14"/>
    </row>
    <row r="1293" spans="1:4" x14ac:dyDescent="0.3">
      <c r="A1293" s="17"/>
      <c r="B1293" s="13"/>
      <c r="C1293" s="13"/>
      <c r="D1293" s="14"/>
    </row>
    <row r="1294" spans="1:4" x14ac:dyDescent="0.3">
      <c r="A1294" s="18"/>
      <c r="B1294" s="15"/>
      <c r="C1294" s="15"/>
      <c r="D1294" s="16"/>
    </row>
    <row r="1295" spans="1:4" x14ac:dyDescent="0.3">
      <c r="A1295" s="17"/>
      <c r="B1295" s="13"/>
      <c r="C1295" s="13"/>
      <c r="D1295" s="14"/>
    </row>
    <row r="1296" spans="1:4" x14ac:dyDescent="0.3">
      <c r="A1296" s="18"/>
      <c r="B1296" s="15"/>
      <c r="C1296" s="15"/>
      <c r="D1296" s="16"/>
    </row>
    <row r="1297" spans="1:4" x14ac:dyDescent="0.3">
      <c r="A1297" s="17"/>
      <c r="B1297" s="13"/>
      <c r="C1297" s="13"/>
      <c r="D1297" s="14"/>
    </row>
    <row r="1298" spans="1:4" x14ac:dyDescent="0.3">
      <c r="A1298" s="17"/>
      <c r="B1298" s="13"/>
      <c r="C1298" s="13"/>
      <c r="D1298" s="14"/>
    </row>
    <row r="1299" spans="1:4" x14ac:dyDescent="0.3">
      <c r="A1299" s="18"/>
      <c r="B1299" s="15"/>
      <c r="C1299" s="15"/>
      <c r="D1299" s="16"/>
    </row>
    <row r="1300" spans="1:4" x14ac:dyDescent="0.3">
      <c r="A1300" s="17"/>
      <c r="B1300" s="13"/>
      <c r="C1300" s="13"/>
      <c r="D1300" s="14"/>
    </row>
    <row r="1301" spans="1:4" x14ac:dyDescent="0.3">
      <c r="A1301" s="18"/>
      <c r="B1301" s="15"/>
      <c r="C1301" s="15"/>
      <c r="D1301" s="16"/>
    </row>
    <row r="1302" spans="1:4" x14ac:dyDescent="0.3">
      <c r="A1302" s="17"/>
      <c r="B1302" s="13"/>
      <c r="C1302" s="13"/>
      <c r="D1302" s="14"/>
    </row>
    <row r="1303" spans="1:4" x14ac:dyDescent="0.3">
      <c r="A1303" s="17"/>
      <c r="B1303" s="13"/>
      <c r="C1303" s="13"/>
      <c r="D1303" s="14"/>
    </row>
    <row r="1304" spans="1:4" x14ac:dyDescent="0.3">
      <c r="A1304" s="18"/>
      <c r="B1304" s="15"/>
      <c r="C1304" s="15"/>
      <c r="D1304" s="16"/>
    </row>
    <row r="1305" spans="1:4" x14ac:dyDescent="0.3">
      <c r="A1305" s="17"/>
      <c r="B1305" s="13"/>
      <c r="C1305" s="13"/>
      <c r="D1305" s="14"/>
    </row>
    <row r="1306" spans="1:4" x14ac:dyDescent="0.3">
      <c r="A1306" s="18"/>
      <c r="B1306" s="15"/>
      <c r="C1306" s="15"/>
      <c r="D1306" s="16"/>
    </row>
    <row r="1307" spans="1:4" x14ac:dyDescent="0.3">
      <c r="A1307" s="17"/>
      <c r="B1307" s="13"/>
      <c r="C1307" s="13"/>
      <c r="D1307" s="14"/>
    </row>
    <row r="1308" spans="1:4" x14ac:dyDescent="0.3">
      <c r="A1308" s="17"/>
      <c r="B1308" s="13"/>
      <c r="C1308" s="13"/>
      <c r="D1308" s="14"/>
    </row>
    <row r="1309" spans="1:4" x14ac:dyDescent="0.3">
      <c r="A1309" s="18"/>
      <c r="B1309" s="15"/>
      <c r="C1309" s="15"/>
      <c r="D1309" s="16"/>
    </row>
    <row r="1310" spans="1:4" x14ac:dyDescent="0.3">
      <c r="A1310" s="17"/>
      <c r="B1310" s="13"/>
      <c r="C1310" s="13"/>
      <c r="D1310" s="14"/>
    </row>
    <row r="1311" spans="1:4" x14ac:dyDescent="0.3">
      <c r="A1311" s="18"/>
      <c r="B1311" s="15"/>
      <c r="C1311" s="15"/>
      <c r="D1311" s="16"/>
    </row>
    <row r="1312" spans="1:4" x14ac:dyDescent="0.3">
      <c r="A1312" s="17"/>
      <c r="B1312" s="13"/>
      <c r="C1312" s="13"/>
      <c r="D1312" s="14"/>
    </row>
    <row r="1313" spans="1:4" x14ac:dyDescent="0.3">
      <c r="A1313" s="17"/>
      <c r="B1313" s="13"/>
      <c r="C1313" s="13"/>
      <c r="D1313" s="14"/>
    </row>
    <row r="1314" spans="1:4" x14ac:dyDescent="0.3">
      <c r="A1314" s="18"/>
      <c r="B1314" s="15"/>
      <c r="C1314" s="15"/>
      <c r="D1314" s="16"/>
    </row>
    <row r="1315" spans="1:4" x14ac:dyDescent="0.3">
      <c r="A1315" s="17"/>
      <c r="B1315" s="13"/>
      <c r="C1315" s="13"/>
      <c r="D1315" s="14"/>
    </row>
    <row r="1316" spans="1:4" x14ac:dyDescent="0.3">
      <c r="A1316" s="18"/>
      <c r="B1316" s="15"/>
      <c r="C1316" s="15"/>
      <c r="D1316" s="16"/>
    </row>
    <row r="1317" spans="1:4" x14ac:dyDescent="0.3">
      <c r="A1317" s="17"/>
      <c r="B1317" s="13"/>
      <c r="C1317" s="13"/>
      <c r="D1317" s="14"/>
    </row>
    <row r="1318" spans="1:4" x14ac:dyDescent="0.3">
      <c r="A1318" s="17"/>
      <c r="B1318" s="13"/>
      <c r="C1318" s="13"/>
      <c r="D1318" s="14"/>
    </row>
    <row r="1319" spans="1:4" x14ac:dyDescent="0.3">
      <c r="A1319" s="18"/>
      <c r="B1319" s="15"/>
      <c r="C1319" s="15"/>
      <c r="D1319" s="16"/>
    </row>
    <row r="1320" spans="1:4" x14ac:dyDescent="0.3">
      <c r="A1320" s="17"/>
      <c r="B1320" s="13"/>
      <c r="C1320" s="13"/>
      <c r="D1320" s="14"/>
    </row>
    <row r="1321" spans="1:4" x14ac:dyDescent="0.3">
      <c r="A1321" s="18"/>
      <c r="B1321" s="15"/>
      <c r="C1321" s="15"/>
      <c r="D1321" s="16"/>
    </row>
    <row r="1322" spans="1:4" x14ac:dyDescent="0.3">
      <c r="A1322" s="17"/>
      <c r="B1322" s="13"/>
      <c r="C1322" s="13"/>
      <c r="D1322" s="14"/>
    </row>
    <row r="1323" spans="1:4" x14ac:dyDescent="0.3">
      <c r="A1323" s="17"/>
      <c r="B1323" s="13"/>
      <c r="C1323" s="13"/>
      <c r="D1323" s="14"/>
    </row>
    <row r="1324" spans="1:4" x14ac:dyDescent="0.3">
      <c r="A1324" s="18"/>
      <c r="B1324" s="15"/>
      <c r="C1324" s="15"/>
      <c r="D1324" s="16"/>
    </row>
    <row r="1325" spans="1:4" x14ac:dyDescent="0.3">
      <c r="A1325" s="17"/>
      <c r="B1325" s="13"/>
      <c r="C1325" s="13"/>
      <c r="D1325" s="14"/>
    </row>
    <row r="1326" spans="1:4" x14ac:dyDescent="0.3">
      <c r="A1326" s="18"/>
      <c r="B1326" s="15"/>
      <c r="C1326" s="15"/>
      <c r="D1326" s="16"/>
    </row>
    <row r="1327" spans="1:4" x14ac:dyDescent="0.3">
      <c r="A1327" s="17"/>
      <c r="B1327" s="13"/>
      <c r="C1327" s="13"/>
      <c r="D1327" s="14"/>
    </row>
    <row r="1328" spans="1:4" x14ac:dyDescent="0.3">
      <c r="A1328" s="17"/>
      <c r="B1328" s="13"/>
      <c r="C1328" s="13"/>
      <c r="D1328" s="14"/>
    </row>
    <row r="1329" spans="1:4" x14ac:dyDescent="0.3">
      <c r="A1329" s="18"/>
      <c r="B1329" s="15"/>
      <c r="C1329" s="15"/>
      <c r="D1329" s="16"/>
    </row>
    <row r="1330" spans="1:4" x14ac:dyDescent="0.3">
      <c r="A1330" s="17"/>
      <c r="B1330" s="13"/>
      <c r="C1330" s="13"/>
      <c r="D1330" s="14"/>
    </row>
    <row r="1331" spans="1:4" x14ac:dyDescent="0.3">
      <c r="A1331" s="18"/>
      <c r="B1331" s="15"/>
      <c r="C1331" s="15"/>
      <c r="D1331" s="16"/>
    </row>
    <row r="1332" spans="1:4" x14ac:dyDescent="0.3">
      <c r="A1332" s="17"/>
      <c r="B1332" s="13"/>
      <c r="C1332" s="13"/>
      <c r="D1332" s="14"/>
    </row>
    <row r="1333" spans="1:4" x14ac:dyDescent="0.3">
      <c r="A1333" s="17"/>
      <c r="B1333" s="13"/>
      <c r="C1333" s="13"/>
      <c r="D1333" s="14"/>
    </row>
    <row r="1334" spans="1:4" x14ac:dyDescent="0.3">
      <c r="A1334" s="18"/>
      <c r="B1334" s="15"/>
      <c r="C1334" s="15"/>
      <c r="D1334" s="16"/>
    </row>
    <row r="1335" spans="1:4" x14ac:dyDescent="0.3">
      <c r="A1335" s="17"/>
      <c r="B1335" s="13"/>
      <c r="C1335" s="13"/>
      <c r="D1335" s="14"/>
    </row>
    <row r="1336" spans="1:4" x14ac:dyDescent="0.3">
      <c r="A1336" s="18"/>
      <c r="B1336" s="15"/>
      <c r="C1336" s="15"/>
      <c r="D1336" s="16"/>
    </row>
    <row r="1337" spans="1:4" x14ac:dyDescent="0.3">
      <c r="A1337" s="17"/>
      <c r="B1337" s="13"/>
      <c r="C1337" s="13"/>
      <c r="D1337" s="14"/>
    </row>
    <row r="1338" spans="1:4" x14ac:dyDescent="0.3">
      <c r="A1338" s="17"/>
      <c r="B1338" s="13"/>
      <c r="C1338" s="13"/>
      <c r="D1338" s="14"/>
    </row>
    <row r="1339" spans="1:4" x14ac:dyDescent="0.3">
      <c r="A1339" s="18"/>
      <c r="B1339" s="15"/>
      <c r="C1339" s="15"/>
      <c r="D1339" s="16"/>
    </row>
    <row r="1340" spans="1:4" x14ac:dyDescent="0.3">
      <c r="A1340" s="17"/>
      <c r="B1340" s="13"/>
      <c r="C1340" s="13"/>
      <c r="D1340" s="14"/>
    </row>
    <row r="1341" spans="1:4" x14ac:dyDescent="0.3">
      <c r="A1341" s="18"/>
      <c r="B1341" s="15"/>
      <c r="C1341" s="15"/>
      <c r="D1341" s="16"/>
    </row>
    <row r="1342" spans="1:4" x14ac:dyDescent="0.3">
      <c r="A1342" s="17"/>
      <c r="B1342" s="13"/>
      <c r="C1342" s="13"/>
      <c r="D1342" s="14"/>
    </row>
    <row r="1343" spans="1:4" x14ac:dyDescent="0.3">
      <c r="A1343" s="17"/>
      <c r="B1343" s="13"/>
      <c r="C1343" s="13"/>
      <c r="D1343" s="14"/>
    </row>
    <row r="1344" spans="1:4" x14ac:dyDescent="0.3">
      <c r="A1344" s="18"/>
      <c r="B1344" s="15"/>
      <c r="C1344" s="15"/>
      <c r="D1344" s="16"/>
    </row>
    <row r="1345" spans="1:4" x14ac:dyDescent="0.3">
      <c r="A1345" s="17"/>
      <c r="B1345" s="13"/>
      <c r="C1345" s="13"/>
      <c r="D1345" s="14"/>
    </row>
    <row r="1346" spans="1:4" x14ac:dyDescent="0.3">
      <c r="A1346" s="18"/>
      <c r="B1346" s="15"/>
      <c r="C1346" s="15"/>
      <c r="D1346" s="16"/>
    </row>
    <row r="1347" spans="1:4" x14ac:dyDescent="0.3">
      <c r="A1347" s="17"/>
      <c r="B1347" s="13"/>
      <c r="C1347" s="13"/>
      <c r="D1347" s="14"/>
    </row>
    <row r="1348" spans="1:4" x14ac:dyDescent="0.3">
      <c r="A1348" s="17"/>
      <c r="B1348" s="13"/>
      <c r="C1348" s="13"/>
      <c r="D1348" s="14"/>
    </row>
    <row r="1349" spans="1:4" x14ac:dyDescent="0.3">
      <c r="A1349" s="18"/>
      <c r="B1349" s="15"/>
      <c r="C1349" s="15"/>
      <c r="D1349" s="16"/>
    </row>
    <row r="1350" spans="1:4" x14ac:dyDescent="0.3">
      <c r="A1350" s="17"/>
      <c r="B1350" s="13"/>
      <c r="C1350" s="13"/>
      <c r="D1350" s="14"/>
    </row>
    <row r="1351" spans="1:4" x14ac:dyDescent="0.3">
      <c r="A1351" s="18"/>
      <c r="B1351" s="15"/>
      <c r="C1351" s="15"/>
      <c r="D1351" s="16"/>
    </row>
    <row r="1352" spans="1:4" x14ac:dyDescent="0.3">
      <c r="A1352" s="17"/>
      <c r="B1352" s="13"/>
      <c r="C1352" s="13"/>
      <c r="D1352" s="14"/>
    </row>
    <row r="1353" spans="1:4" x14ac:dyDescent="0.3">
      <c r="A1353" s="17"/>
      <c r="B1353" s="13"/>
      <c r="C1353" s="13"/>
      <c r="D1353" s="14"/>
    </row>
    <row r="1354" spans="1:4" x14ac:dyDescent="0.3">
      <c r="A1354" s="18"/>
      <c r="B1354" s="15"/>
      <c r="C1354" s="15"/>
      <c r="D1354" s="16"/>
    </row>
    <row r="1355" spans="1:4" x14ac:dyDescent="0.3">
      <c r="A1355" s="17"/>
      <c r="B1355" s="13"/>
      <c r="C1355" s="13"/>
      <c r="D1355" s="14"/>
    </row>
    <row r="1356" spans="1:4" x14ac:dyDescent="0.3">
      <c r="A1356" s="18"/>
      <c r="B1356" s="15"/>
      <c r="C1356" s="15"/>
      <c r="D1356" s="16"/>
    </row>
    <row r="1357" spans="1:4" x14ac:dyDescent="0.3">
      <c r="A1357" s="17"/>
      <c r="B1357" s="13"/>
      <c r="C1357" s="13"/>
      <c r="D1357" s="14"/>
    </row>
    <row r="1358" spans="1:4" x14ac:dyDescent="0.3">
      <c r="A1358" s="17"/>
      <c r="B1358" s="13"/>
      <c r="C1358" s="13"/>
      <c r="D1358" s="14"/>
    </row>
    <row r="1359" spans="1:4" x14ac:dyDescent="0.3">
      <c r="A1359" s="18"/>
      <c r="B1359" s="15"/>
      <c r="C1359" s="15"/>
      <c r="D1359" s="16"/>
    </row>
    <row r="1360" spans="1:4" x14ac:dyDescent="0.3">
      <c r="A1360" s="17"/>
      <c r="B1360" s="13"/>
      <c r="C1360" s="13"/>
      <c r="D1360" s="14"/>
    </row>
    <row r="1361" spans="1:4" x14ac:dyDescent="0.3">
      <c r="A1361" s="18"/>
      <c r="B1361" s="15"/>
      <c r="C1361" s="15"/>
      <c r="D1361" s="16"/>
    </row>
    <row r="1362" spans="1:4" x14ac:dyDescent="0.3">
      <c r="A1362" s="17"/>
      <c r="B1362" s="13"/>
      <c r="C1362" s="13"/>
      <c r="D1362" s="14"/>
    </row>
    <row r="1363" spans="1:4" x14ac:dyDescent="0.3">
      <c r="A1363" s="17"/>
      <c r="B1363" s="13"/>
      <c r="C1363" s="13"/>
      <c r="D1363" s="14"/>
    </row>
    <row r="1364" spans="1:4" x14ac:dyDescent="0.3">
      <c r="A1364" s="18"/>
      <c r="B1364" s="15"/>
      <c r="C1364" s="15"/>
      <c r="D1364" s="16"/>
    </row>
    <row r="1365" spans="1:4" x14ac:dyDescent="0.3">
      <c r="A1365" s="17"/>
      <c r="B1365" s="13"/>
      <c r="C1365" s="13"/>
      <c r="D1365" s="14"/>
    </row>
    <row r="1366" spans="1:4" x14ac:dyDescent="0.3">
      <c r="A1366" s="18"/>
      <c r="B1366" s="15"/>
      <c r="C1366" s="15"/>
      <c r="D1366" s="16"/>
    </row>
    <row r="1367" spans="1:4" x14ac:dyDescent="0.3">
      <c r="A1367" s="17"/>
      <c r="B1367" s="13"/>
      <c r="C1367" s="13"/>
      <c r="D1367" s="14"/>
    </row>
    <row r="1368" spans="1:4" x14ac:dyDescent="0.3">
      <c r="A1368" s="17"/>
      <c r="B1368" s="13"/>
      <c r="C1368" s="13"/>
      <c r="D1368" s="14"/>
    </row>
    <row r="1369" spans="1:4" x14ac:dyDescent="0.3">
      <c r="A1369" s="18"/>
      <c r="B1369" s="15"/>
      <c r="C1369" s="15"/>
      <c r="D1369" s="16"/>
    </row>
    <row r="1370" spans="1:4" x14ac:dyDescent="0.3">
      <c r="A1370" s="17"/>
      <c r="B1370" s="13"/>
      <c r="C1370" s="13"/>
      <c r="D1370" s="14"/>
    </row>
    <row r="1371" spans="1:4" x14ac:dyDescent="0.3">
      <c r="A1371" s="18"/>
      <c r="B1371" s="15"/>
      <c r="C1371" s="15"/>
      <c r="D1371" s="16"/>
    </row>
    <row r="1372" spans="1:4" x14ac:dyDescent="0.3">
      <c r="A1372" s="17"/>
      <c r="B1372" s="13"/>
      <c r="C1372" s="13"/>
      <c r="D1372" s="14"/>
    </row>
    <row r="1373" spans="1:4" x14ac:dyDescent="0.3">
      <c r="A1373" s="17"/>
      <c r="B1373" s="13"/>
      <c r="C1373" s="13"/>
      <c r="D1373" s="14"/>
    </row>
    <row r="1374" spans="1:4" x14ac:dyDescent="0.3">
      <c r="A1374" s="18"/>
      <c r="B1374" s="15"/>
      <c r="C1374" s="15"/>
      <c r="D1374" s="16"/>
    </row>
    <row r="1375" spans="1:4" x14ac:dyDescent="0.3">
      <c r="A1375" s="17"/>
      <c r="B1375" s="13"/>
      <c r="C1375" s="13"/>
      <c r="D1375" s="14"/>
    </row>
    <row r="1376" spans="1:4" x14ac:dyDescent="0.3">
      <c r="A1376" s="18"/>
      <c r="B1376" s="15"/>
      <c r="C1376" s="15"/>
      <c r="D1376" s="16"/>
    </row>
    <row r="1377" spans="1:4" x14ac:dyDescent="0.3">
      <c r="A1377" s="17"/>
      <c r="B1377" s="13"/>
      <c r="C1377" s="13"/>
      <c r="D1377" s="14"/>
    </row>
    <row r="1378" spans="1:4" x14ac:dyDescent="0.3">
      <c r="A1378" s="17"/>
      <c r="B1378" s="13"/>
      <c r="C1378" s="13"/>
      <c r="D1378" s="14"/>
    </row>
    <row r="1379" spans="1:4" x14ac:dyDescent="0.3">
      <c r="A1379" s="18"/>
      <c r="B1379" s="15"/>
      <c r="C1379" s="15"/>
      <c r="D1379" s="16"/>
    </row>
    <row r="1380" spans="1:4" x14ac:dyDescent="0.3">
      <c r="A1380" s="17"/>
      <c r="B1380" s="13"/>
      <c r="C1380" s="13"/>
      <c r="D1380" s="14"/>
    </row>
    <row r="1381" spans="1:4" x14ac:dyDescent="0.3">
      <c r="A1381" s="18"/>
      <c r="B1381" s="15"/>
      <c r="C1381" s="15"/>
      <c r="D1381" s="16"/>
    </row>
    <row r="1382" spans="1:4" x14ac:dyDescent="0.3">
      <c r="A1382" s="17"/>
      <c r="B1382" s="13"/>
      <c r="C1382" s="13"/>
      <c r="D1382" s="14"/>
    </row>
    <row r="1383" spans="1:4" x14ac:dyDescent="0.3">
      <c r="A1383" s="17"/>
      <c r="B1383" s="13"/>
      <c r="C1383" s="13"/>
      <c r="D1383" s="14"/>
    </row>
    <row r="1384" spans="1:4" x14ac:dyDescent="0.3">
      <c r="A1384" s="18"/>
      <c r="B1384" s="15"/>
      <c r="C1384" s="15"/>
      <c r="D1384" s="16"/>
    </row>
    <row r="1385" spans="1:4" x14ac:dyDescent="0.3">
      <c r="A1385" s="17"/>
      <c r="B1385" s="13"/>
      <c r="C1385" s="13"/>
      <c r="D1385" s="14"/>
    </row>
    <row r="1386" spans="1:4" x14ac:dyDescent="0.3">
      <c r="A1386" s="18"/>
      <c r="B1386" s="15"/>
      <c r="C1386" s="15"/>
      <c r="D1386" s="16"/>
    </row>
    <row r="1387" spans="1:4" x14ac:dyDescent="0.3">
      <c r="A1387" s="17"/>
      <c r="B1387" s="13"/>
      <c r="C1387" s="13"/>
      <c r="D1387" s="14"/>
    </row>
    <row r="1388" spans="1:4" x14ac:dyDescent="0.3">
      <c r="A1388" s="17"/>
      <c r="B1388" s="13"/>
      <c r="C1388" s="13"/>
      <c r="D1388" s="14"/>
    </row>
    <row r="1389" spans="1:4" x14ac:dyDescent="0.3">
      <c r="A1389" s="18"/>
      <c r="B1389" s="15"/>
      <c r="C1389" s="15"/>
      <c r="D1389" s="16"/>
    </row>
    <row r="1390" spans="1:4" x14ac:dyDescent="0.3">
      <c r="A1390" s="17"/>
      <c r="B1390" s="13"/>
      <c r="C1390" s="13"/>
      <c r="D1390" s="14"/>
    </row>
    <row r="1391" spans="1:4" x14ac:dyDescent="0.3">
      <c r="A1391" s="18"/>
      <c r="B1391" s="15"/>
      <c r="C1391" s="15"/>
      <c r="D1391" s="16"/>
    </row>
    <row r="1392" spans="1:4" x14ac:dyDescent="0.3">
      <c r="A1392" s="17"/>
      <c r="B1392" s="13"/>
      <c r="C1392" s="13"/>
      <c r="D1392" s="14"/>
    </row>
    <row r="1393" spans="1:4" x14ac:dyDescent="0.3">
      <c r="A1393" s="17"/>
      <c r="B1393" s="13"/>
      <c r="C1393" s="13"/>
      <c r="D1393" s="14"/>
    </row>
    <row r="1394" spans="1:4" x14ac:dyDescent="0.3">
      <c r="A1394" s="18"/>
      <c r="B1394" s="15"/>
      <c r="C1394" s="15"/>
      <c r="D1394" s="16"/>
    </row>
    <row r="1395" spans="1:4" x14ac:dyDescent="0.3">
      <c r="A1395" s="17"/>
      <c r="B1395" s="13"/>
      <c r="C1395" s="13"/>
      <c r="D1395" s="14"/>
    </row>
    <row r="1396" spans="1:4" x14ac:dyDescent="0.3">
      <c r="A1396" s="18"/>
      <c r="B1396" s="15"/>
      <c r="C1396" s="15"/>
      <c r="D1396" s="16"/>
    </row>
    <row r="1397" spans="1:4" x14ac:dyDescent="0.3">
      <c r="A1397" s="17"/>
      <c r="B1397" s="13"/>
      <c r="C1397" s="13"/>
      <c r="D1397" s="14"/>
    </row>
    <row r="1398" spans="1:4" x14ac:dyDescent="0.3">
      <c r="A1398" s="17"/>
      <c r="B1398" s="13"/>
      <c r="C1398" s="13"/>
      <c r="D1398" s="14"/>
    </row>
    <row r="1399" spans="1:4" x14ac:dyDescent="0.3">
      <c r="A1399" s="18"/>
      <c r="B1399" s="15"/>
      <c r="C1399" s="15"/>
      <c r="D1399" s="16"/>
    </row>
    <row r="1400" spans="1:4" x14ac:dyDescent="0.3">
      <c r="A1400" s="17"/>
      <c r="B1400" s="13"/>
      <c r="C1400" s="13"/>
      <c r="D1400" s="14"/>
    </row>
    <row r="1401" spans="1:4" x14ac:dyDescent="0.3">
      <c r="A1401" s="18"/>
      <c r="B1401" s="15"/>
      <c r="C1401" s="15"/>
      <c r="D1401" s="16"/>
    </row>
    <row r="1402" spans="1:4" x14ac:dyDescent="0.3">
      <c r="A1402" s="17"/>
      <c r="B1402" s="13"/>
      <c r="C1402" s="13"/>
      <c r="D1402" s="14"/>
    </row>
    <row r="1403" spans="1:4" x14ac:dyDescent="0.3">
      <c r="A1403" s="17"/>
      <c r="B1403" s="13"/>
      <c r="C1403" s="13"/>
      <c r="D1403" s="14"/>
    </row>
    <row r="1404" spans="1:4" x14ac:dyDescent="0.3">
      <c r="A1404" s="18"/>
      <c r="B1404" s="15"/>
      <c r="C1404" s="15"/>
      <c r="D1404" s="16"/>
    </row>
    <row r="1405" spans="1:4" x14ac:dyDescent="0.3">
      <c r="A1405" s="17"/>
      <c r="B1405" s="13"/>
      <c r="C1405" s="13"/>
      <c r="D1405" s="14"/>
    </row>
    <row r="1406" spans="1:4" x14ac:dyDescent="0.3">
      <c r="A1406" s="18"/>
      <c r="B1406" s="15"/>
      <c r="C1406" s="15"/>
      <c r="D1406" s="16"/>
    </row>
    <row r="1407" spans="1:4" x14ac:dyDescent="0.3">
      <c r="A1407" s="17"/>
      <c r="B1407" s="13"/>
      <c r="C1407" s="13"/>
      <c r="D1407" s="14"/>
    </row>
    <row r="1408" spans="1:4" x14ac:dyDescent="0.3">
      <c r="A1408" s="17"/>
      <c r="B1408" s="13"/>
      <c r="C1408" s="13"/>
      <c r="D1408" s="14"/>
    </row>
    <row r="1409" spans="1:4" x14ac:dyDescent="0.3">
      <c r="A1409" s="18"/>
      <c r="B1409" s="15"/>
      <c r="C1409" s="15"/>
      <c r="D1409" s="16"/>
    </row>
    <row r="1410" spans="1:4" x14ac:dyDescent="0.3">
      <c r="A1410" s="17"/>
      <c r="B1410" s="13"/>
      <c r="C1410" s="13"/>
      <c r="D1410" s="14"/>
    </row>
    <row r="1411" spans="1:4" x14ac:dyDescent="0.3">
      <c r="A1411" s="18"/>
      <c r="B1411" s="15"/>
      <c r="C1411" s="15"/>
      <c r="D1411" s="16"/>
    </row>
    <row r="1412" spans="1:4" x14ac:dyDescent="0.3">
      <c r="A1412" s="17"/>
      <c r="B1412" s="13"/>
      <c r="C1412" s="13"/>
      <c r="D1412" s="14"/>
    </row>
    <row r="1413" spans="1:4" x14ac:dyDescent="0.3">
      <c r="A1413" s="17"/>
      <c r="B1413" s="13"/>
      <c r="C1413" s="13"/>
      <c r="D1413" s="14"/>
    </row>
    <row r="1414" spans="1:4" x14ac:dyDescent="0.3">
      <c r="A1414" s="18"/>
      <c r="B1414" s="15"/>
      <c r="C1414" s="15"/>
      <c r="D1414" s="16"/>
    </row>
    <row r="1415" spans="1:4" x14ac:dyDescent="0.3">
      <c r="A1415" s="17"/>
      <c r="B1415" s="13"/>
      <c r="C1415" s="13"/>
      <c r="D1415" s="14"/>
    </row>
    <row r="1416" spans="1:4" x14ac:dyDescent="0.3">
      <c r="A1416" s="18"/>
      <c r="B1416" s="15"/>
      <c r="C1416" s="15"/>
      <c r="D1416" s="16"/>
    </row>
    <row r="1417" spans="1:4" x14ac:dyDescent="0.3">
      <c r="A1417" s="17"/>
      <c r="B1417" s="13"/>
      <c r="C1417" s="13"/>
      <c r="D1417" s="14"/>
    </row>
    <row r="1418" spans="1:4" x14ac:dyDescent="0.3">
      <c r="A1418" s="17"/>
      <c r="B1418" s="13"/>
      <c r="C1418" s="13"/>
      <c r="D1418" s="14"/>
    </row>
    <row r="1419" spans="1:4" x14ac:dyDescent="0.3">
      <c r="A1419" s="18"/>
      <c r="B1419" s="15"/>
      <c r="C1419" s="15"/>
      <c r="D1419" s="16"/>
    </row>
    <row r="1420" spans="1:4" x14ac:dyDescent="0.3">
      <c r="A1420" s="17"/>
      <c r="B1420" s="13"/>
      <c r="C1420" s="13"/>
      <c r="D1420" s="14"/>
    </row>
    <row r="1421" spans="1:4" x14ac:dyDescent="0.3">
      <c r="A1421" s="18"/>
      <c r="B1421" s="15"/>
      <c r="C1421" s="15"/>
      <c r="D1421" s="16"/>
    </row>
    <row r="1422" spans="1:4" x14ac:dyDescent="0.3">
      <c r="A1422" s="17"/>
      <c r="B1422" s="13"/>
      <c r="C1422" s="13"/>
      <c r="D1422" s="14"/>
    </row>
    <row r="1423" spans="1:4" x14ac:dyDescent="0.3">
      <c r="A1423" s="17"/>
      <c r="B1423" s="13"/>
      <c r="C1423" s="13"/>
      <c r="D1423" s="14"/>
    </row>
    <row r="1424" spans="1:4" x14ac:dyDescent="0.3">
      <c r="A1424" s="18"/>
      <c r="B1424" s="15"/>
      <c r="C1424" s="15"/>
      <c r="D1424" s="16"/>
    </row>
    <row r="1425" spans="1:4" x14ac:dyDescent="0.3">
      <c r="A1425" s="17"/>
      <c r="B1425" s="13"/>
      <c r="C1425" s="13"/>
      <c r="D1425" s="14"/>
    </row>
    <row r="1426" spans="1:4" x14ac:dyDescent="0.3">
      <c r="A1426" s="18"/>
      <c r="B1426" s="15"/>
      <c r="C1426" s="15"/>
      <c r="D1426" s="16"/>
    </row>
    <row r="1427" spans="1:4" x14ac:dyDescent="0.3">
      <c r="A1427" s="17"/>
      <c r="B1427" s="13"/>
      <c r="C1427" s="13"/>
      <c r="D1427" s="14"/>
    </row>
    <row r="1428" spans="1:4" x14ac:dyDescent="0.3">
      <c r="A1428" s="17"/>
      <c r="B1428" s="13"/>
      <c r="C1428" s="13"/>
      <c r="D1428" s="14"/>
    </row>
    <row r="1429" spans="1:4" x14ac:dyDescent="0.3">
      <c r="A1429" s="18"/>
      <c r="B1429" s="15"/>
      <c r="C1429" s="15"/>
      <c r="D1429" s="16"/>
    </row>
    <row r="1430" spans="1:4" x14ac:dyDescent="0.3">
      <c r="A1430" s="17"/>
      <c r="B1430" s="13"/>
      <c r="C1430" s="13"/>
      <c r="D1430" s="14"/>
    </row>
    <row r="1431" spans="1:4" x14ac:dyDescent="0.3">
      <c r="A1431" s="18"/>
      <c r="B1431" s="15"/>
      <c r="C1431" s="15"/>
      <c r="D1431" s="16"/>
    </row>
    <row r="1432" spans="1:4" x14ac:dyDescent="0.3">
      <c r="A1432" s="17"/>
      <c r="B1432" s="13"/>
      <c r="C1432" s="13"/>
      <c r="D1432" s="14"/>
    </row>
    <row r="1433" spans="1:4" x14ac:dyDescent="0.3">
      <c r="A1433" s="17"/>
      <c r="B1433" s="13"/>
      <c r="C1433" s="13"/>
      <c r="D1433" s="14"/>
    </row>
    <row r="1434" spans="1:4" x14ac:dyDescent="0.3">
      <c r="A1434" s="18"/>
      <c r="B1434" s="15"/>
      <c r="C1434" s="15"/>
      <c r="D1434" s="16"/>
    </row>
    <row r="1435" spans="1:4" x14ac:dyDescent="0.3">
      <c r="A1435" s="17"/>
      <c r="B1435" s="13"/>
      <c r="C1435" s="13"/>
      <c r="D1435" s="14"/>
    </row>
    <row r="1436" spans="1:4" x14ac:dyDescent="0.3">
      <c r="A1436" s="18"/>
      <c r="B1436" s="15"/>
      <c r="C1436" s="15"/>
      <c r="D1436" s="16"/>
    </row>
    <row r="1437" spans="1:4" x14ac:dyDescent="0.3">
      <c r="A1437" s="17"/>
      <c r="B1437" s="13"/>
      <c r="C1437" s="13"/>
      <c r="D1437" s="14"/>
    </row>
    <row r="1438" spans="1:4" x14ac:dyDescent="0.3">
      <c r="A1438" s="17"/>
      <c r="B1438" s="13"/>
      <c r="C1438" s="13"/>
      <c r="D1438" s="14"/>
    </row>
    <row r="1439" spans="1:4" x14ac:dyDescent="0.3">
      <c r="A1439" s="18"/>
      <c r="B1439" s="15"/>
      <c r="C1439" s="15"/>
      <c r="D1439" s="16"/>
    </row>
    <row r="1440" spans="1:4" x14ac:dyDescent="0.3">
      <c r="A1440" s="17"/>
      <c r="B1440" s="13"/>
      <c r="C1440" s="13"/>
      <c r="D1440" s="14"/>
    </row>
    <row r="1441" spans="1:4" x14ac:dyDescent="0.3">
      <c r="A1441" s="18"/>
      <c r="B1441" s="15"/>
      <c r="C1441" s="15"/>
      <c r="D1441" s="16"/>
    </row>
    <row r="1442" spans="1:4" x14ac:dyDescent="0.3">
      <c r="A1442" s="17"/>
      <c r="B1442" s="13"/>
      <c r="C1442" s="13"/>
      <c r="D1442" s="14"/>
    </row>
    <row r="1443" spans="1:4" x14ac:dyDescent="0.3">
      <c r="A1443" s="17"/>
      <c r="B1443" s="13"/>
      <c r="C1443" s="13"/>
      <c r="D1443" s="14"/>
    </row>
    <row r="1444" spans="1:4" x14ac:dyDescent="0.3">
      <c r="A1444" s="18"/>
      <c r="B1444" s="15"/>
      <c r="C1444" s="15"/>
      <c r="D1444" s="16"/>
    </row>
    <row r="1445" spans="1:4" x14ac:dyDescent="0.3">
      <c r="A1445" s="17"/>
      <c r="B1445" s="13"/>
      <c r="C1445" s="13"/>
      <c r="D1445" s="14"/>
    </row>
    <row r="1446" spans="1:4" x14ac:dyDescent="0.3">
      <c r="A1446" s="18"/>
      <c r="B1446" s="15"/>
      <c r="C1446" s="15"/>
      <c r="D1446" s="16"/>
    </row>
    <row r="1447" spans="1:4" x14ac:dyDescent="0.3">
      <c r="A1447" s="17"/>
      <c r="B1447" s="13"/>
      <c r="C1447" s="13"/>
      <c r="D1447" s="14"/>
    </row>
    <row r="1448" spans="1:4" x14ac:dyDescent="0.3">
      <c r="A1448" s="17"/>
      <c r="B1448" s="13"/>
      <c r="C1448" s="13"/>
      <c r="D1448" s="14"/>
    </row>
    <row r="1449" spans="1:4" x14ac:dyDescent="0.3">
      <c r="A1449" s="18"/>
      <c r="B1449" s="15"/>
      <c r="C1449" s="15"/>
      <c r="D1449" s="16"/>
    </row>
    <row r="1450" spans="1:4" x14ac:dyDescent="0.3">
      <c r="A1450" s="17"/>
      <c r="B1450" s="13"/>
      <c r="C1450" s="13"/>
      <c r="D1450" s="14"/>
    </row>
    <row r="1451" spans="1:4" x14ac:dyDescent="0.3">
      <c r="A1451" s="18"/>
      <c r="B1451" s="15"/>
      <c r="C1451" s="15"/>
      <c r="D1451" s="16"/>
    </row>
    <row r="1452" spans="1:4" x14ac:dyDescent="0.3">
      <c r="A1452" s="17"/>
      <c r="B1452" s="13"/>
      <c r="C1452" s="13"/>
      <c r="D1452" s="14"/>
    </row>
    <row r="1453" spans="1:4" x14ac:dyDescent="0.3">
      <c r="A1453" s="17"/>
      <c r="B1453" s="13"/>
      <c r="C1453" s="13"/>
      <c r="D1453" s="14"/>
    </row>
    <row r="1454" spans="1:4" x14ac:dyDescent="0.3">
      <c r="A1454" s="18"/>
      <c r="B1454" s="15"/>
      <c r="C1454" s="15"/>
      <c r="D1454" s="16"/>
    </row>
    <row r="1455" spans="1:4" x14ac:dyDescent="0.3">
      <c r="A1455" s="17"/>
      <c r="B1455" s="13"/>
      <c r="C1455" s="13"/>
      <c r="D1455" s="14"/>
    </row>
    <row r="1456" spans="1:4" x14ac:dyDescent="0.3">
      <c r="A1456" s="18"/>
      <c r="B1456" s="15"/>
      <c r="C1456" s="15"/>
      <c r="D1456" s="16"/>
    </row>
    <row r="1457" spans="1:4" x14ac:dyDescent="0.3">
      <c r="A1457" s="17"/>
      <c r="B1457" s="13"/>
      <c r="C1457" s="13"/>
      <c r="D1457" s="14"/>
    </row>
    <row r="1458" spans="1:4" x14ac:dyDescent="0.3">
      <c r="A1458" s="17"/>
      <c r="B1458" s="13"/>
      <c r="C1458" s="13"/>
      <c r="D1458" s="14"/>
    </row>
    <row r="1459" spans="1:4" x14ac:dyDescent="0.3">
      <c r="A1459" s="18"/>
      <c r="B1459" s="15"/>
      <c r="C1459" s="15"/>
      <c r="D1459" s="16"/>
    </row>
    <row r="1460" spans="1:4" x14ac:dyDescent="0.3">
      <c r="A1460" s="17"/>
      <c r="B1460" s="13"/>
      <c r="C1460" s="13"/>
      <c r="D1460" s="14"/>
    </row>
    <row r="1461" spans="1:4" x14ac:dyDescent="0.3">
      <c r="A1461" s="18"/>
      <c r="B1461" s="15"/>
      <c r="C1461" s="15"/>
      <c r="D1461" s="16"/>
    </row>
    <row r="1462" spans="1:4" x14ac:dyDescent="0.3">
      <c r="A1462" s="17"/>
      <c r="B1462" s="13"/>
      <c r="C1462" s="13"/>
      <c r="D1462" s="14"/>
    </row>
    <row r="1463" spans="1:4" x14ac:dyDescent="0.3">
      <c r="A1463" s="17"/>
      <c r="B1463" s="13"/>
      <c r="C1463" s="13"/>
      <c r="D1463" s="14"/>
    </row>
    <row r="1464" spans="1:4" x14ac:dyDescent="0.3">
      <c r="A1464" s="18"/>
      <c r="B1464" s="15"/>
      <c r="C1464" s="15"/>
      <c r="D1464" s="16"/>
    </row>
    <row r="1465" spans="1:4" x14ac:dyDescent="0.3">
      <c r="A1465" s="17"/>
      <c r="B1465" s="13"/>
      <c r="C1465" s="13"/>
      <c r="D1465" s="14"/>
    </row>
    <row r="1466" spans="1:4" x14ac:dyDescent="0.3">
      <c r="A1466" s="18"/>
      <c r="B1466" s="15"/>
      <c r="C1466" s="15"/>
      <c r="D1466" s="16"/>
    </row>
    <row r="1467" spans="1:4" x14ac:dyDescent="0.3">
      <c r="A1467" s="17"/>
      <c r="B1467" s="13"/>
      <c r="C1467" s="13"/>
      <c r="D1467" s="14"/>
    </row>
    <row r="1468" spans="1:4" x14ac:dyDescent="0.3">
      <c r="A1468" s="17"/>
      <c r="B1468" s="13"/>
      <c r="C1468" s="13"/>
      <c r="D1468" s="14"/>
    </row>
    <row r="1469" spans="1:4" x14ac:dyDescent="0.3">
      <c r="A1469" s="18"/>
      <c r="B1469" s="15"/>
      <c r="C1469" s="15"/>
      <c r="D1469" s="16"/>
    </row>
    <row r="1470" spans="1:4" x14ac:dyDescent="0.3">
      <c r="A1470" s="17"/>
      <c r="B1470" s="13"/>
      <c r="C1470" s="13"/>
      <c r="D1470" s="14"/>
    </row>
    <row r="1471" spans="1:4" x14ac:dyDescent="0.3">
      <c r="A1471" s="18"/>
      <c r="B1471" s="15"/>
      <c r="C1471" s="15"/>
      <c r="D1471" s="16"/>
    </row>
    <row r="1472" spans="1:4" x14ac:dyDescent="0.3">
      <c r="A1472" s="17"/>
      <c r="B1472" s="13"/>
      <c r="C1472" s="13"/>
      <c r="D1472" s="14"/>
    </row>
    <row r="1473" spans="1:4" x14ac:dyDescent="0.3">
      <c r="A1473" s="17"/>
      <c r="B1473" s="13"/>
      <c r="C1473" s="13"/>
      <c r="D1473" s="14"/>
    </row>
    <row r="1474" spans="1:4" x14ac:dyDescent="0.3">
      <c r="A1474" s="18"/>
      <c r="B1474" s="15"/>
      <c r="C1474" s="15"/>
      <c r="D1474" s="16"/>
    </row>
    <row r="1475" spans="1:4" x14ac:dyDescent="0.3">
      <c r="A1475" s="17"/>
      <c r="B1475" s="13"/>
      <c r="C1475" s="13"/>
      <c r="D1475" s="14"/>
    </row>
    <row r="1476" spans="1:4" x14ac:dyDescent="0.3">
      <c r="A1476" s="18"/>
      <c r="B1476" s="15"/>
      <c r="C1476" s="15"/>
      <c r="D1476" s="16"/>
    </row>
    <row r="1477" spans="1:4" x14ac:dyDescent="0.3">
      <c r="A1477" s="17"/>
      <c r="B1477" s="13"/>
      <c r="C1477" s="13"/>
      <c r="D1477" s="14"/>
    </row>
    <row r="1478" spans="1:4" x14ac:dyDescent="0.3">
      <c r="A1478" s="17"/>
      <c r="B1478" s="13"/>
      <c r="C1478" s="13"/>
      <c r="D1478" s="14"/>
    </row>
    <row r="1479" spans="1:4" x14ac:dyDescent="0.3">
      <c r="A1479" s="18"/>
      <c r="B1479" s="15"/>
      <c r="C1479" s="15"/>
      <c r="D1479" s="16"/>
    </row>
    <row r="1480" spans="1:4" x14ac:dyDescent="0.3">
      <c r="A1480" s="17"/>
      <c r="B1480" s="13"/>
      <c r="C1480" s="13"/>
      <c r="D1480" s="14"/>
    </row>
    <row r="1481" spans="1:4" x14ac:dyDescent="0.3">
      <c r="A1481" s="18"/>
      <c r="B1481" s="15"/>
      <c r="C1481" s="15"/>
      <c r="D1481" s="16"/>
    </row>
    <row r="1482" spans="1:4" x14ac:dyDescent="0.3">
      <c r="A1482" s="17"/>
      <c r="B1482" s="13"/>
      <c r="C1482" s="13"/>
      <c r="D1482" s="14"/>
    </row>
    <row r="1483" spans="1:4" x14ac:dyDescent="0.3">
      <c r="A1483" s="17"/>
      <c r="B1483" s="13"/>
      <c r="C1483" s="13"/>
      <c r="D1483" s="14"/>
    </row>
    <row r="1484" spans="1:4" x14ac:dyDescent="0.3">
      <c r="A1484" s="18"/>
      <c r="B1484" s="15"/>
      <c r="C1484" s="15"/>
      <c r="D1484" s="16"/>
    </row>
    <row r="1485" spans="1:4" x14ac:dyDescent="0.3">
      <c r="A1485" s="17"/>
      <c r="B1485" s="13"/>
      <c r="C1485" s="13"/>
      <c r="D1485" s="14"/>
    </row>
    <row r="1486" spans="1:4" x14ac:dyDescent="0.3">
      <c r="A1486" s="18"/>
      <c r="B1486" s="15"/>
      <c r="C1486" s="15"/>
      <c r="D1486" s="16"/>
    </row>
    <row r="1487" spans="1:4" x14ac:dyDescent="0.3">
      <c r="A1487" s="17"/>
      <c r="B1487" s="13"/>
      <c r="C1487" s="13"/>
      <c r="D1487" s="14"/>
    </row>
    <row r="1488" spans="1:4" x14ac:dyDescent="0.3">
      <c r="A1488" s="17"/>
      <c r="B1488" s="13"/>
      <c r="C1488" s="13"/>
      <c r="D1488" s="14"/>
    </row>
    <row r="1489" spans="1:4" x14ac:dyDescent="0.3">
      <c r="A1489" s="18"/>
      <c r="B1489" s="15"/>
      <c r="C1489" s="15"/>
      <c r="D1489" s="16"/>
    </row>
    <row r="1490" spans="1:4" x14ac:dyDescent="0.3">
      <c r="A1490" s="17"/>
      <c r="B1490" s="13"/>
      <c r="C1490" s="13"/>
      <c r="D1490" s="14"/>
    </row>
    <row r="1491" spans="1:4" x14ac:dyDescent="0.3">
      <c r="A1491" s="18"/>
      <c r="B1491" s="15"/>
      <c r="C1491" s="15"/>
      <c r="D1491" s="16"/>
    </row>
    <row r="1492" spans="1:4" x14ac:dyDescent="0.3">
      <c r="A1492" s="17"/>
      <c r="B1492" s="13"/>
      <c r="C1492" s="13"/>
      <c r="D1492" s="14"/>
    </row>
    <row r="1493" spans="1:4" x14ac:dyDescent="0.3">
      <c r="A1493" s="17"/>
      <c r="B1493" s="13"/>
      <c r="C1493" s="13"/>
      <c r="D1493" s="14"/>
    </row>
    <row r="1494" spans="1:4" x14ac:dyDescent="0.3">
      <c r="A1494" s="18"/>
      <c r="B1494" s="15"/>
      <c r="C1494" s="15"/>
      <c r="D1494" s="16"/>
    </row>
    <row r="1495" spans="1:4" x14ac:dyDescent="0.3">
      <c r="A1495" s="17"/>
      <c r="B1495" s="13"/>
      <c r="C1495" s="13"/>
      <c r="D1495" s="14"/>
    </row>
    <row r="1496" spans="1:4" x14ac:dyDescent="0.3">
      <c r="A1496" s="18"/>
      <c r="B1496" s="15"/>
      <c r="C1496" s="15"/>
      <c r="D1496" s="16"/>
    </row>
    <row r="1497" spans="1:4" x14ac:dyDescent="0.3">
      <c r="A1497" s="17"/>
      <c r="B1497" s="13"/>
      <c r="C1497" s="13"/>
      <c r="D1497" s="14"/>
    </row>
    <row r="1498" spans="1:4" x14ac:dyDescent="0.3">
      <c r="A1498" s="17"/>
      <c r="B1498" s="13"/>
      <c r="C1498" s="13"/>
      <c r="D1498" s="14"/>
    </row>
    <row r="1499" spans="1:4" x14ac:dyDescent="0.3">
      <c r="A1499" s="18"/>
      <c r="B1499" s="15"/>
      <c r="C1499" s="15"/>
      <c r="D1499" s="16"/>
    </row>
    <row r="1500" spans="1:4" x14ac:dyDescent="0.3">
      <c r="A1500" s="17"/>
      <c r="B1500" s="13"/>
      <c r="C1500" s="13"/>
      <c r="D1500" s="14"/>
    </row>
    <row r="1501" spans="1:4" x14ac:dyDescent="0.3">
      <c r="A1501" s="18"/>
      <c r="B1501" s="15"/>
      <c r="C1501" s="15"/>
      <c r="D1501" s="16"/>
    </row>
    <row r="1502" spans="1:4" x14ac:dyDescent="0.3">
      <c r="A1502" s="17"/>
      <c r="B1502" s="13"/>
      <c r="C1502" s="13"/>
      <c r="D1502" s="14"/>
    </row>
    <row r="1503" spans="1:4" x14ac:dyDescent="0.3">
      <c r="A1503" s="17"/>
      <c r="B1503" s="13"/>
      <c r="C1503" s="13"/>
      <c r="D1503" s="14"/>
    </row>
    <row r="1504" spans="1:4" x14ac:dyDescent="0.3">
      <c r="A1504" s="18"/>
      <c r="B1504" s="15"/>
      <c r="C1504" s="15"/>
      <c r="D1504" s="16"/>
    </row>
    <row r="1505" spans="1:4" x14ac:dyDescent="0.3">
      <c r="A1505" s="17"/>
      <c r="B1505" s="13"/>
      <c r="C1505" s="13"/>
      <c r="D1505" s="14"/>
    </row>
    <row r="1506" spans="1:4" x14ac:dyDescent="0.3">
      <c r="A1506" s="18"/>
      <c r="B1506" s="15"/>
      <c r="C1506" s="15"/>
      <c r="D1506" s="16"/>
    </row>
    <row r="1507" spans="1:4" x14ac:dyDescent="0.3">
      <c r="A1507" s="17"/>
      <c r="B1507" s="13"/>
      <c r="C1507" s="13"/>
      <c r="D1507" s="14"/>
    </row>
    <row r="1508" spans="1:4" x14ac:dyDescent="0.3">
      <c r="A1508" s="17"/>
      <c r="B1508" s="13"/>
      <c r="C1508" s="13"/>
      <c r="D1508" s="14"/>
    </row>
    <row r="1509" spans="1:4" x14ac:dyDescent="0.3">
      <c r="A1509" s="18"/>
      <c r="B1509" s="15"/>
      <c r="C1509" s="15"/>
      <c r="D1509" s="16"/>
    </row>
    <row r="1510" spans="1:4" x14ac:dyDescent="0.3">
      <c r="A1510" s="17"/>
      <c r="B1510" s="13"/>
      <c r="C1510" s="13"/>
      <c r="D1510" s="14"/>
    </row>
    <row r="1511" spans="1:4" x14ac:dyDescent="0.3">
      <c r="A1511" s="18"/>
      <c r="B1511" s="15"/>
      <c r="C1511" s="15"/>
      <c r="D1511" s="16"/>
    </row>
    <row r="1512" spans="1:4" x14ac:dyDescent="0.3">
      <c r="A1512" s="17"/>
      <c r="B1512" s="13"/>
      <c r="C1512" s="13"/>
      <c r="D1512" s="14"/>
    </row>
    <row r="1513" spans="1:4" x14ac:dyDescent="0.3">
      <c r="A1513" s="17"/>
      <c r="B1513" s="13"/>
      <c r="C1513" s="13"/>
      <c r="D1513" s="14"/>
    </row>
    <row r="1514" spans="1:4" x14ac:dyDescent="0.3">
      <c r="A1514" s="18"/>
      <c r="B1514" s="15"/>
      <c r="C1514" s="15"/>
      <c r="D1514" s="16"/>
    </row>
    <row r="1515" spans="1:4" x14ac:dyDescent="0.3">
      <c r="A1515" s="17"/>
      <c r="B1515" s="13"/>
      <c r="C1515" s="13"/>
      <c r="D1515" s="14"/>
    </row>
    <row r="1516" spans="1:4" x14ac:dyDescent="0.3">
      <c r="A1516" s="18"/>
      <c r="B1516" s="15"/>
      <c r="C1516" s="15"/>
      <c r="D1516" s="16"/>
    </row>
    <row r="1517" spans="1:4" x14ac:dyDescent="0.3">
      <c r="A1517" s="17"/>
      <c r="B1517" s="13"/>
      <c r="C1517" s="13"/>
      <c r="D1517" s="14"/>
    </row>
    <row r="1518" spans="1:4" x14ac:dyDescent="0.3">
      <c r="A1518" s="17"/>
      <c r="B1518" s="13"/>
      <c r="C1518" s="13"/>
      <c r="D1518" s="14"/>
    </row>
    <row r="1519" spans="1:4" x14ac:dyDescent="0.3">
      <c r="A1519" s="17"/>
      <c r="B1519" s="13"/>
      <c r="C1519" s="13"/>
      <c r="D1519" s="14"/>
    </row>
    <row r="1520" spans="1:4" x14ac:dyDescent="0.3">
      <c r="A1520" s="17"/>
      <c r="B1520" s="13"/>
      <c r="C1520" s="13"/>
      <c r="D1520" s="14"/>
    </row>
    <row r="1521" spans="1:4" x14ac:dyDescent="0.3">
      <c r="A1521" s="18"/>
      <c r="B1521" s="15"/>
      <c r="C1521" s="15"/>
      <c r="D1521" s="16"/>
    </row>
    <row r="1522" spans="1:4" x14ac:dyDescent="0.3">
      <c r="A1522" s="17"/>
      <c r="B1522" s="13"/>
      <c r="C1522" s="13"/>
      <c r="D1522" s="14"/>
    </row>
    <row r="1523" spans="1:4" x14ac:dyDescent="0.3">
      <c r="A1523" s="17"/>
      <c r="B1523" s="13"/>
      <c r="C1523" s="13"/>
      <c r="D1523" s="14"/>
    </row>
    <row r="1524" spans="1:4" x14ac:dyDescent="0.3">
      <c r="A1524" s="17"/>
      <c r="B1524" s="13"/>
      <c r="C1524" s="13"/>
      <c r="D1524" s="14"/>
    </row>
    <row r="1525" spans="1:4" x14ac:dyDescent="0.3">
      <c r="A1525" s="17"/>
      <c r="B1525" s="13"/>
      <c r="C1525" s="13"/>
      <c r="D1525" s="14"/>
    </row>
    <row r="1526" spans="1:4" x14ac:dyDescent="0.3">
      <c r="A1526" s="18"/>
      <c r="B1526" s="15"/>
      <c r="C1526" s="15"/>
      <c r="D1526" s="16"/>
    </row>
    <row r="1527" spans="1:4" x14ac:dyDescent="0.3">
      <c r="A1527" s="17"/>
      <c r="B1527" s="13"/>
      <c r="C1527" s="13"/>
      <c r="D1527" s="14"/>
    </row>
    <row r="1528" spans="1:4" x14ac:dyDescent="0.3">
      <c r="A1528" s="17"/>
      <c r="B1528" s="13"/>
      <c r="C1528" s="13"/>
      <c r="D1528" s="14"/>
    </row>
    <row r="1529" spans="1:4" x14ac:dyDescent="0.3">
      <c r="A1529" s="17"/>
      <c r="B1529" s="13"/>
      <c r="C1529" s="13"/>
      <c r="D1529" s="14"/>
    </row>
    <row r="1530" spans="1:4" x14ac:dyDescent="0.3">
      <c r="A1530" s="17"/>
      <c r="B1530" s="13"/>
      <c r="C1530" s="13"/>
      <c r="D1530" s="14"/>
    </row>
    <row r="1531" spans="1:4" x14ac:dyDescent="0.3">
      <c r="A1531" s="18"/>
      <c r="B1531" s="15"/>
      <c r="C1531" s="15"/>
      <c r="D1531" s="16"/>
    </row>
    <row r="1532" spans="1:4" x14ac:dyDescent="0.3">
      <c r="A1532" s="17"/>
      <c r="B1532" s="13"/>
      <c r="C1532" s="13"/>
      <c r="D1532" s="14"/>
    </row>
    <row r="1533" spans="1:4" x14ac:dyDescent="0.3">
      <c r="A1533" s="17"/>
      <c r="B1533" s="13"/>
      <c r="C1533" s="13"/>
      <c r="D1533" s="14"/>
    </row>
    <row r="1534" spans="1:4" x14ac:dyDescent="0.3">
      <c r="A1534" s="17"/>
      <c r="B1534" s="13"/>
      <c r="C1534" s="13"/>
      <c r="D1534" s="14"/>
    </row>
    <row r="1535" spans="1:4" x14ac:dyDescent="0.3">
      <c r="A1535" s="17"/>
      <c r="B1535" s="13"/>
      <c r="C1535" s="13"/>
      <c r="D1535" s="14"/>
    </row>
    <row r="1536" spans="1:4" x14ac:dyDescent="0.3">
      <c r="A1536" s="18"/>
      <c r="B1536" s="15"/>
      <c r="C1536" s="15"/>
      <c r="D1536" s="16"/>
    </row>
    <row r="1537" spans="1:4" x14ac:dyDescent="0.3">
      <c r="A1537" s="17"/>
      <c r="B1537" s="13"/>
      <c r="C1537" s="13"/>
      <c r="D1537" s="14"/>
    </row>
    <row r="1538" spans="1:4" x14ac:dyDescent="0.3">
      <c r="A1538" s="17"/>
      <c r="B1538" s="13"/>
      <c r="C1538" s="13"/>
      <c r="D1538" s="14"/>
    </row>
    <row r="1539" spans="1:4" x14ac:dyDescent="0.3">
      <c r="A1539" s="17"/>
      <c r="B1539" s="13"/>
      <c r="C1539" s="13"/>
      <c r="D1539" s="14"/>
    </row>
    <row r="1540" spans="1:4" x14ac:dyDescent="0.3">
      <c r="A1540" s="17"/>
      <c r="B1540" s="13"/>
      <c r="C1540" s="13"/>
      <c r="D1540" s="14"/>
    </row>
    <row r="1541" spans="1:4" x14ac:dyDescent="0.3">
      <c r="A1541" s="18"/>
      <c r="B1541" s="15"/>
      <c r="C1541" s="15"/>
      <c r="D1541" s="16"/>
    </row>
    <row r="1542" spans="1:4" x14ac:dyDescent="0.3">
      <c r="A1542" s="17"/>
      <c r="B1542" s="13"/>
      <c r="C1542" s="13"/>
      <c r="D1542" s="14"/>
    </row>
    <row r="1543" spans="1:4" x14ac:dyDescent="0.3">
      <c r="A1543" s="17"/>
      <c r="B1543" s="13"/>
      <c r="C1543" s="13"/>
      <c r="D1543" s="14"/>
    </row>
    <row r="1544" spans="1:4" x14ac:dyDescent="0.3">
      <c r="A1544" s="17"/>
      <c r="B1544" s="13"/>
      <c r="C1544" s="13"/>
      <c r="D1544" s="14"/>
    </row>
    <row r="1545" spans="1:4" x14ac:dyDescent="0.3">
      <c r="A1545" s="17"/>
      <c r="B1545" s="13"/>
      <c r="C1545" s="13"/>
      <c r="D1545" s="14"/>
    </row>
    <row r="1546" spans="1:4" x14ac:dyDescent="0.3">
      <c r="A1546" s="18"/>
      <c r="B1546" s="15"/>
      <c r="C1546" s="15"/>
      <c r="D1546" s="16"/>
    </row>
    <row r="1547" spans="1:4" x14ac:dyDescent="0.3">
      <c r="A1547" s="17"/>
      <c r="B1547" s="13"/>
      <c r="C1547" s="13"/>
      <c r="D1547" s="14"/>
    </row>
    <row r="1548" spans="1:4" x14ac:dyDescent="0.3">
      <c r="A1548" s="17"/>
      <c r="B1548" s="13"/>
      <c r="C1548" s="13"/>
      <c r="D1548" s="14"/>
    </row>
    <row r="1549" spans="1:4" x14ac:dyDescent="0.3">
      <c r="A1549" s="17"/>
      <c r="B1549" s="13"/>
      <c r="C1549" s="13"/>
      <c r="D1549" s="14"/>
    </row>
    <row r="1550" spans="1:4" x14ac:dyDescent="0.3">
      <c r="A1550" s="17"/>
      <c r="B1550" s="13"/>
      <c r="C1550" s="13"/>
      <c r="D1550" s="14"/>
    </row>
    <row r="1551" spans="1:4" x14ac:dyDescent="0.3">
      <c r="A1551" s="18"/>
      <c r="B1551" s="15"/>
      <c r="C1551" s="15"/>
      <c r="D1551" s="16"/>
    </row>
    <row r="1552" spans="1:4" x14ac:dyDescent="0.3">
      <c r="A1552" s="17"/>
      <c r="B1552" s="13"/>
      <c r="C1552" s="13"/>
      <c r="D1552" s="14"/>
    </row>
    <row r="1553" spans="1:4" x14ac:dyDescent="0.3">
      <c r="A1553" s="17"/>
      <c r="B1553" s="13"/>
      <c r="C1553" s="13"/>
      <c r="D1553" s="14"/>
    </row>
    <row r="1554" spans="1:4" x14ac:dyDescent="0.3">
      <c r="A1554" s="17"/>
      <c r="B1554" s="13"/>
      <c r="C1554" s="13"/>
      <c r="D1554" s="14"/>
    </row>
    <row r="1555" spans="1:4" x14ac:dyDescent="0.3">
      <c r="A1555" s="17"/>
      <c r="B1555" s="13"/>
      <c r="C1555" s="13"/>
      <c r="D1555" s="14"/>
    </row>
    <row r="1556" spans="1:4" x14ac:dyDescent="0.3">
      <c r="A1556" s="18"/>
      <c r="B1556" s="15"/>
      <c r="C1556" s="15"/>
      <c r="D1556" s="16"/>
    </row>
    <row r="1557" spans="1:4" x14ac:dyDescent="0.3">
      <c r="A1557" s="17"/>
      <c r="B1557" s="13"/>
      <c r="C1557" s="13"/>
      <c r="D1557" s="14"/>
    </row>
    <row r="1558" spans="1:4" x14ac:dyDescent="0.3">
      <c r="A1558" s="17"/>
      <c r="B1558" s="13"/>
      <c r="C1558" s="13"/>
      <c r="D1558" s="14"/>
    </row>
    <row r="1559" spans="1:4" x14ac:dyDescent="0.3">
      <c r="A1559" s="17"/>
      <c r="B1559" s="13"/>
      <c r="C1559" s="13"/>
      <c r="D1559" s="14"/>
    </row>
    <row r="1560" spans="1:4" x14ac:dyDescent="0.3">
      <c r="A1560" s="17"/>
      <c r="B1560" s="13"/>
      <c r="C1560" s="13"/>
      <c r="D1560" s="14"/>
    </row>
    <row r="1561" spans="1:4" x14ac:dyDescent="0.3">
      <c r="A1561" s="18"/>
      <c r="B1561" s="15"/>
      <c r="C1561" s="15"/>
      <c r="D1561" s="16"/>
    </row>
    <row r="1562" spans="1:4" x14ac:dyDescent="0.3">
      <c r="A1562" s="17"/>
      <c r="B1562" s="13"/>
      <c r="C1562" s="13"/>
      <c r="D1562" s="14"/>
    </row>
    <row r="1563" spans="1:4" x14ac:dyDescent="0.3">
      <c r="A1563" s="17"/>
      <c r="B1563" s="13"/>
      <c r="C1563" s="13"/>
      <c r="D1563" s="14"/>
    </row>
    <row r="1564" spans="1:4" x14ac:dyDescent="0.3">
      <c r="A1564" s="17"/>
      <c r="B1564" s="13"/>
      <c r="C1564" s="13"/>
      <c r="D1564" s="14"/>
    </row>
    <row r="1565" spans="1:4" x14ac:dyDescent="0.3">
      <c r="A1565" s="17"/>
      <c r="B1565" s="13"/>
      <c r="C1565" s="13"/>
      <c r="D1565" s="14"/>
    </row>
    <row r="1566" spans="1:4" x14ac:dyDescent="0.3">
      <c r="A1566" s="18"/>
      <c r="B1566" s="15"/>
      <c r="C1566" s="15"/>
      <c r="D1566" s="16"/>
    </row>
    <row r="1567" spans="1:4" x14ac:dyDescent="0.3">
      <c r="A1567" s="17"/>
      <c r="B1567" s="13"/>
      <c r="C1567" s="13"/>
      <c r="D1567" s="14"/>
    </row>
    <row r="1568" spans="1:4" x14ac:dyDescent="0.3">
      <c r="A1568" s="17"/>
      <c r="B1568" s="13"/>
      <c r="C1568" s="13"/>
      <c r="D1568" s="14"/>
    </row>
    <row r="1569" spans="1:4" x14ac:dyDescent="0.3">
      <c r="A1569" s="17"/>
      <c r="B1569" s="13"/>
      <c r="C1569" s="13"/>
      <c r="D1569" s="14"/>
    </row>
    <row r="1570" spans="1:4" x14ac:dyDescent="0.3">
      <c r="A1570" s="17"/>
      <c r="B1570" s="13"/>
      <c r="C1570" s="13"/>
      <c r="D1570" s="14"/>
    </row>
    <row r="1571" spans="1:4" x14ac:dyDescent="0.3">
      <c r="A1571" s="18"/>
      <c r="B1571" s="15"/>
      <c r="C1571" s="15"/>
      <c r="D1571" s="16"/>
    </row>
    <row r="1572" spans="1:4" x14ac:dyDescent="0.3">
      <c r="A1572" s="17"/>
      <c r="B1572" s="13"/>
      <c r="C1572" s="13"/>
      <c r="D1572" s="14"/>
    </row>
    <row r="1573" spans="1:4" x14ac:dyDescent="0.3">
      <c r="A1573" s="17"/>
      <c r="B1573" s="13"/>
      <c r="C1573" s="13"/>
      <c r="D1573" s="14"/>
    </row>
    <row r="1574" spans="1:4" x14ac:dyDescent="0.3">
      <c r="A1574" s="17"/>
      <c r="B1574" s="13"/>
      <c r="C1574" s="13"/>
      <c r="D1574" s="14"/>
    </row>
    <row r="1575" spans="1:4" x14ac:dyDescent="0.3">
      <c r="A1575" s="17"/>
      <c r="B1575" s="13"/>
      <c r="C1575" s="13"/>
      <c r="D1575" s="14"/>
    </row>
    <row r="1576" spans="1:4" x14ac:dyDescent="0.3">
      <c r="A1576" s="18"/>
      <c r="B1576" s="15"/>
      <c r="C1576" s="15"/>
      <c r="D1576" s="16"/>
    </row>
    <row r="1577" spans="1:4" x14ac:dyDescent="0.3">
      <c r="A1577" s="17"/>
      <c r="B1577" s="13"/>
      <c r="C1577" s="13"/>
      <c r="D1577" s="14"/>
    </row>
    <row r="1578" spans="1:4" x14ac:dyDescent="0.3">
      <c r="A1578" s="17"/>
      <c r="B1578" s="13"/>
      <c r="C1578" s="13"/>
      <c r="D1578" s="14"/>
    </row>
    <row r="1579" spans="1:4" x14ac:dyDescent="0.3">
      <c r="A1579" s="17"/>
      <c r="B1579" s="13"/>
      <c r="C1579" s="13"/>
      <c r="D1579" s="14"/>
    </row>
    <row r="1580" spans="1:4" x14ac:dyDescent="0.3">
      <c r="A1580" s="17"/>
      <c r="B1580" s="13"/>
      <c r="C1580" s="13"/>
      <c r="D1580" s="14"/>
    </row>
    <row r="1581" spans="1:4" x14ac:dyDescent="0.3">
      <c r="A1581" s="18"/>
      <c r="B1581" s="15"/>
      <c r="C1581" s="15"/>
      <c r="D1581" s="16"/>
    </row>
    <row r="1582" spans="1:4" x14ac:dyDescent="0.3">
      <c r="A1582" s="17"/>
      <c r="B1582" s="13"/>
      <c r="C1582" s="13"/>
      <c r="D1582" s="14"/>
    </row>
    <row r="1583" spans="1:4" x14ac:dyDescent="0.3">
      <c r="A1583" s="17"/>
      <c r="B1583" s="13"/>
      <c r="C1583" s="13"/>
      <c r="D1583" s="14"/>
    </row>
    <row r="1584" spans="1:4" x14ac:dyDescent="0.3">
      <c r="A1584" s="17"/>
      <c r="B1584" s="13"/>
      <c r="C1584" s="13"/>
      <c r="D1584" s="14"/>
    </row>
    <row r="1585" spans="1:4" x14ac:dyDescent="0.3">
      <c r="A1585" s="17"/>
      <c r="B1585" s="13"/>
      <c r="C1585" s="13"/>
      <c r="D1585" s="14"/>
    </row>
    <row r="1586" spans="1:4" x14ac:dyDescent="0.3">
      <c r="A1586" s="18"/>
      <c r="B1586" s="15"/>
      <c r="C1586" s="15"/>
      <c r="D1586" s="16"/>
    </row>
    <row r="1587" spans="1:4" x14ac:dyDescent="0.3">
      <c r="A1587" s="17"/>
      <c r="B1587" s="13"/>
      <c r="C1587" s="13"/>
      <c r="D1587" s="14"/>
    </row>
    <row r="1588" spans="1:4" x14ac:dyDescent="0.3">
      <c r="A1588" s="17"/>
      <c r="B1588" s="13"/>
      <c r="C1588" s="13"/>
      <c r="D1588" s="14"/>
    </row>
    <row r="1589" spans="1:4" x14ac:dyDescent="0.3">
      <c r="A1589" s="17"/>
      <c r="B1589" s="13"/>
      <c r="C1589" s="13"/>
      <c r="D1589" s="14"/>
    </row>
    <row r="1590" spans="1:4" x14ac:dyDescent="0.3">
      <c r="A1590" s="17"/>
      <c r="B1590" s="13"/>
      <c r="C1590" s="13"/>
      <c r="D1590" s="14"/>
    </row>
    <row r="1591" spans="1:4" x14ac:dyDescent="0.3">
      <c r="A1591" s="18"/>
      <c r="B1591" s="15"/>
      <c r="C1591" s="15"/>
      <c r="D1591" s="16"/>
    </row>
    <row r="1592" spans="1:4" x14ac:dyDescent="0.3">
      <c r="A1592" s="17"/>
      <c r="B1592" s="13"/>
      <c r="C1592" s="13"/>
      <c r="D1592" s="14"/>
    </row>
    <row r="1593" spans="1:4" x14ac:dyDescent="0.3">
      <c r="A1593" s="17"/>
      <c r="B1593" s="13"/>
      <c r="C1593" s="13"/>
      <c r="D1593" s="14"/>
    </row>
    <row r="1594" spans="1:4" x14ac:dyDescent="0.3">
      <c r="A1594" s="17"/>
      <c r="B1594" s="13"/>
      <c r="C1594" s="13"/>
      <c r="D1594" s="14"/>
    </row>
    <row r="1595" spans="1:4" x14ac:dyDescent="0.3">
      <c r="A1595" s="17"/>
      <c r="B1595" s="13"/>
      <c r="C1595" s="13"/>
      <c r="D1595" s="14"/>
    </row>
    <row r="1596" spans="1:4" x14ac:dyDescent="0.3">
      <c r="A1596" s="18"/>
      <c r="B1596" s="15"/>
      <c r="C1596" s="15"/>
      <c r="D1596" s="16"/>
    </row>
    <row r="1597" spans="1:4" x14ac:dyDescent="0.3">
      <c r="A1597" s="17"/>
      <c r="B1597" s="13"/>
      <c r="C1597" s="13"/>
      <c r="D1597" s="14"/>
    </row>
    <row r="1598" spans="1:4" x14ac:dyDescent="0.3">
      <c r="A1598" s="17"/>
      <c r="B1598" s="13"/>
      <c r="C1598" s="13"/>
      <c r="D1598" s="14"/>
    </row>
    <row r="1599" spans="1:4" x14ac:dyDescent="0.3">
      <c r="A1599" s="17"/>
      <c r="B1599" s="13"/>
      <c r="C1599" s="13"/>
      <c r="D1599" s="14"/>
    </row>
    <row r="1600" spans="1:4" x14ac:dyDescent="0.3">
      <c r="A1600" s="17"/>
      <c r="B1600" s="13"/>
      <c r="C1600" s="13"/>
      <c r="D1600" s="14"/>
    </row>
    <row r="1601" spans="1:4" x14ac:dyDescent="0.3">
      <c r="A1601" s="18"/>
      <c r="B1601" s="15"/>
      <c r="C1601" s="15"/>
      <c r="D1601" s="16"/>
    </row>
    <row r="1602" spans="1:4" x14ac:dyDescent="0.3">
      <c r="A1602" s="17"/>
      <c r="B1602" s="13"/>
      <c r="C1602" s="13"/>
      <c r="D1602" s="14"/>
    </row>
    <row r="1603" spans="1:4" x14ac:dyDescent="0.3">
      <c r="A1603" s="17"/>
      <c r="B1603" s="13"/>
      <c r="C1603" s="13"/>
      <c r="D1603" s="14"/>
    </row>
    <row r="1604" spans="1:4" x14ac:dyDescent="0.3">
      <c r="A1604" s="17"/>
      <c r="B1604" s="13"/>
      <c r="C1604" s="13"/>
      <c r="D1604" s="14"/>
    </row>
    <row r="1605" spans="1:4" x14ac:dyDescent="0.3">
      <c r="A1605" s="17"/>
      <c r="B1605" s="13"/>
      <c r="C1605" s="13"/>
      <c r="D1605" s="14"/>
    </row>
    <row r="1606" spans="1:4" x14ac:dyDescent="0.3">
      <c r="A1606" s="18"/>
      <c r="B1606" s="15"/>
      <c r="C1606" s="15"/>
      <c r="D1606" s="16"/>
    </row>
    <row r="1607" spans="1:4" x14ac:dyDescent="0.3">
      <c r="A1607" s="17"/>
      <c r="B1607" s="13"/>
      <c r="C1607" s="13"/>
      <c r="D1607" s="14"/>
    </row>
    <row r="1608" spans="1:4" x14ac:dyDescent="0.3">
      <c r="A1608" s="17"/>
      <c r="B1608" s="13"/>
      <c r="C1608" s="13"/>
      <c r="D1608" s="14"/>
    </row>
    <row r="1609" spans="1:4" x14ac:dyDescent="0.3">
      <c r="A1609" s="17"/>
      <c r="B1609" s="13"/>
      <c r="C1609" s="13"/>
      <c r="D1609" s="14"/>
    </row>
    <row r="1610" spans="1:4" x14ac:dyDescent="0.3">
      <c r="A1610" s="17"/>
      <c r="B1610" s="13"/>
      <c r="C1610" s="13"/>
      <c r="D1610" s="14"/>
    </row>
    <row r="1611" spans="1:4" x14ac:dyDescent="0.3">
      <c r="A1611" s="18"/>
      <c r="B1611" s="15"/>
      <c r="C1611" s="15"/>
      <c r="D1611" s="16"/>
    </row>
    <row r="1612" spans="1:4" x14ac:dyDescent="0.3">
      <c r="A1612" s="17"/>
      <c r="B1612" s="13"/>
      <c r="C1612" s="13"/>
      <c r="D1612" s="14"/>
    </row>
    <row r="1613" spans="1:4" x14ac:dyDescent="0.3">
      <c r="A1613" s="17"/>
      <c r="B1613" s="13"/>
      <c r="C1613" s="13"/>
      <c r="D1613" s="14"/>
    </row>
    <row r="1614" spans="1:4" x14ac:dyDescent="0.3">
      <c r="A1614" s="17"/>
      <c r="B1614" s="13"/>
      <c r="C1614" s="13"/>
      <c r="D1614" s="14"/>
    </row>
    <row r="1615" spans="1:4" x14ac:dyDescent="0.3">
      <c r="A1615" s="17"/>
      <c r="B1615" s="13"/>
      <c r="C1615" s="13"/>
      <c r="D1615" s="14"/>
    </row>
    <row r="1616" spans="1:4" x14ac:dyDescent="0.3">
      <c r="A1616" s="18"/>
      <c r="B1616" s="15"/>
      <c r="C1616" s="15"/>
      <c r="D1616" s="16"/>
    </row>
    <row r="1617" spans="1:4" x14ac:dyDescent="0.3">
      <c r="A1617" s="17"/>
      <c r="B1617" s="13"/>
      <c r="C1617" s="13"/>
      <c r="D1617" s="14"/>
    </row>
    <row r="1618" spans="1:4" x14ac:dyDescent="0.3">
      <c r="A1618" s="17"/>
      <c r="B1618" s="13"/>
      <c r="C1618" s="13"/>
      <c r="D1618" s="14"/>
    </row>
    <row r="1619" spans="1:4" x14ac:dyDescent="0.3">
      <c r="A1619" s="17"/>
      <c r="B1619" s="13"/>
      <c r="C1619" s="13"/>
      <c r="D1619" s="14"/>
    </row>
    <row r="1620" spans="1:4" x14ac:dyDescent="0.3">
      <c r="A1620" s="17"/>
      <c r="B1620" s="13"/>
      <c r="C1620" s="13"/>
      <c r="D1620" s="14"/>
    </row>
    <row r="1621" spans="1:4" x14ac:dyDescent="0.3">
      <c r="A1621" s="18"/>
      <c r="B1621" s="15"/>
      <c r="C1621" s="15"/>
      <c r="D1621" s="16"/>
    </row>
    <row r="1622" spans="1:4" x14ac:dyDescent="0.3">
      <c r="A1622" s="17"/>
      <c r="B1622" s="13"/>
      <c r="C1622" s="13"/>
      <c r="D1622" s="14"/>
    </row>
    <row r="1623" spans="1:4" x14ac:dyDescent="0.3">
      <c r="A1623" s="17"/>
      <c r="B1623" s="13"/>
      <c r="C1623" s="13"/>
      <c r="D1623" s="14"/>
    </row>
    <row r="1624" spans="1:4" x14ac:dyDescent="0.3">
      <c r="A1624" s="17"/>
      <c r="B1624" s="13"/>
      <c r="C1624" s="13"/>
      <c r="D1624" s="14"/>
    </row>
    <row r="1625" spans="1:4" x14ac:dyDescent="0.3">
      <c r="A1625" s="17"/>
      <c r="B1625" s="13"/>
      <c r="C1625" s="13"/>
      <c r="D1625" s="14"/>
    </row>
    <row r="1626" spans="1:4" x14ac:dyDescent="0.3">
      <c r="A1626" s="18"/>
      <c r="B1626" s="15"/>
      <c r="C1626" s="15"/>
      <c r="D1626" s="16"/>
    </row>
    <row r="1627" spans="1:4" x14ac:dyDescent="0.3">
      <c r="A1627" s="17"/>
      <c r="B1627" s="13"/>
      <c r="C1627" s="13"/>
      <c r="D1627" s="14"/>
    </row>
    <row r="1628" spans="1:4" x14ac:dyDescent="0.3">
      <c r="A1628" s="17"/>
      <c r="B1628" s="13"/>
      <c r="C1628" s="13"/>
      <c r="D1628" s="14"/>
    </row>
    <row r="1629" spans="1:4" x14ac:dyDescent="0.3">
      <c r="A1629" s="17"/>
      <c r="B1629" s="13"/>
      <c r="C1629" s="13"/>
      <c r="D1629" s="14"/>
    </row>
    <row r="1630" spans="1:4" x14ac:dyDescent="0.3">
      <c r="A1630" s="17"/>
      <c r="B1630" s="13"/>
      <c r="C1630" s="13"/>
      <c r="D1630" s="14"/>
    </row>
    <row r="1631" spans="1:4" x14ac:dyDescent="0.3">
      <c r="A1631" s="18"/>
      <c r="B1631" s="15"/>
      <c r="C1631" s="15"/>
      <c r="D1631" s="16"/>
    </row>
    <row r="1632" spans="1:4" x14ac:dyDescent="0.3">
      <c r="A1632" s="17"/>
      <c r="B1632" s="13"/>
      <c r="C1632" s="13"/>
      <c r="D1632" s="14"/>
    </row>
    <row r="1633" spans="1:4" x14ac:dyDescent="0.3">
      <c r="A1633" s="17"/>
      <c r="B1633" s="13"/>
      <c r="C1633" s="13"/>
      <c r="D1633" s="14"/>
    </row>
    <row r="1634" spans="1:4" x14ac:dyDescent="0.3">
      <c r="A1634" s="17"/>
      <c r="B1634" s="13"/>
      <c r="C1634" s="13"/>
      <c r="D1634" s="14"/>
    </row>
    <row r="1635" spans="1:4" x14ac:dyDescent="0.3">
      <c r="A1635" s="17"/>
      <c r="B1635" s="13"/>
      <c r="C1635" s="13"/>
      <c r="D1635" s="14"/>
    </row>
    <row r="1636" spans="1:4" x14ac:dyDescent="0.3">
      <c r="A1636" s="18"/>
      <c r="B1636" s="15"/>
      <c r="C1636" s="15"/>
      <c r="D1636" s="16"/>
    </row>
    <row r="1637" spans="1:4" x14ac:dyDescent="0.3">
      <c r="A1637" s="17"/>
      <c r="B1637" s="13"/>
      <c r="C1637" s="13"/>
      <c r="D1637" s="14"/>
    </row>
    <row r="1638" spans="1:4" x14ac:dyDescent="0.3">
      <c r="A1638" s="17"/>
      <c r="B1638" s="13"/>
      <c r="C1638" s="13"/>
      <c r="D1638" s="14"/>
    </row>
    <row r="1639" spans="1:4" x14ac:dyDescent="0.3">
      <c r="A1639" s="17"/>
      <c r="B1639" s="13"/>
      <c r="C1639" s="13"/>
      <c r="D1639" s="14"/>
    </row>
    <row r="1640" spans="1:4" x14ac:dyDescent="0.3">
      <c r="A1640" s="17"/>
      <c r="B1640" s="13"/>
      <c r="C1640" s="13"/>
      <c r="D1640" s="14"/>
    </row>
    <row r="1641" spans="1:4" x14ac:dyDescent="0.3">
      <c r="A1641" s="18"/>
      <c r="B1641" s="15"/>
      <c r="C1641" s="15"/>
      <c r="D1641" s="16"/>
    </row>
    <row r="1642" spans="1:4" x14ac:dyDescent="0.3">
      <c r="A1642" s="17"/>
      <c r="B1642" s="13"/>
      <c r="C1642" s="13"/>
      <c r="D1642" s="14"/>
    </row>
    <row r="1643" spans="1:4" x14ac:dyDescent="0.3">
      <c r="A1643" s="17"/>
      <c r="B1643" s="13"/>
      <c r="C1643" s="13"/>
      <c r="D1643" s="14"/>
    </row>
    <row r="1644" spans="1:4" x14ac:dyDescent="0.3">
      <c r="A1644" s="17"/>
      <c r="B1644" s="13"/>
      <c r="C1644" s="13"/>
      <c r="D1644" s="14"/>
    </row>
    <row r="1645" spans="1:4" x14ac:dyDescent="0.3">
      <c r="A1645" s="17"/>
      <c r="B1645" s="13"/>
      <c r="C1645" s="13"/>
      <c r="D1645" s="14"/>
    </row>
    <row r="1646" spans="1:4" x14ac:dyDescent="0.3">
      <c r="A1646" s="18"/>
      <c r="B1646" s="15"/>
      <c r="C1646" s="15"/>
      <c r="D1646" s="16"/>
    </row>
    <row r="1647" spans="1:4" x14ac:dyDescent="0.3">
      <c r="A1647" s="17"/>
      <c r="B1647" s="13"/>
      <c r="C1647" s="13"/>
      <c r="D1647" s="14"/>
    </row>
    <row r="1648" spans="1:4" x14ac:dyDescent="0.3">
      <c r="A1648" s="17"/>
      <c r="B1648" s="13"/>
      <c r="C1648" s="13"/>
      <c r="D1648" s="14"/>
    </row>
    <row r="1649" spans="1:4" x14ac:dyDescent="0.3">
      <c r="A1649" s="17"/>
      <c r="B1649" s="13"/>
      <c r="C1649" s="13"/>
      <c r="D1649" s="14"/>
    </row>
    <row r="1650" spans="1:4" x14ac:dyDescent="0.3">
      <c r="A1650" s="17"/>
      <c r="B1650" s="13"/>
      <c r="C1650" s="13"/>
      <c r="D1650" s="14"/>
    </row>
    <row r="1651" spans="1:4" x14ac:dyDescent="0.3">
      <c r="A1651" s="18"/>
      <c r="B1651" s="15"/>
      <c r="C1651" s="15"/>
      <c r="D1651" s="16"/>
    </row>
    <row r="1652" spans="1:4" x14ac:dyDescent="0.3">
      <c r="A1652" s="17"/>
      <c r="B1652" s="13"/>
      <c r="C1652" s="13"/>
      <c r="D1652" s="14"/>
    </row>
    <row r="1653" spans="1:4" x14ac:dyDescent="0.3">
      <c r="A1653" s="17"/>
      <c r="B1653" s="13"/>
      <c r="C1653" s="13"/>
      <c r="D1653" s="14"/>
    </row>
    <row r="1654" spans="1:4" x14ac:dyDescent="0.3">
      <c r="A1654" s="17"/>
      <c r="B1654" s="13"/>
      <c r="C1654" s="13"/>
      <c r="D1654" s="14"/>
    </row>
    <row r="1655" spans="1:4" x14ac:dyDescent="0.3">
      <c r="A1655" s="17"/>
      <c r="B1655" s="13"/>
      <c r="C1655" s="13"/>
      <c r="D1655" s="14"/>
    </row>
    <row r="1656" spans="1:4" x14ac:dyDescent="0.3">
      <c r="A1656" s="18"/>
      <c r="B1656" s="15"/>
      <c r="C1656" s="15"/>
      <c r="D1656" s="16"/>
    </row>
    <row r="1657" spans="1:4" x14ac:dyDescent="0.3">
      <c r="A1657" s="17"/>
      <c r="B1657" s="13"/>
      <c r="C1657" s="13"/>
      <c r="D1657" s="14"/>
    </row>
    <row r="1658" spans="1:4" x14ac:dyDescent="0.3">
      <c r="A1658" s="17"/>
      <c r="B1658" s="13"/>
      <c r="C1658" s="13"/>
      <c r="D1658" s="14"/>
    </row>
    <row r="1659" spans="1:4" x14ac:dyDescent="0.3">
      <c r="A1659" s="17"/>
      <c r="B1659" s="13"/>
      <c r="C1659" s="13"/>
      <c r="D1659" s="14"/>
    </row>
    <row r="1660" spans="1:4" x14ac:dyDescent="0.3">
      <c r="A1660" s="17"/>
      <c r="B1660" s="13"/>
      <c r="C1660" s="13"/>
      <c r="D1660" s="14"/>
    </row>
    <row r="1661" spans="1:4" x14ac:dyDescent="0.3">
      <c r="A1661" s="18"/>
      <c r="B1661" s="15"/>
      <c r="C1661" s="15"/>
      <c r="D1661" s="16"/>
    </row>
    <row r="1662" spans="1:4" x14ac:dyDescent="0.3">
      <c r="A1662" s="17"/>
      <c r="B1662" s="13"/>
      <c r="C1662" s="13"/>
      <c r="D1662" s="14"/>
    </row>
    <row r="1663" spans="1:4" x14ac:dyDescent="0.3">
      <c r="A1663" s="17"/>
      <c r="B1663" s="13"/>
      <c r="C1663" s="13"/>
      <c r="D1663" s="14"/>
    </row>
    <row r="1664" spans="1:4" x14ac:dyDescent="0.3">
      <c r="A1664" s="17"/>
      <c r="B1664" s="13"/>
      <c r="C1664" s="13"/>
      <c r="D1664" s="14"/>
    </row>
    <row r="1665" spans="1:4" x14ac:dyDescent="0.3">
      <c r="A1665" s="17"/>
      <c r="B1665" s="13"/>
      <c r="C1665" s="13"/>
      <c r="D1665" s="14"/>
    </row>
    <row r="1666" spans="1:4" x14ac:dyDescent="0.3">
      <c r="A1666" s="18"/>
      <c r="B1666" s="15"/>
      <c r="C1666" s="15"/>
      <c r="D1666" s="16"/>
    </row>
    <row r="1667" spans="1:4" x14ac:dyDescent="0.3">
      <c r="A1667" s="17"/>
      <c r="B1667" s="13"/>
      <c r="C1667" s="13"/>
      <c r="D1667" s="14"/>
    </row>
    <row r="1668" spans="1:4" x14ac:dyDescent="0.3">
      <c r="A1668" s="17"/>
      <c r="B1668" s="13"/>
      <c r="C1668" s="13"/>
      <c r="D1668" s="14"/>
    </row>
    <row r="1669" spans="1:4" x14ac:dyDescent="0.3">
      <c r="A1669" s="17"/>
      <c r="B1669" s="13"/>
      <c r="C1669" s="13"/>
      <c r="D1669" s="14"/>
    </row>
    <row r="1670" spans="1:4" x14ac:dyDescent="0.3">
      <c r="A1670" s="17"/>
      <c r="B1670" s="13"/>
      <c r="C1670" s="13"/>
      <c r="D1670" s="14"/>
    </row>
    <row r="1671" spans="1:4" x14ac:dyDescent="0.3">
      <c r="A1671" s="18"/>
      <c r="B1671" s="15"/>
      <c r="C1671" s="15"/>
      <c r="D1671" s="16"/>
    </row>
    <row r="1672" spans="1:4" x14ac:dyDescent="0.3">
      <c r="A1672" s="17"/>
      <c r="B1672" s="13"/>
      <c r="C1672" s="13"/>
      <c r="D1672" s="14"/>
    </row>
    <row r="1673" spans="1:4" x14ac:dyDescent="0.3">
      <c r="A1673" s="17"/>
      <c r="B1673" s="13"/>
      <c r="C1673" s="13"/>
      <c r="D1673" s="14"/>
    </row>
    <row r="1674" spans="1:4" x14ac:dyDescent="0.3">
      <c r="A1674" s="17"/>
      <c r="B1674" s="13"/>
      <c r="C1674" s="13"/>
      <c r="D1674" s="14"/>
    </row>
    <row r="1675" spans="1:4" x14ac:dyDescent="0.3">
      <c r="A1675" s="17"/>
      <c r="B1675" s="13"/>
      <c r="C1675" s="13"/>
      <c r="D1675" s="14"/>
    </row>
    <row r="1676" spans="1:4" x14ac:dyDescent="0.3">
      <c r="A1676" s="18"/>
      <c r="B1676" s="15"/>
      <c r="C1676" s="15"/>
      <c r="D1676" s="16"/>
    </row>
    <row r="1677" spans="1:4" x14ac:dyDescent="0.3">
      <c r="A1677" s="17"/>
      <c r="B1677" s="13"/>
      <c r="C1677" s="13"/>
      <c r="D1677" s="14"/>
    </row>
    <row r="1678" spans="1:4" x14ac:dyDescent="0.3">
      <c r="A1678" s="17"/>
      <c r="B1678" s="13"/>
      <c r="C1678" s="13"/>
      <c r="D1678" s="14"/>
    </row>
    <row r="1679" spans="1:4" x14ac:dyDescent="0.3">
      <c r="A1679" s="17"/>
      <c r="B1679" s="13"/>
      <c r="C1679" s="13"/>
      <c r="D1679" s="14"/>
    </row>
    <row r="1680" spans="1:4" x14ac:dyDescent="0.3">
      <c r="A1680" s="17"/>
      <c r="B1680" s="13"/>
      <c r="C1680" s="13"/>
      <c r="D1680" s="14"/>
    </row>
    <row r="1681" spans="1:4" x14ac:dyDescent="0.3">
      <c r="A1681" s="18"/>
      <c r="B1681" s="15"/>
      <c r="C1681" s="15"/>
      <c r="D1681" s="16"/>
    </row>
    <row r="1682" spans="1:4" x14ac:dyDescent="0.3">
      <c r="A1682" s="17"/>
      <c r="B1682" s="13"/>
      <c r="C1682" s="13"/>
      <c r="D1682" s="14"/>
    </row>
    <row r="1683" spans="1:4" x14ac:dyDescent="0.3">
      <c r="A1683" s="17"/>
      <c r="B1683" s="13"/>
      <c r="C1683" s="13"/>
      <c r="D1683" s="14"/>
    </row>
    <row r="1684" spans="1:4" x14ac:dyDescent="0.3">
      <c r="A1684" s="17"/>
      <c r="B1684" s="13"/>
      <c r="C1684" s="13"/>
      <c r="D1684" s="14"/>
    </row>
    <row r="1685" spans="1:4" x14ac:dyDescent="0.3">
      <c r="A1685" s="17"/>
      <c r="B1685" s="13"/>
      <c r="C1685" s="13"/>
      <c r="D1685" s="14"/>
    </row>
    <row r="1686" spans="1:4" x14ac:dyDescent="0.3">
      <c r="A1686" s="18"/>
      <c r="B1686" s="15"/>
      <c r="C1686" s="15"/>
      <c r="D1686" s="16"/>
    </row>
    <row r="1687" spans="1:4" x14ac:dyDescent="0.3">
      <c r="A1687" s="17"/>
      <c r="B1687" s="13"/>
      <c r="C1687" s="13"/>
      <c r="D1687" s="14"/>
    </row>
    <row r="1688" spans="1:4" x14ac:dyDescent="0.3">
      <c r="A1688" s="17"/>
      <c r="B1688" s="13"/>
      <c r="C1688" s="13"/>
      <c r="D1688" s="14"/>
    </row>
    <row r="1689" spans="1:4" x14ac:dyDescent="0.3">
      <c r="A1689" s="17"/>
      <c r="B1689" s="13"/>
      <c r="C1689" s="13"/>
      <c r="D1689" s="14"/>
    </row>
    <row r="1690" spans="1:4" x14ac:dyDescent="0.3">
      <c r="A1690" s="17"/>
      <c r="B1690" s="13"/>
      <c r="C1690" s="13"/>
      <c r="D1690" s="14"/>
    </row>
    <row r="1691" spans="1:4" x14ac:dyDescent="0.3">
      <c r="A1691" s="18"/>
      <c r="B1691" s="15"/>
      <c r="C1691" s="15"/>
      <c r="D1691" s="16"/>
    </row>
    <row r="1692" spans="1:4" x14ac:dyDescent="0.3">
      <c r="A1692" s="17"/>
      <c r="B1692" s="13"/>
      <c r="C1692" s="13"/>
      <c r="D1692" s="14"/>
    </row>
    <row r="1693" spans="1:4" x14ac:dyDescent="0.3">
      <c r="A1693" s="17"/>
      <c r="B1693" s="13"/>
      <c r="C1693" s="13"/>
      <c r="D1693" s="14"/>
    </row>
    <row r="1694" spans="1:4" x14ac:dyDescent="0.3">
      <c r="A1694" s="17"/>
      <c r="B1694" s="13"/>
      <c r="C1694" s="13"/>
      <c r="D1694" s="14"/>
    </row>
    <row r="1695" spans="1:4" x14ac:dyDescent="0.3">
      <c r="A1695" s="17"/>
      <c r="B1695" s="13"/>
      <c r="C1695" s="13"/>
      <c r="D1695" s="14"/>
    </row>
    <row r="1696" spans="1:4" x14ac:dyDescent="0.3">
      <c r="A1696" s="18"/>
      <c r="B1696" s="15"/>
      <c r="C1696" s="15"/>
      <c r="D1696" s="16"/>
    </row>
    <row r="1697" spans="1:4" x14ac:dyDescent="0.3">
      <c r="A1697" s="17"/>
      <c r="B1697" s="13"/>
      <c r="C1697" s="13"/>
      <c r="D1697" s="14"/>
    </row>
    <row r="1698" spans="1:4" x14ac:dyDescent="0.3">
      <c r="A1698" s="17"/>
      <c r="B1698" s="13"/>
      <c r="C1698" s="13"/>
      <c r="D1698" s="14"/>
    </row>
    <row r="1699" spans="1:4" x14ac:dyDescent="0.3">
      <c r="A1699" s="17"/>
      <c r="B1699" s="13"/>
      <c r="C1699" s="13"/>
      <c r="D1699" s="14"/>
    </row>
    <row r="1700" spans="1:4" x14ac:dyDescent="0.3">
      <c r="A1700" s="17"/>
      <c r="B1700" s="13"/>
      <c r="C1700" s="13"/>
      <c r="D1700" s="14"/>
    </row>
    <row r="1701" spans="1:4" x14ac:dyDescent="0.3">
      <c r="A1701" s="18"/>
      <c r="B1701" s="15"/>
      <c r="C1701" s="15"/>
      <c r="D1701" s="16"/>
    </row>
    <row r="1702" spans="1:4" x14ac:dyDescent="0.3">
      <c r="A1702" s="17"/>
      <c r="B1702" s="13"/>
      <c r="C1702" s="13"/>
      <c r="D1702" s="14"/>
    </row>
    <row r="1703" spans="1:4" x14ac:dyDescent="0.3">
      <c r="A1703" s="17"/>
      <c r="B1703" s="13"/>
      <c r="C1703" s="13"/>
      <c r="D1703" s="14"/>
    </row>
    <row r="1704" spans="1:4" x14ac:dyDescent="0.3">
      <c r="A1704" s="17"/>
      <c r="B1704" s="13"/>
      <c r="C1704" s="13"/>
      <c r="D1704" s="14"/>
    </row>
    <row r="1705" spans="1:4" x14ac:dyDescent="0.3">
      <c r="A1705" s="17"/>
      <c r="B1705" s="13"/>
      <c r="C1705" s="13"/>
      <c r="D1705" s="14"/>
    </row>
    <row r="1706" spans="1:4" x14ac:dyDescent="0.3">
      <c r="A1706" s="18"/>
      <c r="B1706" s="15"/>
      <c r="C1706" s="15"/>
      <c r="D1706" s="16"/>
    </row>
    <row r="1707" spans="1:4" x14ac:dyDescent="0.3">
      <c r="A1707" s="17"/>
      <c r="B1707" s="13"/>
      <c r="C1707" s="13"/>
      <c r="D1707" s="14"/>
    </row>
    <row r="1708" spans="1:4" x14ac:dyDescent="0.3">
      <c r="A1708" s="17"/>
      <c r="B1708" s="13"/>
      <c r="C1708" s="13"/>
      <c r="D1708" s="14"/>
    </row>
    <row r="1709" spans="1:4" x14ac:dyDescent="0.3">
      <c r="A1709" s="17"/>
      <c r="B1709" s="13"/>
      <c r="C1709" s="13"/>
      <c r="D1709" s="14"/>
    </row>
    <row r="1710" spans="1:4" x14ac:dyDescent="0.3">
      <c r="A1710" s="17"/>
      <c r="B1710" s="13"/>
      <c r="C1710" s="13"/>
      <c r="D1710" s="14"/>
    </row>
    <row r="1711" spans="1:4" x14ac:dyDescent="0.3">
      <c r="A1711" s="18"/>
      <c r="B1711" s="15"/>
      <c r="C1711" s="15"/>
      <c r="D1711" s="16"/>
    </row>
    <row r="1712" spans="1:4" x14ac:dyDescent="0.3">
      <c r="A1712" s="17"/>
      <c r="B1712" s="13"/>
      <c r="C1712" s="13"/>
      <c r="D1712" s="14"/>
    </row>
    <row r="1713" spans="1:4" x14ac:dyDescent="0.3">
      <c r="A1713" s="17"/>
      <c r="B1713" s="13"/>
      <c r="C1713" s="13"/>
      <c r="D1713" s="14"/>
    </row>
    <row r="1714" spans="1:4" x14ac:dyDescent="0.3">
      <c r="A1714" s="17"/>
      <c r="B1714" s="13"/>
      <c r="C1714" s="13"/>
      <c r="D1714" s="14"/>
    </row>
    <row r="1715" spans="1:4" x14ac:dyDescent="0.3">
      <c r="A1715" s="17"/>
      <c r="B1715" s="13"/>
      <c r="C1715" s="13"/>
      <c r="D1715" s="14"/>
    </row>
    <row r="1716" spans="1:4" x14ac:dyDescent="0.3">
      <c r="A1716" s="18"/>
      <c r="B1716" s="15"/>
      <c r="C1716" s="15"/>
      <c r="D1716" s="16"/>
    </row>
    <row r="1717" spans="1:4" x14ac:dyDescent="0.3">
      <c r="A1717" s="17"/>
      <c r="B1717" s="13"/>
      <c r="C1717" s="13"/>
      <c r="D1717" s="14"/>
    </row>
    <row r="1718" spans="1:4" x14ac:dyDescent="0.3">
      <c r="A1718" s="17"/>
      <c r="B1718" s="13"/>
      <c r="C1718" s="13"/>
      <c r="D1718" s="14"/>
    </row>
    <row r="1719" spans="1:4" x14ac:dyDescent="0.3">
      <c r="A1719" s="17"/>
      <c r="B1719" s="13"/>
      <c r="C1719" s="13"/>
      <c r="D1719" s="14"/>
    </row>
    <row r="1720" spans="1:4" x14ac:dyDescent="0.3">
      <c r="A1720" s="17"/>
      <c r="B1720" s="13"/>
      <c r="C1720" s="13"/>
      <c r="D1720" s="14"/>
    </row>
    <row r="1721" spans="1:4" x14ac:dyDescent="0.3">
      <c r="A1721" s="18"/>
      <c r="B1721" s="15"/>
      <c r="C1721" s="15"/>
      <c r="D1721" s="16"/>
    </row>
    <row r="1722" spans="1:4" x14ac:dyDescent="0.3">
      <c r="A1722" s="17"/>
      <c r="B1722" s="13"/>
      <c r="C1722" s="13"/>
      <c r="D1722" s="14"/>
    </row>
    <row r="1723" spans="1:4" x14ac:dyDescent="0.3">
      <c r="A1723" s="17"/>
      <c r="B1723" s="13"/>
      <c r="C1723" s="13"/>
      <c r="D1723" s="14"/>
    </row>
    <row r="1724" spans="1:4" x14ac:dyDescent="0.3">
      <c r="A1724" s="17"/>
      <c r="B1724" s="13"/>
      <c r="C1724" s="13"/>
      <c r="D1724" s="14"/>
    </row>
    <row r="1725" spans="1:4" x14ac:dyDescent="0.3">
      <c r="A1725" s="17"/>
      <c r="B1725" s="13"/>
      <c r="C1725" s="13"/>
      <c r="D1725" s="14"/>
    </row>
    <row r="1726" spans="1:4" x14ac:dyDescent="0.3">
      <c r="A1726" s="18"/>
      <c r="B1726" s="15"/>
      <c r="C1726" s="15"/>
      <c r="D1726" s="16"/>
    </row>
    <row r="1727" spans="1:4" x14ac:dyDescent="0.3">
      <c r="A1727" s="17"/>
      <c r="B1727" s="13"/>
      <c r="C1727" s="13"/>
      <c r="D1727" s="14"/>
    </row>
    <row r="1728" spans="1:4" x14ac:dyDescent="0.3">
      <c r="A1728" s="17"/>
      <c r="B1728" s="13"/>
      <c r="C1728" s="13"/>
      <c r="D1728" s="14"/>
    </row>
    <row r="1729" spans="1:4" x14ac:dyDescent="0.3">
      <c r="A1729" s="17"/>
      <c r="B1729" s="13"/>
      <c r="C1729" s="13"/>
      <c r="D1729" s="14"/>
    </row>
    <row r="1730" spans="1:4" x14ac:dyDescent="0.3">
      <c r="A1730" s="17"/>
      <c r="B1730" s="13"/>
      <c r="C1730" s="13"/>
      <c r="D1730" s="14"/>
    </row>
    <row r="1731" spans="1:4" x14ac:dyDescent="0.3">
      <c r="A1731" s="18"/>
      <c r="B1731" s="15"/>
      <c r="C1731" s="15"/>
      <c r="D1731" s="16"/>
    </row>
    <row r="1732" spans="1:4" x14ac:dyDescent="0.3">
      <c r="A1732" s="17"/>
      <c r="B1732" s="13"/>
      <c r="C1732" s="13"/>
      <c r="D1732" s="14"/>
    </row>
    <row r="1733" spans="1:4" x14ac:dyDescent="0.3">
      <c r="A1733" s="17"/>
      <c r="B1733" s="13"/>
      <c r="C1733" s="13"/>
      <c r="D1733" s="14"/>
    </row>
    <row r="1734" spans="1:4" x14ac:dyDescent="0.3">
      <c r="A1734" s="17"/>
      <c r="B1734" s="13"/>
      <c r="C1734" s="13"/>
      <c r="D1734" s="14"/>
    </row>
    <row r="1735" spans="1:4" x14ac:dyDescent="0.3">
      <c r="A1735" s="17"/>
      <c r="B1735" s="13"/>
      <c r="C1735" s="13"/>
      <c r="D1735" s="14"/>
    </row>
    <row r="1736" spans="1:4" x14ac:dyDescent="0.3">
      <c r="A1736" s="18"/>
      <c r="B1736" s="15"/>
      <c r="C1736" s="15"/>
      <c r="D1736" s="16"/>
    </row>
    <row r="1737" spans="1:4" x14ac:dyDescent="0.3">
      <c r="A1737" s="17"/>
      <c r="B1737" s="13"/>
      <c r="C1737" s="13"/>
      <c r="D1737" s="14"/>
    </row>
    <row r="1738" spans="1:4" x14ac:dyDescent="0.3">
      <c r="A1738" s="17"/>
      <c r="B1738" s="13"/>
      <c r="C1738" s="13"/>
      <c r="D1738" s="14"/>
    </row>
    <row r="1739" spans="1:4" x14ac:dyDescent="0.3">
      <c r="A1739" s="17"/>
      <c r="B1739" s="13"/>
      <c r="C1739" s="13"/>
      <c r="D1739" s="14"/>
    </row>
    <row r="1740" spans="1:4" x14ac:dyDescent="0.3">
      <c r="A1740" s="17"/>
      <c r="B1740" s="13"/>
      <c r="C1740" s="13"/>
      <c r="D1740" s="14"/>
    </row>
    <row r="1741" spans="1:4" x14ac:dyDescent="0.3">
      <c r="A1741" s="18"/>
      <c r="B1741" s="15"/>
      <c r="C1741" s="15"/>
      <c r="D1741" s="16"/>
    </row>
    <row r="1742" spans="1:4" x14ac:dyDescent="0.3">
      <c r="A1742" s="17"/>
      <c r="B1742" s="13"/>
      <c r="C1742" s="13"/>
      <c r="D1742" s="14"/>
    </row>
    <row r="1743" spans="1:4" x14ac:dyDescent="0.3">
      <c r="A1743" s="17"/>
      <c r="B1743" s="13"/>
      <c r="C1743" s="13"/>
      <c r="D1743" s="14"/>
    </row>
    <row r="1744" spans="1:4" x14ac:dyDescent="0.3">
      <c r="A1744" s="17"/>
      <c r="B1744" s="13"/>
      <c r="C1744" s="13"/>
      <c r="D1744" s="14"/>
    </row>
    <row r="1745" spans="1:4" x14ac:dyDescent="0.3">
      <c r="A1745" s="17"/>
      <c r="B1745" s="13"/>
      <c r="C1745" s="13"/>
      <c r="D1745" s="14"/>
    </row>
    <row r="1746" spans="1:4" x14ac:dyDescent="0.3">
      <c r="A1746" s="18"/>
      <c r="B1746" s="15"/>
      <c r="C1746" s="15"/>
      <c r="D1746" s="16"/>
    </row>
    <row r="1747" spans="1:4" x14ac:dyDescent="0.3">
      <c r="A1747" s="17"/>
      <c r="B1747" s="13"/>
      <c r="C1747" s="13"/>
      <c r="D1747" s="14"/>
    </row>
    <row r="1748" spans="1:4" x14ac:dyDescent="0.3">
      <c r="A1748" s="17"/>
      <c r="B1748" s="13"/>
      <c r="C1748" s="13"/>
      <c r="D1748" s="14"/>
    </row>
    <row r="1749" spans="1:4" x14ac:dyDescent="0.3">
      <c r="A1749" s="17"/>
      <c r="B1749" s="13"/>
      <c r="C1749" s="13"/>
      <c r="D1749" s="14"/>
    </row>
    <row r="1750" spans="1:4" x14ac:dyDescent="0.3">
      <c r="A1750" s="17"/>
      <c r="B1750" s="13"/>
      <c r="C1750" s="13"/>
      <c r="D1750" s="14"/>
    </row>
    <row r="1751" spans="1:4" x14ac:dyDescent="0.3">
      <c r="A1751" s="18"/>
      <c r="B1751" s="15"/>
      <c r="C1751" s="15"/>
      <c r="D1751" s="16"/>
    </row>
    <row r="1752" spans="1:4" x14ac:dyDescent="0.3">
      <c r="A1752" s="17"/>
      <c r="B1752" s="13"/>
      <c r="C1752" s="13"/>
      <c r="D1752" s="14"/>
    </row>
    <row r="1753" spans="1:4" x14ac:dyDescent="0.3">
      <c r="A1753" s="17"/>
      <c r="B1753" s="13"/>
      <c r="C1753" s="13"/>
      <c r="D1753" s="14"/>
    </row>
    <row r="1754" spans="1:4" x14ac:dyDescent="0.3">
      <c r="A1754" s="17"/>
      <c r="B1754" s="13"/>
      <c r="C1754" s="13"/>
      <c r="D1754" s="14"/>
    </row>
    <row r="1755" spans="1:4" x14ac:dyDescent="0.3">
      <c r="A1755" s="17"/>
      <c r="B1755" s="13"/>
      <c r="C1755" s="13"/>
      <c r="D1755" s="14"/>
    </row>
    <row r="1756" spans="1:4" x14ac:dyDescent="0.3">
      <c r="A1756" s="18"/>
      <c r="B1756" s="15"/>
      <c r="C1756" s="15"/>
      <c r="D1756" s="16"/>
    </row>
    <row r="1757" spans="1:4" x14ac:dyDescent="0.3">
      <c r="A1757" s="17"/>
      <c r="B1757" s="13"/>
      <c r="C1757" s="13"/>
      <c r="D1757" s="14"/>
    </row>
    <row r="1758" spans="1:4" x14ac:dyDescent="0.3">
      <c r="A1758" s="17"/>
      <c r="B1758" s="13"/>
      <c r="C1758" s="13"/>
      <c r="D1758" s="14"/>
    </row>
    <row r="1759" spans="1:4" x14ac:dyDescent="0.3">
      <c r="A1759" s="17"/>
      <c r="B1759" s="13"/>
      <c r="C1759" s="13"/>
      <c r="D1759" s="14"/>
    </row>
    <row r="1760" spans="1:4" x14ac:dyDescent="0.3">
      <c r="A1760" s="17"/>
      <c r="B1760" s="13"/>
      <c r="C1760" s="13"/>
      <c r="D1760" s="14"/>
    </row>
    <row r="1761" spans="1:4" x14ac:dyDescent="0.3">
      <c r="A1761" s="18"/>
      <c r="B1761" s="15"/>
      <c r="C1761" s="15"/>
      <c r="D1761" s="16"/>
    </row>
    <row r="1762" spans="1:4" x14ac:dyDescent="0.3">
      <c r="A1762" s="17"/>
      <c r="B1762" s="13"/>
      <c r="C1762" s="13"/>
      <c r="D1762" s="14"/>
    </row>
    <row r="1763" spans="1:4" x14ac:dyDescent="0.3">
      <c r="A1763" s="17"/>
      <c r="B1763" s="13"/>
      <c r="C1763" s="13"/>
      <c r="D1763" s="14"/>
    </row>
    <row r="1764" spans="1:4" x14ac:dyDescent="0.3">
      <c r="A1764" s="17"/>
      <c r="B1764" s="13"/>
      <c r="C1764" s="13"/>
      <c r="D1764" s="14"/>
    </row>
    <row r="1765" spans="1:4" x14ac:dyDescent="0.3">
      <c r="A1765" s="17"/>
      <c r="B1765" s="13"/>
      <c r="C1765" s="13"/>
      <c r="D1765" s="14"/>
    </row>
    <row r="1766" spans="1:4" x14ac:dyDescent="0.3">
      <c r="A1766" s="18"/>
      <c r="B1766" s="15"/>
      <c r="C1766" s="15"/>
      <c r="D1766" s="16"/>
    </row>
    <row r="1767" spans="1:4" x14ac:dyDescent="0.3">
      <c r="A1767" s="17"/>
      <c r="B1767" s="13"/>
      <c r="C1767" s="13"/>
      <c r="D1767" s="14"/>
    </row>
    <row r="1768" spans="1:4" x14ac:dyDescent="0.3">
      <c r="A1768" s="17"/>
      <c r="B1768" s="13"/>
      <c r="C1768" s="13"/>
      <c r="D1768" s="14"/>
    </row>
    <row r="1769" spans="1:4" x14ac:dyDescent="0.3">
      <c r="A1769" s="17"/>
      <c r="B1769" s="13"/>
      <c r="C1769" s="13"/>
      <c r="D1769" s="14"/>
    </row>
    <row r="1770" spans="1:4" x14ac:dyDescent="0.3">
      <c r="A1770" s="17"/>
      <c r="B1770" s="13"/>
      <c r="C1770" s="13"/>
      <c r="D1770" s="14"/>
    </row>
    <row r="1771" spans="1:4" x14ac:dyDescent="0.3">
      <c r="A1771" s="18"/>
      <c r="B1771" s="15"/>
      <c r="C1771" s="15"/>
      <c r="D1771" s="16"/>
    </row>
    <row r="1772" spans="1:4" x14ac:dyDescent="0.3">
      <c r="A1772" s="17"/>
      <c r="B1772" s="13"/>
      <c r="C1772" s="13"/>
      <c r="D1772" s="14"/>
    </row>
    <row r="1773" spans="1:4" x14ac:dyDescent="0.3">
      <c r="A1773" s="17"/>
      <c r="B1773" s="13"/>
      <c r="C1773" s="13"/>
      <c r="D1773" s="14"/>
    </row>
    <row r="1774" spans="1:4" x14ac:dyDescent="0.3">
      <c r="A1774" s="17"/>
      <c r="B1774" s="13"/>
      <c r="C1774" s="13"/>
      <c r="D1774" s="14"/>
    </row>
    <row r="1775" spans="1:4" x14ac:dyDescent="0.3">
      <c r="A1775" s="17"/>
      <c r="B1775" s="13"/>
      <c r="C1775" s="13"/>
      <c r="D1775" s="14"/>
    </row>
    <row r="1776" spans="1:4" x14ac:dyDescent="0.3">
      <c r="A1776" s="18"/>
      <c r="B1776" s="15"/>
      <c r="C1776" s="15"/>
      <c r="D1776" s="16"/>
    </row>
    <row r="1777" spans="1:4" x14ac:dyDescent="0.3">
      <c r="A1777" s="17"/>
      <c r="B1777" s="13"/>
      <c r="C1777" s="13"/>
      <c r="D1777" s="14"/>
    </row>
    <row r="1778" spans="1:4" x14ac:dyDescent="0.3">
      <c r="A1778" s="17"/>
      <c r="B1778" s="13"/>
      <c r="C1778" s="13"/>
      <c r="D1778" s="14"/>
    </row>
    <row r="1779" spans="1:4" x14ac:dyDescent="0.3">
      <c r="A1779" s="17"/>
      <c r="B1779" s="13"/>
      <c r="C1779" s="13"/>
      <c r="D1779" s="14"/>
    </row>
    <row r="1780" spans="1:4" x14ac:dyDescent="0.3">
      <c r="A1780" s="17"/>
      <c r="B1780" s="13"/>
      <c r="C1780" s="13"/>
      <c r="D1780" s="14"/>
    </row>
    <row r="1781" spans="1:4" x14ac:dyDescent="0.3">
      <c r="A1781" s="18"/>
      <c r="B1781" s="15"/>
      <c r="C1781" s="15"/>
      <c r="D1781" s="16"/>
    </row>
    <row r="1782" spans="1:4" x14ac:dyDescent="0.3">
      <c r="A1782" s="17"/>
      <c r="B1782" s="13"/>
      <c r="C1782" s="13"/>
      <c r="D1782" s="14"/>
    </row>
    <row r="1783" spans="1:4" x14ac:dyDescent="0.3">
      <c r="A1783" s="17"/>
      <c r="B1783" s="13"/>
      <c r="C1783" s="13"/>
      <c r="D1783" s="14"/>
    </row>
    <row r="1784" spans="1:4" x14ac:dyDescent="0.3">
      <c r="A1784" s="17"/>
      <c r="B1784" s="13"/>
      <c r="C1784" s="13"/>
      <c r="D1784" s="14"/>
    </row>
    <row r="1785" spans="1:4" x14ac:dyDescent="0.3">
      <c r="A1785" s="17"/>
      <c r="B1785" s="13"/>
      <c r="C1785" s="13"/>
      <c r="D1785" s="14"/>
    </row>
    <row r="1786" spans="1:4" x14ac:dyDescent="0.3">
      <c r="A1786" s="18"/>
      <c r="B1786" s="15"/>
      <c r="C1786" s="15"/>
      <c r="D1786" s="16"/>
    </row>
    <row r="1787" spans="1:4" x14ac:dyDescent="0.3">
      <c r="A1787" s="17"/>
      <c r="B1787" s="13"/>
      <c r="C1787" s="13"/>
      <c r="D1787" s="14"/>
    </row>
    <row r="1788" spans="1:4" x14ac:dyDescent="0.3">
      <c r="A1788" s="17"/>
      <c r="B1788" s="13"/>
      <c r="C1788" s="13"/>
      <c r="D1788" s="14"/>
    </row>
    <row r="1789" spans="1:4" x14ac:dyDescent="0.3">
      <c r="A1789" s="17"/>
      <c r="B1789" s="13"/>
      <c r="C1789" s="13"/>
      <c r="D1789" s="14"/>
    </row>
    <row r="1790" spans="1:4" x14ac:dyDescent="0.3">
      <c r="A1790" s="17"/>
      <c r="B1790" s="13"/>
      <c r="C1790" s="13"/>
      <c r="D1790" s="14"/>
    </row>
    <row r="1791" spans="1:4" x14ac:dyDescent="0.3">
      <c r="A1791" s="18"/>
      <c r="B1791" s="15"/>
      <c r="C1791" s="15"/>
      <c r="D1791" s="16"/>
    </row>
    <row r="1792" spans="1:4" x14ac:dyDescent="0.3">
      <c r="A1792" s="17"/>
      <c r="B1792" s="13"/>
      <c r="C1792" s="13"/>
      <c r="D1792" s="14"/>
    </row>
    <row r="1793" spans="1:4" x14ac:dyDescent="0.3">
      <c r="A1793" s="17"/>
      <c r="B1793" s="13"/>
      <c r="C1793" s="13"/>
      <c r="D1793" s="14"/>
    </row>
    <row r="1794" spans="1:4" x14ac:dyDescent="0.3">
      <c r="A1794" s="17"/>
      <c r="B1794" s="13"/>
      <c r="C1794" s="13"/>
      <c r="D1794" s="14"/>
    </row>
    <row r="1795" spans="1:4" x14ac:dyDescent="0.3">
      <c r="A1795" s="17"/>
      <c r="B1795" s="13"/>
      <c r="C1795" s="13"/>
      <c r="D1795" s="14"/>
    </row>
    <row r="1796" spans="1:4" x14ac:dyDescent="0.3">
      <c r="A1796" s="18"/>
      <c r="B1796" s="15"/>
      <c r="C1796" s="15"/>
      <c r="D1796" s="16"/>
    </row>
    <row r="1797" spans="1:4" x14ac:dyDescent="0.3">
      <c r="A1797" s="17"/>
      <c r="B1797" s="13"/>
      <c r="C1797" s="13"/>
      <c r="D1797" s="14"/>
    </row>
    <row r="1798" spans="1:4" x14ac:dyDescent="0.3">
      <c r="A1798" s="17"/>
      <c r="B1798" s="13"/>
      <c r="C1798" s="13"/>
      <c r="D1798" s="14"/>
    </row>
    <row r="1799" spans="1:4" x14ac:dyDescent="0.3">
      <c r="A1799" s="17"/>
      <c r="B1799" s="13"/>
      <c r="C1799" s="13"/>
      <c r="D1799" s="14"/>
    </row>
    <row r="1800" spans="1:4" x14ac:dyDescent="0.3">
      <c r="A1800" s="17"/>
      <c r="B1800" s="13"/>
      <c r="C1800" s="13"/>
      <c r="D1800" s="14"/>
    </row>
    <row r="1801" spans="1:4" x14ac:dyDescent="0.3">
      <c r="A1801" s="18"/>
      <c r="B1801" s="15"/>
      <c r="C1801" s="15"/>
      <c r="D1801" s="16"/>
    </row>
    <row r="1802" spans="1:4" x14ac:dyDescent="0.3">
      <c r="A1802" s="17"/>
      <c r="B1802" s="13"/>
      <c r="C1802" s="13"/>
      <c r="D1802" s="14"/>
    </row>
    <row r="1803" spans="1:4" x14ac:dyDescent="0.3">
      <c r="A1803" s="17"/>
      <c r="B1803" s="13"/>
      <c r="C1803" s="13"/>
      <c r="D1803" s="14"/>
    </row>
    <row r="1804" spans="1:4" x14ac:dyDescent="0.3">
      <c r="A1804" s="17"/>
      <c r="B1804" s="13"/>
      <c r="C1804" s="13"/>
      <c r="D1804" s="14"/>
    </row>
    <row r="1805" spans="1:4" x14ac:dyDescent="0.3">
      <c r="A1805" s="17"/>
      <c r="B1805" s="13"/>
      <c r="C1805" s="13"/>
      <c r="D1805" s="14"/>
    </row>
    <row r="1806" spans="1:4" x14ac:dyDescent="0.3">
      <c r="A1806" s="18"/>
      <c r="B1806" s="15"/>
      <c r="C1806" s="15"/>
      <c r="D1806" s="16"/>
    </row>
    <row r="1807" spans="1:4" x14ac:dyDescent="0.3">
      <c r="A1807" s="17"/>
      <c r="B1807" s="13"/>
      <c r="C1807" s="13"/>
      <c r="D1807" s="14"/>
    </row>
    <row r="1808" spans="1:4" x14ac:dyDescent="0.3">
      <c r="A1808" s="17"/>
      <c r="B1808" s="13"/>
      <c r="C1808" s="13"/>
      <c r="D1808" s="14"/>
    </row>
    <row r="1809" spans="1:4" x14ac:dyDescent="0.3">
      <c r="A1809" s="17"/>
      <c r="B1809" s="13"/>
      <c r="C1809" s="13"/>
      <c r="D1809" s="14"/>
    </row>
    <row r="1810" spans="1:4" x14ac:dyDescent="0.3">
      <c r="A1810" s="17"/>
      <c r="B1810" s="13"/>
      <c r="C1810" s="13"/>
      <c r="D1810" s="14"/>
    </row>
    <row r="1811" spans="1:4" x14ac:dyDescent="0.3">
      <c r="A1811" s="18"/>
      <c r="B1811" s="15"/>
      <c r="C1811" s="15"/>
      <c r="D1811" s="16"/>
    </row>
    <row r="1812" spans="1:4" x14ac:dyDescent="0.3">
      <c r="A1812" s="17"/>
      <c r="B1812" s="13"/>
      <c r="C1812" s="13"/>
      <c r="D1812" s="14"/>
    </row>
    <row r="1813" spans="1:4" x14ac:dyDescent="0.3">
      <c r="A1813" s="17"/>
      <c r="B1813" s="13"/>
      <c r="C1813" s="13"/>
      <c r="D1813" s="14"/>
    </row>
    <row r="1814" spans="1:4" x14ac:dyDescent="0.3">
      <c r="A1814" s="17"/>
      <c r="B1814" s="13"/>
      <c r="C1814" s="13"/>
      <c r="D1814" s="14"/>
    </row>
    <row r="1815" spans="1:4" x14ac:dyDescent="0.3">
      <c r="A1815" s="17"/>
      <c r="B1815" s="13"/>
      <c r="C1815" s="13"/>
      <c r="D1815" s="14"/>
    </row>
    <row r="1816" spans="1:4" x14ac:dyDescent="0.3">
      <c r="A1816" s="18"/>
      <c r="B1816" s="15"/>
      <c r="C1816" s="15"/>
      <c r="D1816" s="16"/>
    </row>
    <row r="1817" spans="1:4" x14ac:dyDescent="0.3">
      <c r="A1817" s="17"/>
      <c r="B1817" s="13"/>
      <c r="C1817" s="13"/>
      <c r="D1817" s="14"/>
    </row>
    <row r="1818" spans="1:4" x14ac:dyDescent="0.3">
      <c r="A1818" s="17"/>
      <c r="B1818" s="13"/>
      <c r="C1818" s="13"/>
      <c r="D1818" s="14"/>
    </row>
    <row r="1819" spans="1:4" x14ac:dyDescent="0.3">
      <c r="A1819" s="17"/>
      <c r="B1819" s="13"/>
      <c r="C1819" s="13"/>
      <c r="D1819" s="14"/>
    </row>
    <row r="1820" spans="1:4" x14ac:dyDescent="0.3">
      <c r="A1820" s="17"/>
      <c r="B1820" s="13"/>
      <c r="C1820" s="13"/>
      <c r="D1820" s="14"/>
    </row>
    <row r="1821" spans="1:4" x14ac:dyDescent="0.3">
      <c r="A1821" s="18"/>
      <c r="B1821" s="15"/>
      <c r="C1821" s="15"/>
      <c r="D1821" s="16"/>
    </row>
    <row r="1822" spans="1:4" x14ac:dyDescent="0.3">
      <c r="A1822" s="17"/>
      <c r="B1822" s="13"/>
      <c r="C1822" s="13"/>
      <c r="D1822" s="14"/>
    </row>
    <row r="1823" spans="1:4" x14ac:dyDescent="0.3">
      <c r="A1823" s="17"/>
      <c r="B1823" s="13"/>
      <c r="C1823" s="13"/>
      <c r="D1823" s="14"/>
    </row>
    <row r="1824" spans="1:4" x14ac:dyDescent="0.3">
      <c r="A1824" s="17"/>
      <c r="B1824" s="13"/>
      <c r="C1824" s="13"/>
      <c r="D1824" s="14"/>
    </row>
    <row r="1825" spans="1:4" x14ac:dyDescent="0.3">
      <c r="A1825" s="17"/>
      <c r="B1825" s="13"/>
      <c r="C1825" s="13"/>
      <c r="D1825" s="14"/>
    </row>
    <row r="1826" spans="1:4" x14ac:dyDescent="0.3">
      <c r="A1826" s="18"/>
      <c r="B1826" s="15"/>
      <c r="C1826" s="15"/>
      <c r="D1826" s="16"/>
    </row>
    <row r="1827" spans="1:4" x14ac:dyDescent="0.3">
      <c r="A1827" s="17"/>
      <c r="B1827" s="13"/>
      <c r="C1827" s="13"/>
      <c r="D1827" s="14"/>
    </row>
    <row r="1828" spans="1:4" x14ac:dyDescent="0.3">
      <c r="A1828" s="17"/>
      <c r="B1828" s="13"/>
      <c r="C1828" s="13"/>
      <c r="D1828" s="14"/>
    </row>
    <row r="1829" spans="1:4" x14ac:dyDescent="0.3">
      <c r="A1829" s="17"/>
      <c r="B1829" s="13"/>
      <c r="C1829" s="13"/>
      <c r="D1829" s="14"/>
    </row>
    <row r="1830" spans="1:4" x14ac:dyDescent="0.3">
      <c r="A1830" s="17"/>
      <c r="B1830" s="13"/>
      <c r="C1830" s="13"/>
      <c r="D1830" s="14"/>
    </row>
    <row r="1831" spans="1:4" x14ac:dyDescent="0.3">
      <c r="A1831" s="18"/>
      <c r="B1831" s="15"/>
      <c r="C1831" s="15"/>
      <c r="D1831" s="16"/>
    </row>
    <row r="1832" spans="1:4" x14ac:dyDescent="0.3">
      <c r="A1832" s="17"/>
      <c r="B1832" s="13"/>
      <c r="C1832" s="13"/>
      <c r="D1832" s="14"/>
    </row>
    <row r="1833" spans="1:4" x14ac:dyDescent="0.3">
      <c r="A1833" s="17"/>
      <c r="B1833" s="13"/>
      <c r="C1833" s="13"/>
      <c r="D1833" s="14"/>
    </row>
    <row r="1834" spans="1:4" x14ac:dyDescent="0.3">
      <c r="A1834" s="17"/>
      <c r="B1834" s="13"/>
      <c r="C1834" s="13"/>
      <c r="D1834" s="14"/>
    </row>
    <row r="1835" spans="1:4" x14ac:dyDescent="0.3">
      <c r="A1835" s="17"/>
      <c r="B1835" s="13"/>
      <c r="C1835" s="13"/>
      <c r="D1835" s="14"/>
    </row>
    <row r="1836" spans="1:4" x14ac:dyDescent="0.3">
      <c r="A1836" s="18"/>
      <c r="B1836" s="15"/>
      <c r="C1836" s="15"/>
      <c r="D1836" s="16"/>
    </row>
    <row r="1837" spans="1:4" x14ac:dyDescent="0.3">
      <c r="A1837" s="17"/>
      <c r="B1837" s="13"/>
      <c r="C1837" s="13"/>
      <c r="D1837" s="14"/>
    </row>
    <row r="1838" spans="1:4" x14ac:dyDescent="0.3">
      <c r="A1838" s="17"/>
      <c r="B1838" s="13"/>
      <c r="C1838" s="13"/>
      <c r="D1838" s="14"/>
    </row>
    <row r="1839" spans="1:4" x14ac:dyDescent="0.3">
      <c r="A1839" s="17"/>
      <c r="B1839" s="13"/>
      <c r="C1839" s="13"/>
      <c r="D1839" s="14"/>
    </row>
    <row r="1840" spans="1:4" x14ac:dyDescent="0.3">
      <c r="A1840" s="17"/>
      <c r="B1840" s="13"/>
      <c r="C1840" s="13"/>
      <c r="D1840" s="14"/>
    </row>
    <row r="1841" spans="1:4" x14ac:dyDescent="0.3">
      <c r="A1841" s="18"/>
      <c r="B1841" s="15"/>
      <c r="C1841" s="15"/>
      <c r="D1841" s="16"/>
    </row>
    <row r="1842" spans="1:4" x14ac:dyDescent="0.3">
      <c r="A1842" s="17"/>
      <c r="B1842" s="13"/>
      <c r="C1842" s="13"/>
      <c r="D1842" s="14"/>
    </row>
    <row r="1843" spans="1:4" x14ac:dyDescent="0.3">
      <c r="A1843" s="17"/>
      <c r="B1843" s="13"/>
      <c r="C1843" s="13"/>
      <c r="D1843" s="14"/>
    </row>
    <row r="1844" spans="1:4" x14ac:dyDescent="0.3">
      <c r="A1844" s="17"/>
      <c r="B1844" s="13"/>
      <c r="C1844" s="13"/>
      <c r="D1844" s="14"/>
    </row>
    <row r="1845" spans="1:4" x14ac:dyDescent="0.3">
      <c r="A1845" s="17"/>
      <c r="B1845" s="13"/>
      <c r="C1845" s="13"/>
      <c r="D1845" s="14"/>
    </row>
    <row r="1846" spans="1:4" x14ac:dyDescent="0.3">
      <c r="A1846" s="18"/>
      <c r="B1846" s="15"/>
      <c r="C1846" s="15"/>
      <c r="D1846" s="16"/>
    </row>
    <row r="1847" spans="1:4" x14ac:dyDescent="0.3">
      <c r="A1847" s="17"/>
      <c r="B1847" s="13"/>
      <c r="C1847" s="13"/>
      <c r="D1847" s="14"/>
    </row>
    <row r="1848" spans="1:4" x14ac:dyDescent="0.3">
      <c r="A1848" s="17"/>
      <c r="B1848" s="13"/>
      <c r="C1848" s="13"/>
      <c r="D1848" s="14"/>
    </row>
    <row r="1849" spans="1:4" x14ac:dyDescent="0.3">
      <c r="A1849" s="17"/>
      <c r="B1849" s="13"/>
      <c r="C1849" s="13"/>
      <c r="D1849" s="14"/>
    </row>
    <row r="1850" spans="1:4" x14ac:dyDescent="0.3">
      <c r="A1850" s="17"/>
      <c r="B1850" s="13"/>
      <c r="C1850" s="13"/>
      <c r="D1850" s="14"/>
    </row>
    <row r="1851" spans="1:4" x14ac:dyDescent="0.3">
      <c r="A1851" s="18"/>
      <c r="B1851" s="15"/>
      <c r="C1851" s="15"/>
      <c r="D1851" s="16"/>
    </row>
    <row r="1852" spans="1:4" x14ac:dyDescent="0.3">
      <c r="A1852" s="17"/>
      <c r="B1852" s="13"/>
      <c r="C1852" s="13"/>
      <c r="D1852" s="14"/>
    </row>
    <row r="1853" spans="1:4" x14ac:dyDescent="0.3">
      <c r="A1853" s="17"/>
      <c r="B1853" s="13"/>
      <c r="C1853" s="13"/>
      <c r="D1853" s="14"/>
    </row>
    <row r="1854" spans="1:4" x14ac:dyDescent="0.3">
      <c r="A1854" s="17"/>
      <c r="B1854" s="13"/>
      <c r="C1854" s="13"/>
      <c r="D1854" s="14"/>
    </row>
    <row r="1855" spans="1:4" x14ac:dyDescent="0.3">
      <c r="A1855" s="17"/>
      <c r="B1855" s="13"/>
      <c r="C1855" s="13"/>
      <c r="D1855" s="14"/>
    </row>
    <row r="1856" spans="1:4" x14ac:dyDescent="0.3">
      <c r="A1856" s="18"/>
      <c r="B1856" s="15"/>
      <c r="C1856" s="15"/>
      <c r="D1856" s="16"/>
    </row>
    <row r="1857" spans="1:4" x14ac:dyDescent="0.3">
      <c r="A1857" s="17"/>
      <c r="B1857" s="13"/>
      <c r="C1857" s="13"/>
      <c r="D1857" s="14"/>
    </row>
    <row r="1858" spans="1:4" x14ac:dyDescent="0.3">
      <c r="A1858" s="17"/>
      <c r="B1858" s="13"/>
      <c r="C1858" s="13"/>
      <c r="D1858" s="14"/>
    </row>
    <row r="1859" spans="1:4" x14ac:dyDescent="0.3">
      <c r="A1859" s="17"/>
      <c r="B1859" s="13"/>
      <c r="C1859" s="13"/>
      <c r="D1859" s="14"/>
    </row>
    <row r="1860" spans="1:4" x14ac:dyDescent="0.3">
      <c r="A1860" s="17"/>
      <c r="B1860" s="13"/>
      <c r="C1860" s="13"/>
      <c r="D1860" s="14"/>
    </row>
    <row r="1861" spans="1:4" x14ac:dyDescent="0.3">
      <c r="A1861" s="18"/>
      <c r="B1861" s="15"/>
      <c r="C1861" s="15"/>
      <c r="D1861" s="16"/>
    </row>
    <row r="1862" spans="1:4" x14ac:dyDescent="0.3">
      <c r="A1862" s="17"/>
      <c r="B1862" s="13"/>
      <c r="C1862" s="13"/>
      <c r="D1862" s="14"/>
    </row>
    <row r="1863" spans="1:4" x14ac:dyDescent="0.3">
      <c r="A1863" s="17"/>
      <c r="B1863" s="13"/>
      <c r="C1863" s="13"/>
      <c r="D1863" s="14"/>
    </row>
    <row r="1864" spans="1:4" x14ac:dyDescent="0.3">
      <c r="A1864" s="17"/>
      <c r="B1864" s="13"/>
      <c r="C1864" s="13"/>
      <c r="D1864" s="14"/>
    </row>
    <row r="1865" spans="1:4" x14ac:dyDescent="0.3">
      <c r="A1865" s="17"/>
      <c r="B1865" s="13"/>
      <c r="C1865" s="13"/>
      <c r="D1865" s="14"/>
    </row>
    <row r="1866" spans="1:4" x14ac:dyDescent="0.3">
      <c r="A1866" s="18"/>
      <c r="B1866" s="15"/>
      <c r="C1866" s="15"/>
      <c r="D1866" s="16"/>
    </row>
    <row r="1867" spans="1:4" x14ac:dyDescent="0.3">
      <c r="A1867" s="17"/>
      <c r="B1867" s="13"/>
      <c r="C1867" s="13"/>
      <c r="D1867" s="14"/>
    </row>
    <row r="1868" spans="1:4" x14ac:dyDescent="0.3">
      <c r="A1868" s="17"/>
      <c r="B1868" s="13"/>
      <c r="C1868" s="13"/>
      <c r="D1868" s="14"/>
    </row>
    <row r="1869" spans="1:4" x14ac:dyDescent="0.3">
      <c r="A1869" s="17"/>
      <c r="B1869" s="13"/>
      <c r="C1869" s="13"/>
      <c r="D1869" s="14"/>
    </row>
    <row r="1870" spans="1:4" x14ac:dyDescent="0.3">
      <c r="A1870" s="17"/>
      <c r="B1870" s="13"/>
      <c r="C1870" s="13"/>
      <c r="D1870" s="14"/>
    </row>
    <row r="1871" spans="1:4" x14ac:dyDescent="0.3">
      <c r="A1871" s="18"/>
      <c r="B1871" s="15"/>
      <c r="C1871" s="15"/>
      <c r="D1871" s="16"/>
    </row>
    <row r="1872" spans="1:4" x14ac:dyDescent="0.3">
      <c r="A1872" s="17"/>
      <c r="B1872" s="13"/>
      <c r="C1872" s="13"/>
      <c r="D1872" s="14"/>
    </row>
    <row r="1873" spans="1:4" x14ac:dyDescent="0.3">
      <c r="A1873" s="17"/>
      <c r="B1873" s="13"/>
      <c r="C1873" s="13"/>
      <c r="D1873" s="14"/>
    </row>
    <row r="1874" spans="1:4" x14ac:dyDescent="0.3">
      <c r="A1874" s="17"/>
      <c r="B1874" s="13"/>
      <c r="C1874" s="13"/>
      <c r="D1874" s="14"/>
    </row>
    <row r="1875" spans="1:4" x14ac:dyDescent="0.3">
      <c r="A1875" s="17"/>
      <c r="B1875" s="13"/>
      <c r="C1875" s="13"/>
      <c r="D1875" s="14"/>
    </row>
    <row r="1876" spans="1:4" x14ac:dyDescent="0.3">
      <c r="A1876" s="18"/>
      <c r="B1876" s="15"/>
      <c r="C1876" s="15"/>
      <c r="D1876" s="16"/>
    </row>
    <row r="1877" spans="1:4" x14ac:dyDescent="0.3">
      <c r="A1877" s="17"/>
      <c r="B1877" s="13"/>
      <c r="C1877" s="13"/>
      <c r="D1877" s="14"/>
    </row>
    <row r="1878" spans="1:4" x14ac:dyDescent="0.3">
      <c r="A1878" s="17"/>
      <c r="B1878" s="13"/>
      <c r="C1878" s="13"/>
      <c r="D1878" s="14"/>
    </row>
    <row r="1879" spans="1:4" x14ac:dyDescent="0.3">
      <c r="A1879" s="17"/>
      <c r="B1879" s="13"/>
      <c r="C1879" s="13"/>
      <c r="D1879" s="14"/>
    </row>
    <row r="1880" spans="1:4" x14ac:dyDescent="0.3">
      <c r="A1880" s="17"/>
      <c r="B1880" s="13"/>
      <c r="C1880" s="13"/>
      <c r="D1880" s="14"/>
    </row>
    <row r="1881" spans="1:4" x14ac:dyDescent="0.3">
      <c r="A1881" s="18"/>
      <c r="B1881" s="15"/>
      <c r="C1881" s="15"/>
      <c r="D1881" s="16"/>
    </row>
    <row r="1882" spans="1:4" x14ac:dyDescent="0.3">
      <c r="A1882" s="17"/>
      <c r="B1882" s="13"/>
      <c r="C1882" s="13"/>
      <c r="D1882" s="14"/>
    </row>
    <row r="1883" spans="1:4" x14ac:dyDescent="0.3">
      <c r="A1883" s="17"/>
      <c r="B1883" s="13"/>
      <c r="C1883" s="13"/>
      <c r="D1883" s="14"/>
    </row>
    <row r="1884" spans="1:4" x14ac:dyDescent="0.3">
      <c r="A1884" s="17"/>
      <c r="B1884" s="13"/>
      <c r="C1884" s="13"/>
      <c r="D1884" s="14"/>
    </row>
    <row r="1885" spans="1:4" x14ac:dyDescent="0.3">
      <c r="A1885" s="17"/>
      <c r="B1885" s="13"/>
      <c r="C1885" s="13"/>
      <c r="D1885" s="14"/>
    </row>
    <row r="1886" spans="1:4" x14ac:dyDescent="0.3">
      <c r="A1886" s="18"/>
      <c r="B1886" s="15"/>
      <c r="C1886" s="15"/>
      <c r="D1886" s="16"/>
    </row>
    <row r="1887" spans="1:4" x14ac:dyDescent="0.3">
      <c r="A1887" s="17"/>
      <c r="B1887" s="13"/>
      <c r="C1887" s="13"/>
      <c r="D1887" s="14"/>
    </row>
    <row r="1888" spans="1:4" x14ac:dyDescent="0.3">
      <c r="A1888" s="17"/>
      <c r="B1888" s="13"/>
      <c r="C1888" s="13"/>
      <c r="D1888" s="14"/>
    </row>
    <row r="1889" spans="1:4" x14ac:dyDescent="0.3">
      <c r="A1889" s="17"/>
      <c r="B1889" s="13"/>
      <c r="C1889" s="13"/>
      <c r="D1889" s="14"/>
    </row>
    <row r="1890" spans="1:4" x14ac:dyDescent="0.3">
      <c r="A1890" s="17"/>
      <c r="B1890" s="13"/>
      <c r="C1890" s="13"/>
      <c r="D1890" s="14"/>
    </row>
    <row r="1891" spans="1:4" x14ac:dyDescent="0.3">
      <c r="A1891" s="18"/>
      <c r="B1891" s="15"/>
      <c r="C1891" s="15"/>
      <c r="D1891" s="16"/>
    </row>
    <row r="1892" spans="1:4" x14ac:dyDescent="0.3">
      <c r="A1892" s="17"/>
      <c r="B1892" s="13"/>
      <c r="C1892" s="13"/>
      <c r="D1892" s="14"/>
    </row>
    <row r="1893" spans="1:4" x14ac:dyDescent="0.3">
      <c r="A1893" s="17"/>
      <c r="B1893" s="13"/>
      <c r="C1893" s="13"/>
      <c r="D1893" s="14"/>
    </row>
    <row r="1894" spans="1:4" x14ac:dyDescent="0.3">
      <c r="A1894" s="17"/>
      <c r="B1894" s="13"/>
      <c r="C1894" s="13"/>
      <c r="D1894" s="14"/>
    </row>
    <row r="1895" spans="1:4" x14ac:dyDescent="0.3">
      <c r="A1895" s="17"/>
      <c r="B1895" s="13"/>
      <c r="C1895" s="13"/>
      <c r="D1895" s="14"/>
    </row>
    <row r="1896" spans="1:4" x14ac:dyDescent="0.3">
      <c r="A1896" s="18"/>
      <c r="B1896" s="15"/>
      <c r="C1896" s="15"/>
      <c r="D1896" s="16"/>
    </row>
    <row r="1897" spans="1:4" x14ac:dyDescent="0.3">
      <c r="A1897" s="17"/>
      <c r="B1897" s="13"/>
      <c r="C1897" s="13"/>
      <c r="D1897" s="14"/>
    </row>
    <row r="1898" spans="1:4" x14ac:dyDescent="0.3">
      <c r="A1898" s="17"/>
      <c r="B1898" s="13"/>
      <c r="C1898" s="13"/>
      <c r="D1898" s="14"/>
    </row>
    <row r="1899" spans="1:4" x14ac:dyDescent="0.3">
      <c r="A1899" s="17"/>
      <c r="B1899" s="13"/>
      <c r="C1899" s="13"/>
      <c r="D1899" s="14"/>
    </row>
    <row r="1900" spans="1:4" x14ac:dyDescent="0.3">
      <c r="A1900" s="17"/>
      <c r="B1900" s="13"/>
      <c r="C1900" s="13"/>
      <c r="D1900" s="14"/>
    </row>
    <row r="1901" spans="1:4" x14ac:dyDescent="0.3">
      <c r="A1901" s="18"/>
      <c r="B1901" s="15"/>
      <c r="C1901" s="15"/>
      <c r="D1901" s="16"/>
    </row>
    <row r="1902" spans="1:4" x14ac:dyDescent="0.3">
      <c r="A1902" s="17"/>
      <c r="B1902" s="13"/>
      <c r="C1902" s="13"/>
      <c r="D1902" s="14"/>
    </row>
    <row r="1903" spans="1:4" x14ac:dyDescent="0.3">
      <c r="A1903" s="17"/>
      <c r="B1903" s="13"/>
      <c r="C1903" s="13"/>
      <c r="D1903" s="14"/>
    </row>
    <row r="1904" spans="1:4" x14ac:dyDescent="0.3">
      <c r="A1904" s="17"/>
      <c r="B1904" s="13"/>
      <c r="C1904" s="13"/>
      <c r="D1904" s="14"/>
    </row>
    <row r="1905" spans="1:4" x14ac:dyDescent="0.3">
      <c r="A1905" s="17"/>
      <c r="B1905" s="13"/>
      <c r="C1905" s="13"/>
      <c r="D1905" s="14"/>
    </row>
    <row r="1906" spans="1:4" x14ac:dyDescent="0.3">
      <c r="A1906" s="18"/>
      <c r="B1906" s="15"/>
      <c r="C1906" s="15"/>
      <c r="D1906" s="16"/>
    </row>
    <row r="1907" spans="1:4" x14ac:dyDescent="0.3">
      <c r="A1907" s="17"/>
      <c r="B1907" s="13"/>
      <c r="C1907" s="13"/>
      <c r="D1907" s="14"/>
    </row>
    <row r="1908" spans="1:4" x14ac:dyDescent="0.3">
      <c r="A1908" s="17"/>
      <c r="B1908" s="13"/>
      <c r="C1908" s="13"/>
      <c r="D1908" s="14"/>
    </row>
    <row r="1909" spans="1:4" x14ac:dyDescent="0.3">
      <c r="A1909" s="17"/>
      <c r="B1909" s="13"/>
      <c r="C1909" s="13"/>
      <c r="D1909" s="14"/>
    </row>
    <row r="1910" spans="1:4" x14ac:dyDescent="0.3">
      <c r="A1910" s="17"/>
      <c r="B1910" s="13"/>
      <c r="C1910" s="13"/>
      <c r="D1910" s="14"/>
    </row>
    <row r="1911" spans="1:4" x14ac:dyDescent="0.3">
      <c r="A1911" s="18"/>
      <c r="B1911" s="15"/>
      <c r="C1911" s="15"/>
      <c r="D1911" s="16"/>
    </row>
    <row r="1912" spans="1:4" x14ac:dyDescent="0.3">
      <c r="A1912" s="17"/>
      <c r="B1912" s="13"/>
      <c r="C1912" s="13"/>
      <c r="D1912" s="14"/>
    </row>
    <row r="1913" spans="1:4" x14ac:dyDescent="0.3">
      <c r="A1913" s="17"/>
      <c r="B1913" s="13"/>
      <c r="C1913" s="13"/>
      <c r="D1913" s="14"/>
    </row>
    <row r="1914" spans="1:4" x14ac:dyDescent="0.3">
      <c r="A1914" s="17"/>
      <c r="B1914" s="13"/>
      <c r="C1914" s="13"/>
      <c r="D1914" s="14"/>
    </row>
    <row r="1915" spans="1:4" x14ac:dyDescent="0.3">
      <c r="A1915" s="17"/>
      <c r="B1915" s="13"/>
      <c r="C1915" s="13"/>
      <c r="D1915" s="14"/>
    </row>
    <row r="1916" spans="1:4" x14ac:dyDescent="0.3">
      <c r="A1916" s="18"/>
      <c r="B1916" s="15"/>
      <c r="C1916" s="15"/>
      <c r="D1916" s="16"/>
    </row>
    <row r="1917" spans="1:4" x14ac:dyDescent="0.3">
      <c r="A1917" s="17"/>
      <c r="B1917" s="13"/>
      <c r="C1917" s="13"/>
      <c r="D1917" s="14"/>
    </row>
    <row r="1918" spans="1:4" x14ac:dyDescent="0.3">
      <c r="A1918" s="17"/>
      <c r="B1918" s="13"/>
      <c r="C1918" s="13"/>
      <c r="D1918" s="14"/>
    </row>
    <row r="1919" spans="1:4" x14ac:dyDescent="0.3">
      <c r="A1919" s="17"/>
      <c r="B1919" s="13"/>
      <c r="C1919" s="13"/>
      <c r="D1919" s="14"/>
    </row>
    <row r="1920" spans="1:4" x14ac:dyDescent="0.3">
      <c r="A1920" s="17"/>
      <c r="B1920" s="13"/>
      <c r="C1920" s="13"/>
      <c r="D1920" s="14"/>
    </row>
    <row r="1921" spans="1:4" x14ac:dyDescent="0.3">
      <c r="A1921" s="18"/>
      <c r="B1921" s="15"/>
      <c r="C1921" s="15"/>
      <c r="D1921" s="16"/>
    </row>
    <row r="1922" spans="1:4" x14ac:dyDescent="0.3">
      <c r="A1922" s="17"/>
      <c r="B1922" s="13"/>
      <c r="C1922" s="13"/>
      <c r="D1922" s="14"/>
    </row>
    <row r="1923" spans="1:4" x14ac:dyDescent="0.3">
      <c r="A1923" s="17"/>
      <c r="B1923" s="13"/>
      <c r="C1923" s="13"/>
      <c r="D1923" s="14"/>
    </row>
    <row r="1924" spans="1:4" x14ac:dyDescent="0.3">
      <c r="A1924" s="17"/>
      <c r="B1924" s="13"/>
      <c r="C1924" s="13"/>
      <c r="D1924" s="14"/>
    </row>
    <row r="1925" spans="1:4" x14ac:dyDescent="0.3">
      <c r="A1925" s="17"/>
      <c r="B1925" s="13"/>
      <c r="C1925" s="13"/>
      <c r="D1925" s="14"/>
    </row>
    <row r="1926" spans="1:4" x14ac:dyDescent="0.3">
      <c r="A1926" s="18"/>
      <c r="B1926" s="15"/>
      <c r="C1926" s="15"/>
      <c r="D1926" s="16"/>
    </row>
    <row r="1927" spans="1:4" x14ac:dyDescent="0.3">
      <c r="A1927" s="17"/>
      <c r="B1927" s="13"/>
      <c r="C1927" s="13"/>
      <c r="D1927" s="14"/>
    </row>
    <row r="1928" spans="1:4" x14ac:dyDescent="0.3">
      <c r="A1928" s="17"/>
      <c r="B1928" s="13"/>
      <c r="C1928" s="13"/>
      <c r="D1928" s="14"/>
    </row>
    <row r="1929" spans="1:4" x14ac:dyDescent="0.3">
      <c r="A1929" s="17"/>
      <c r="B1929" s="13"/>
      <c r="C1929" s="13"/>
      <c r="D1929" s="14"/>
    </row>
    <row r="1930" spans="1:4" x14ac:dyDescent="0.3">
      <c r="A1930" s="17"/>
      <c r="B1930" s="13"/>
      <c r="C1930" s="13"/>
      <c r="D1930" s="14"/>
    </row>
    <row r="1931" spans="1:4" x14ac:dyDescent="0.3">
      <c r="A1931" s="18"/>
      <c r="B1931" s="15"/>
      <c r="C1931" s="15"/>
      <c r="D1931" s="16"/>
    </row>
    <row r="1932" spans="1:4" x14ac:dyDescent="0.3">
      <c r="A1932" s="17"/>
      <c r="B1932" s="13"/>
      <c r="C1932" s="13"/>
      <c r="D1932" s="14"/>
    </row>
    <row r="1933" spans="1:4" x14ac:dyDescent="0.3">
      <c r="A1933" s="17"/>
      <c r="B1933" s="13"/>
      <c r="C1933" s="13"/>
      <c r="D1933" s="14"/>
    </row>
    <row r="1934" spans="1:4" x14ac:dyDescent="0.3">
      <c r="A1934" s="17"/>
      <c r="B1934" s="13"/>
      <c r="C1934" s="13"/>
      <c r="D1934" s="14"/>
    </row>
    <row r="1935" spans="1:4" x14ac:dyDescent="0.3">
      <c r="A1935" s="17"/>
      <c r="B1935" s="13"/>
      <c r="C1935" s="13"/>
      <c r="D1935" s="14"/>
    </row>
    <row r="1936" spans="1:4" x14ac:dyDescent="0.3">
      <c r="A1936" s="18"/>
      <c r="B1936" s="15"/>
      <c r="C1936" s="15"/>
      <c r="D1936" s="16"/>
    </row>
    <row r="1937" spans="1:4" x14ac:dyDescent="0.3">
      <c r="A1937" s="17"/>
      <c r="B1937" s="13"/>
      <c r="C1937" s="13"/>
      <c r="D1937" s="14"/>
    </row>
    <row r="1938" spans="1:4" x14ac:dyDescent="0.3">
      <c r="A1938" s="17"/>
      <c r="B1938" s="13"/>
      <c r="C1938" s="13"/>
      <c r="D1938" s="14"/>
    </row>
    <row r="1939" spans="1:4" x14ac:dyDescent="0.3">
      <c r="A1939" s="17"/>
      <c r="B1939" s="13"/>
      <c r="C1939" s="13"/>
      <c r="D1939" s="14"/>
    </row>
    <row r="1940" spans="1:4" x14ac:dyDescent="0.3">
      <c r="A1940" s="17"/>
      <c r="B1940" s="13"/>
      <c r="C1940" s="13"/>
      <c r="D1940" s="14"/>
    </row>
    <row r="1941" spans="1:4" x14ac:dyDescent="0.3">
      <c r="A1941" s="18"/>
      <c r="B1941" s="15"/>
      <c r="C1941" s="15"/>
      <c r="D1941" s="16"/>
    </row>
    <row r="1942" spans="1:4" x14ac:dyDescent="0.3">
      <c r="A1942" s="17"/>
      <c r="B1942" s="13"/>
      <c r="C1942" s="13"/>
      <c r="D1942" s="14"/>
    </row>
    <row r="1943" spans="1:4" x14ac:dyDescent="0.3">
      <c r="A1943" s="17"/>
      <c r="B1943" s="13"/>
      <c r="C1943" s="13"/>
      <c r="D1943" s="14"/>
    </row>
    <row r="1944" spans="1:4" x14ac:dyDescent="0.3">
      <c r="A1944" s="17"/>
      <c r="B1944" s="13"/>
      <c r="C1944" s="13"/>
      <c r="D1944" s="14"/>
    </row>
    <row r="1945" spans="1:4" x14ac:dyDescent="0.3">
      <c r="A1945" s="17"/>
      <c r="B1945" s="13"/>
      <c r="C1945" s="13"/>
      <c r="D1945" s="14"/>
    </row>
    <row r="1946" spans="1:4" x14ac:dyDescent="0.3">
      <c r="A1946" s="18"/>
      <c r="B1946" s="15"/>
      <c r="C1946" s="15"/>
      <c r="D1946" s="16"/>
    </row>
    <row r="1947" spans="1:4" x14ac:dyDescent="0.3">
      <c r="A1947" s="17"/>
      <c r="B1947" s="13"/>
      <c r="C1947" s="13"/>
      <c r="D1947" s="14"/>
    </row>
    <row r="1948" spans="1:4" x14ac:dyDescent="0.3">
      <c r="A1948" s="17"/>
      <c r="B1948" s="13"/>
      <c r="C1948" s="13"/>
      <c r="D1948" s="14"/>
    </row>
    <row r="1949" spans="1:4" x14ac:dyDescent="0.3">
      <c r="A1949" s="17"/>
      <c r="B1949" s="13"/>
      <c r="C1949" s="13"/>
      <c r="D1949" s="14"/>
    </row>
    <row r="1950" spans="1:4" x14ac:dyDescent="0.3">
      <c r="A1950" s="17"/>
      <c r="B1950" s="13"/>
      <c r="C1950" s="13"/>
      <c r="D1950" s="14"/>
    </row>
    <row r="1951" spans="1:4" x14ac:dyDescent="0.3">
      <c r="A1951" s="18"/>
      <c r="B1951" s="15"/>
      <c r="C1951" s="15"/>
      <c r="D1951" s="16"/>
    </row>
    <row r="1952" spans="1:4" x14ac:dyDescent="0.3">
      <c r="A1952" s="17"/>
      <c r="B1952" s="13"/>
      <c r="C1952" s="13"/>
      <c r="D1952" s="14"/>
    </row>
    <row r="1953" spans="1:4" x14ac:dyDescent="0.3">
      <c r="A1953" s="17"/>
      <c r="B1953" s="13"/>
      <c r="C1953" s="13"/>
      <c r="D1953" s="14"/>
    </row>
    <row r="1954" spans="1:4" x14ac:dyDescent="0.3">
      <c r="A1954" s="17"/>
      <c r="B1954" s="13"/>
      <c r="C1954" s="13"/>
      <c r="D1954" s="14"/>
    </row>
    <row r="1955" spans="1:4" x14ac:dyDescent="0.3">
      <c r="A1955" s="17"/>
      <c r="B1955" s="13"/>
      <c r="C1955" s="13"/>
      <c r="D1955" s="14"/>
    </row>
    <row r="1956" spans="1:4" x14ac:dyDescent="0.3">
      <c r="A1956" s="18"/>
      <c r="B1956" s="15"/>
      <c r="C1956" s="15"/>
      <c r="D1956" s="16"/>
    </row>
    <row r="1957" spans="1:4" x14ac:dyDescent="0.3">
      <c r="A1957" s="17"/>
      <c r="B1957" s="13"/>
      <c r="C1957" s="13"/>
      <c r="D1957" s="14"/>
    </row>
    <row r="1958" spans="1:4" x14ac:dyDescent="0.3">
      <c r="A1958" s="17"/>
      <c r="B1958" s="13"/>
      <c r="C1958" s="13"/>
      <c r="D1958" s="14"/>
    </row>
    <row r="1959" spans="1:4" x14ac:dyDescent="0.3">
      <c r="A1959" s="17"/>
      <c r="B1959" s="13"/>
      <c r="C1959" s="13"/>
      <c r="D1959" s="14"/>
    </row>
    <row r="1960" spans="1:4" x14ac:dyDescent="0.3">
      <c r="A1960" s="17"/>
      <c r="B1960" s="13"/>
      <c r="C1960" s="13"/>
      <c r="D1960" s="14"/>
    </row>
    <row r="1961" spans="1:4" x14ac:dyDescent="0.3">
      <c r="A1961" s="18"/>
      <c r="B1961" s="15"/>
      <c r="C1961" s="15"/>
      <c r="D1961" s="16"/>
    </row>
    <row r="1962" spans="1:4" x14ac:dyDescent="0.3">
      <c r="A1962" s="17"/>
      <c r="B1962" s="13"/>
      <c r="C1962" s="13"/>
      <c r="D1962" s="14"/>
    </row>
    <row r="1963" spans="1:4" x14ac:dyDescent="0.3">
      <c r="A1963" s="17"/>
      <c r="B1963" s="13"/>
      <c r="C1963" s="13"/>
      <c r="D1963" s="14"/>
    </row>
    <row r="1964" spans="1:4" x14ac:dyDescent="0.3">
      <c r="A1964" s="17"/>
      <c r="B1964" s="13"/>
      <c r="C1964" s="13"/>
      <c r="D1964" s="14"/>
    </row>
    <row r="1965" spans="1:4" x14ac:dyDescent="0.3">
      <c r="A1965" s="17"/>
      <c r="B1965" s="13"/>
      <c r="C1965" s="13"/>
      <c r="D1965" s="14"/>
    </row>
    <row r="1966" spans="1:4" x14ac:dyDescent="0.3">
      <c r="A1966" s="18"/>
      <c r="B1966" s="15"/>
      <c r="C1966" s="15"/>
      <c r="D1966" s="16"/>
    </row>
    <row r="1967" spans="1:4" x14ac:dyDescent="0.3">
      <c r="A1967" s="17"/>
      <c r="B1967" s="13"/>
      <c r="C1967" s="13"/>
      <c r="D1967" s="14"/>
    </row>
    <row r="1968" spans="1:4" x14ac:dyDescent="0.3">
      <c r="A1968" s="17"/>
      <c r="B1968" s="13"/>
      <c r="C1968" s="13"/>
      <c r="D1968" s="14"/>
    </row>
    <row r="1969" spans="1:4" x14ac:dyDescent="0.3">
      <c r="A1969" s="17"/>
      <c r="B1969" s="13"/>
      <c r="C1969" s="13"/>
      <c r="D1969" s="14"/>
    </row>
    <row r="1970" spans="1:4" x14ac:dyDescent="0.3">
      <c r="A1970" s="17"/>
      <c r="B1970" s="13"/>
      <c r="C1970" s="13"/>
      <c r="D1970" s="14"/>
    </row>
    <row r="1971" spans="1:4" x14ac:dyDescent="0.3">
      <c r="A1971" s="18"/>
      <c r="B1971" s="15"/>
      <c r="C1971" s="15"/>
      <c r="D1971" s="16"/>
    </row>
    <row r="1972" spans="1:4" x14ac:dyDescent="0.3">
      <c r="A1972" s="17"/>
      <c r="B1972" s="13"/>
      <c r="C1972" s="13"/>
      <c r="D1972" s="14"/>
    </row>
    <row r="1973" spans="1:4" x14ac:dyDescent="0.3">
      <c r="A1973" s="17"/>
      <c r="B1973" s="13"/>
      <c r="C1973" s="13"/>
      <c r="D1973" s="14"/>
    </row>
    <row r="1974" spans="1:4" x14ac:dyDescent="0.3">
      <c r="A1974" s="17"/>
      <c r="B1974" s="13"/>
      <c r="C1974" s="13"/>
      <c r="D1974" s="14"/>
    </row>
    <row r="1975" spans="1:4" x14ac:dyDescent="0.3">
      <c r="A1975" s="17"/>
      <c r="B1975" s="13"/>
      <c r="C1975" s="13"/>
      <c r="D1975" s="14"/>
    </row>
    <row r="1976" spans="1:4" x14ac:dyDescent="0.3">
      <c r="A1976" s="18"/>
      <c r="B1976" s="15"/>
      <c r="C1976" s="15"/>
      <c r="D1976" s="16"/>
    </row>
    <row r="1977" spans="1:4" x14ac:dyDescent="0.3">
      <c r="A1977" s="17"/>
      <c r="B1977" s="13"/>
      <c r="C1977" s="13"/>
      <c r="D1977" s="14"/>
    </row>
    <row r="1978" spans="1:4" x14ac:dyDescent="0.3">
      <c r="A1978" s="17"/>
      <c r="B1978" s="13"/>
      <c r="C1978" s="13"/>
      <c r="D1978" s="14"/>
    </row>
    <row r="1979" spans="1:4" x14ac:dyDescent="0.3">
      <c r="A1979" s="17"/>
      <c r="B1979" s="13"/>
      <c r="C1979" s="13"/>
      <c r="D1979" s="14"/>
    </row>
    <row r="1980" spans="1:4" x14ac:dyDescent="0.3">
      <c r="A1980" s="17"/>
      <c r="B1980" s="13"/>
      <c r="C1980" s="13"/>
      <c r="D1980" s="14"/>
    </row>
    <row r="1981" spans="1:4" x14ac:dyDescent="0.3">
      <c r="A1981" s="18"/>
      <c r="B1981" s="15"/>
      <c r="C1981" s="15"/>
      <c r="D1981" s="16"/>
    </row>
    <row r="1982" spans="1:4" x14ac:dyDescent="0.3">
      <c r="A1982" s="17"/>
      <c r="B1982" s="13"/>
      <c r="C1982" s="13"/>
      <c r="D1982" s="14"/>
    </row>
    <row r="1983" spans="1:4" x14ac:dyDescent="0.3">
      <c r="A1983" s="17"/>
      <c r="B1983" s="13"/>
      <c r="C1983" s="13"/>
      <c r="D1983" s="14"/>
    </row>
    <row r="1984" spans="1:4" x14ac:dyDescent="0.3">
      <c r="A1984" s="17"/>
      <c r="B1984" s="13"/>
      <c r="C1984" s="13"/>
      <c r="D1984" s="14"/>
    </row>
    <row r="1985" spans="1:4" x14ac:dyDescent="0.3">
      <c r="A1985" s="17"/>
      <c r="B1985" s="13"/>
      <c r="C1985" s="13"/>
      <c r="D1985" s="14"/>
    </row>
    <row r="1986" spans="1:4" x14ac:dyDescent="0.3">
      <c r="A1986" s="18"/>
      <c r="B1986" s="15"/>
      <c r="C1986" s="15"/>
      <c r="D1986" s="16"/>
    </row>
    <row r="1987" spans="1:4" x14ac:dyDescent="0.3">
      <c r="A1987" s="17"/>
      <c r="B1987" s="13"/>
      <c r="C1987" s="13"/>
      <c r="D1987" s="14"/>
    </row>
    <row r="1988" spans="1:4" x14ac:dyDescent="0.3">
      <c r="A1988" s="17"/>
      <c r="B1988" s="13"/>
      <c r="C1988" s="13"/>
      <c r="D1988" s="14"/>
    </row>
    <row r="1989" spans="1:4" x14ac:dyDescent="0.3">
      <c r="A1989" s="17"/>
      <c r="B1989" s="13"/>
      <c r="C1989" s="13"/>
      <c r="D1989" s="14"/>
    </row>
    <row r="1990" spans="1:4" x14ac:dyDescent="0.3">
      <c r="A1990" s="17"/>
      <c r="B1990" s="13"/>
      <c r="C1990" s="13"/>
      <c r="D1990" s="14"/>
    </row>
    <row r="1991" spans="1:4" x14ac:dyDescent="0.3">
      <c r="A1991" s="18"/>
      <c r="B1991" s="15"/>
      <c r="C1991" s="15"/>
      <c r="D1991" s="16"/>
    </row>
    <row r="1992" spans="1:4" x14ac:dyDescent="0.3">
      <c r="A1992" s="17"/>
      <c r="B1992" s="13"/>
      <c r="C1992" s="13"/>
      <c r="D1992" s="14"/>
    </row>
    <row r="1993" spans="1:4" x14ac:dyDescent="0.3">
      <c r="A1993" s="17"/>
      <c r="B1993" s="13"/>
      <c r="C1993" s="13"/>
      <c r="D1993" s="14"/>
    </row>
    <row r="1994" spans="1:4" x14ac:dyDescent="0.3">
      <c r="A1994" s="17"/>
      <c r="B1994" s="13"/>
      <c r="C1994" s="13"/>
      <c r="D1994" s="14"/>
    </row>
    <row r="1995" spans="1:4" x14ac:dyDescent="0.3">
      <c r="A1995" s="17"/>
      <c r="B1995" s="13"/>
      <c r="C1995" s="13"/>
      <c r="D1995" s="14"/>
    </row>
    <row r="1996" spans="1:4" x14ac:dyDescent="0.3">
      <c r="A1996" s="18"/>
      <c r="B1996" s="15"/>
      <c r="C1996" s="15"/>
      <c r="D1996" s="16"/>
    </row>
    <row r="1997" spans="1:4" x14ac:dyDescent="0.3">
      <c r="A1997" s="17"/>
      <c r="B1997" s="13"/>
      <c r="C1997" s="13"/>
      <c r="D1997" s="14"/>
    </row>
    <row r="1998" spans="1:4" x14ac:dyDescent="0.3">
      <c r="A1998" s="17"/>
      <c r="B1998" s="13"/>
      <c r="C1998" s="13"/>
      <c r="D1998" s="14"/>
    </row>
    <row r="1999" spans="1:4" x14ac:dyDescent="0.3">
      <c r="A1999" s="17"/>
      <c r="B1999" s="13"/>
      <c r="C1999" s="13"/>
      <c r="D1999" s="14"/>
    </row>
    <row r="2000" spans="1:4" x14ac:dyDescent="0.3">
      <c r="A2000" s="17"/>
      <c r="B2000" s="13"/>
      <c r="C2000" s="13"/>
      <c r="D2000" s="14"/>
    </row>
    <row r="2001" spans="1:4" x14ac:dyDescent="0.3">
      <c r="A2001" s="18"/>
      <c r="B2001" s="15"/>
      <c r="C2001" s="15"/>
      <c r="D2001" s="16"/>
    </row>
    <row r="2002" spans="1:4" x14ac:dyDescent="0.3">
      <c r="A2002" s="17"/>
      <c r="B2002" s="13"/>
      <c r="C2002" s="13"/>
      <c r="D2002" s="14"/>
    </row>
    <row r="2003" spans="1:4" x14ac:dyDescent="0.3">
      <c r="A2003" s="17"/>
      <c r="B2003" s="13"/>
      <c r="C2003" s="13"/>
      <c r="D2003" s="14"/>
    </row>
    <row r="2004" spans="1:4" x14ac:dyDescent="0.3">
      <c r="A2004" s="17"/>
      <c r="B2004" s="13"/>
      <c r="C2004" s="13"/>
      <c r="D2004" s="14"/>
    </row>
    <row r="2005" spans="1:4" x14ac:dyDescent="0.3">
      <c r="A2005" s="17"/>
      <c r="B2005" s="13"/>
      <c r="C2005" s="13"/>
      <c r="D2005" s="14"/>
    </row>
    <row r="2006" spans="1:4" x14ac:dyDescent="0.3">
      <c r="A2006" s="18"/>
      <c r="B2006" s="15"/>
      <c r="C2006" s="15"/>
      <c r="D2006" s="16"/>
    </row>
    <row r="2007" spans="1:4" x14ac:dyDescent="0.3">
      <c r="A2007" s="17"/>
      <c r="B2007" s="13"/>
      <c r="C2007" s="13"/>
      <c r="D2007" s="14"/>
    </row>
    <row r="2008" spans="1:4" x14ac:dyDescent="0.3">
      <c r="A2008" s="17"/>
      <c r="B2008" s="13"/>
      <c r="C2008" s="13"/>
      <c r="D2008" s="14"/>
    </row>
    <row r="2009" spans="1:4" x14ac:dyDescent="0.3">
      <c r="A2009" s="17"/>
      <c r="B2009" s="13"/>
      <c r="C2009" s="13"/>
      <c r="D2009" s="14"/>
    </row>
    <row r="2010" spans="1:4" x14ac:dyDescent="0.3">
      <c r="A2010" s="17"/>
      <c r="B2010" s="13"/>
      <c r="C2010" s="13"/>
      <c r="D2010" s="14"/>
    </row>
    <row r="2011" spans="1:4" x14ac:dyDescent="0.3">
      <c r="A2011" s="18"/>
      <c r="B2011" s="15"/>
      <c r="C2011" s="15"/>
      <c r="D2011" s="16"/>
    </row>
    <row r="2012" spans="1:4" x14ac:dyDescent="0.3">
      <c r="A2012" s="17"/>
      <c r="B2012" s="13"/>
      <c r="C2012" s="13"/>
      <c r="D2012" s="14"/>
    </row>
    <row r="2013" spans="1:4" x14ac:dyDescent="0.3">
      <c r="A2013" s="17"/>
      <c r="B2013" s="13"/>
      <c r="C2013" s="13"/>
      <c r="D2013" s="14"/>
    </row>
    <row r="2014" spans="1:4" x14ac:dyDescent="0.3">
      <c r="A2014" s="17"/>
      <c r="B2014" s="13"/>
      <c r="C2014" s="13"/>
      <c r="D2014" s="14"/>
    </row>
    <row r="2015" spans="1:4" x14ac:dyDescent="0.3">
      <c r="A2015" s="17"/>
      <c r="B2015" s="13"/>
      <c r="C2015" s="13"/>
      <c r="D2015" s="14"/>
    </row>
    <row r="2016" spans="1:4" x14ac:dyDescent="0.3">
      <c r="A2016" s="18"/>
      <c r="B2016" s="15"/>
      <c r="C2016" s="15"/>
      <c r="D2016" s="16"/>
    </row>
    <row r="2017" spans="1:4" x14ac:dyDescent="0.3">
      <c r="A2017" s="17"/>
      <c r="B2017" s="13"/>
      <c r="C2017" s="13"/>
      <c r="D2017" s="14"/>
    </row>
    <row r="2018" spans="1:4" x14ac:dyDescent="0.3">
      <c r="A2018" s="17"/>
      <c r="B2018" s="13"/>
      <c r="C2018" s="13"/>
      <c r="D2018" s="14"/>
    </row>
    <row r="2019" spans="1:4" x14ac:dyDescent="0.3">
      <c r="A2019" s="17"/>
      <c r="B2019" s="13"/>
      <c r="C2019" s="13"/>
      <c r="D2019" s="14"/>
    </row>
    <row r="2020" spans="1:4" x14ac:dyDescent="0.3">
      <c r="A2020" s="17"/>
      <c r="B2020" s="13"/>
      <c r="C2020" s="13"/>
      <c r="D2020" s="14"/>
    </row>
    <row r="2021" spans="1:4" x14ac:dyDescent="0.3">
      <c r="A2021" s="18"/>
      <c r="B2021" s="15"/>
      <c r="C2021" s="15"/>
      <c r="D2021" s="16"/>
    </row>
    <row r="2022" spans="1:4" x14ac:dyDescent="0.3">
      <c r="A2022" s="17"/>
      <c r="B2022" s="13"/>
      <c r="C2022" s="13"/>
      <c r="D2022" s="14"/>
    </row>
    <row r="2023" spans="1:4" x14ac:dyDescent="0.3">
      <c r="A2023" s="17"/>
      <c r="B2023" s="13"/>
      <c r="C2023" s="13"/>
      <c r="D2023" s="14"/>
    </row>
    <row r="2024" spans="1:4" x14ac:dyDescent="0.3">
      <c r="A2024" s="17"/>
      <c r="B2024" s="13"/>
      <c r="C2024" s="13"/>
      <c r="D2024" s="14"/>
    </row>
    <row r="2025" spans="1:4" x14ac:dyDescent="0.3">
      <c r="A2025" s="17"/>
      <c r="B2025" s="13"/>
      <c r="C2025" s="13"/>
      <c r="D2025" s="14"/>
    </row>
    <row r="2026" spans="1:4" x14ac:dyDescent="0.3">
      <c r="A2026" s="18"/>
      <c r="B2026" s="15"/>
      <c r="C2026" s="15"/>
      <c r="D2026" s="16"/>
    </row>
    <row r="2027" spans="1:4" x14ac:dyDescent="0.3">
      <c r="A2027" s="17"/>
      <c r="B2027" s="13"/>
      <c r="C2027" s="13"/>
      <c r="D2027" s="14"/>
    </row>
    <row r="2028" spans="1:4" x14ac:dyDescent="0.3">
      <c r="A2028" s="17"/>
      <c r="B2028" s="13"/>
      <c r="C2028" s="13"/>
      <c r="D2028" s="14"/>
    </row>
    <row r="2029" spans="1:4" x14ac:dyDescent="0.3">
      <c r="A2029" s="17"/>
      <c r="B2029" s="13"/>
      <c r="C2029" s="13"/>
      <c r="D2029" s="14"/>
    </row>
    <row r="2030" spans="1:4" x14ac:dyDescent="0.3">
      <c r="A2030" s="17"/>
      <c r="B2030" s="13"/>
      <c r="C2030" s="13"/>
      <c r="D2030" s="14"/>
    </row>
    <row r="2031" spans="1:4" x14ac:dyDescent="0.3">
      <c r="A2031" s="18"/>
      <c r="B2031" s="15"/>
      <c r="C2031" s="15"/>
      <c r="D2031" s="16"/>
    </row>
    <row r="2032" spans="1:4" x14ac:dyDescent="0.3">
      <c r="A2032" s="17"/>
      <c r="B2032" s="13"/>
      <c r="C2032" s="13"/>
      <c r="D2032" s="14"/>
    </row>
    <row r="2033" spans="1:4" x14ac:dyDescent="0.3">
      <c r="A2033" s="17"/>
      <c r="B2033" s="13"/>
      <c r="C2033" s="13"/>
      <c r="D2033" s="14"/>
    </row>
    <row r="2034" spans="1:4" x14ac:dyDescent="0.3">
      <c r="A2034" s="17"/>
      <c r="B2034" s="13"/>
      <c r="C2034" s="13"/>
      <c r="D2034" s="14"/>
    </row>
    <row r="2035" spans="1:4" x14ac:dyDescent="0.3">
      <c r="A2035" s="17"/>
      <c r="B2035" s="13"/>
      <c r="C2035" s="13"/>
      <c r="D2035" s="14"/>
    </row>
    <row r="2036" spans="1:4" x14ac:dyDescent="0.3">
      <c r="A2036" s="18"/>
      <c r="B2036" s="15"/>
      <c r="C2036" s="15"/>
      <c r="D2036" s="16"/>
    </row>
    <row r="2037" spans="1:4" x14ac:dyDescent="0.3">
      <c r="A2037" s="17"/>
      <c r="B2037" s="13"/>
      <c r="C2037" s="13"/>
      <c r="D2037" s="14"/>
    </row>
    <row r="2038" spans="1:4" x14ac:dyDescent="0.3">
      <c r="A2038" s="17"/>
      <c r="B2038" s="13"/>
      <c r="C2038" s="13"/>
      <c r="D2038" s="14"/>
    </row>
    <row r="2039" spans="1:4" x14ac:dyDescent="0.3">
      <c r="A2039" s="17"/>
      <c r="B2039" s="13"/>
      <c r="C2039" s="13"/>
      <c r="D2039" s="14"/>
    </row>
    <row r="2040" spans="1:4" x14ac:dyDescent="0.3">
      <c r="A2040" s="17"/>
      <c r="B2040" s="13"/>
      <c r="C2040" s="13"/>
      <c r="D2040" s="14"/>
    </row>
    <row r="2041" spans="1:4" x14ac:dyDescent="0.3">
      <c r="A2041" s="18"/>
      <c r="B2041" s="15"/>
      <c r="C2041" s="15"/>
      <c r="D2041" s="16"/>
    </row>
    <row r="2042" spans="1:4" x14ac:dyDescent="0.3">
      <c r="A2042" s="17"/>
      <c r="B2042" s="13"/>
      <c r="C2042" s="13"/>
      <c r="D2042" s="14"/>
    </row>
    <row r="2043" spans="1:4" x14ac:dyDescent="0.3">
      <c r="A2043" s="17"/>
      <c r="B2043" s="13"/>
      <c r="C2043" s="13"/>
      <c r="D2043" s="14"/>
    </row>
    <row r="2044" spans="1:4" x14ac:dyDescent="0.3">
      <c r="A2044" s="17"/>
      <c r="B2044" s="13"/>
      <c r="C2044" s="13"/>
      <c r="D2044" s="14"/>
    </row>
    <row r="2045" spans="1:4" x14ac:dyDescent="0.3">
      <c r="A2045" s="17"/>
      <c r="B2045" s="13"/>
      <c r="C2045" s="13"/>
      <c r="D2045" s="14"/>
    </row>
    <row r="2046" spans="1:4" x14ac:dyDescent="0.3">
      <c r="A2046" s="18"/>
      <c r="B2046" s="15"/>
      <c r="C2046" s="15"/>
      <c r="D2046" s="16"/>
    </row>
    <row r="2047" spans="1:4" x14ac:dyDescent="0.3">
      <c r="A2047" s="17"/>
      <c r="B2047" s="13"/>
      <c r="C2047" s="13"/>
      <c r="D2047" s="14"/>
    </row>
    <row r="2048" spans="1:4" x14ac:dyDescent="0.3">
      <c r="A2048" s="17"/>
      <c r="B2048" s="13"/>
      <c r="C2048" s="13"/>
      <c r="D2048" s="14"/>
    </row>
    <row r="2049" spans="1:4" x14ac:dyDescent="0.3">
      <c r="A2049" s="17"/>
      <c r="B2049" s="13"/>
      <c r="C2049" s="13"/>
      <c r="D2049" s="14"/>
    </row>
    <row r="2050" spans="1:4" x14ac:dyDescent="0.3">
      <c r="A2050" s="17"/>
      <c r="B2050" s="13"/>
      <c r="C2050" s="13"/>
      <c r="D2050" s="14"/>
    </row>
    <row r="2051" spans="1:4" x14ac:dyDescent="0.3">
      <c r="A2051" s="18"/>
      <c r="B2051" s="15"/>
      <c r="C2051" s="15"/>
      <c r="D2051" s="16"/>
    </row>
    <row r="2052" spans="1:4" x14ac:dyDescent="0.3">
      <c r="A2052" s="17"/>
      <c r="B2052" s="13"/>
      <c r="C2052" s="13"/>
      <c r="D2052" s="14"/>
    </row>
    <row r="2053" spans="1:4" x14ac:dyDescent="0.3">
      <c r="A2053" s="17"/>
      <c r="B2053" s="13"/>
      <c r="C2053" s="13"/>
      <c r="D2053" s="14"/>
    </row>
    <row r="2054" spans="1:4" x14ac:dyDescent="0.3">
      <c r="A2054" s="17"/>
      <c r="B2054" s="13"/>
      <c r="C2054" s="13"/>
      <c r="D2054" s="14"/>
    </row>
    <row r="2055" spans="1:4" x14ac:dyDescent="0.3">
      <c r="A2055" s="17"/>
      <c r="B2055" s="13"/>
      <c r="C2055" s="13"/>
      <c r="D2055" s="14"/>
    </row>
    <row r="2056" spans="1:4" x14ac:dyDescent="0.3">
      <c r="A2056" s="18"/>
      <c r="B2056" s="15"/>
      <c r="C2056" s="15"/>
      <c r="D2056" s="16"/>
    </row>
    <row r="2057" spans="1:4" x14ac:dyDescent="0.3">
      <c r="A2057" s="17"/>
      <c r="B2057" s="13"/>
      <c r="C2057" s="13"/>
      <c r="D2057" s="14"/>
    </row>
    <row r="2058" spans="1:4" x14ac:dyDescent="0.3">
      <c r="A2058" s="17"/>
      <c r="B2058" s="13"/>
      <c r="C2058" s="13"/>
      <c r="D2058" s="14"/>
    </row>
    <row r="2059" spans="1:4" x14ac:dyDescent="0.3">
      <c r="A2059" s="17"/>
      <c r="B2059" s="13"/>
      <c r="C2059" s="13"/>
      <c r="D2059" s="14"/>
    </row>
    <row r="2060" spans="1:4" x14ac:dyDescent="0.3">
      <c r="A2060" s="17"/>
      <c r="B2060" s="13"/>
      <c r="C2060" s="13"/>
      <c r="D2060" s="14"/>
    </row>
    <row r="2061" spans="1:4" x14ac:dyDescent="0.3">
      <c r="A2061" s="18"/>
      <c r="B2061" s="15"/>
      <c r="C2061" s="15"/>
      <c r="D2061" s="16"/>
    </row>
    <row r="2062" spans="1:4" x14ac:dyDescent="0.3">
      <c r="A2062" s="17"/>
      <c r="B2062" s="13"/>
      <c r="C2062" s="13"/>
      <c r="D2062" s="14"/>
    </row>
    <row r="2063" spans="1:4" x14ac:dyDescent="0.3">
      <c r="A2063" s="17"/>
      <c r="B2063" s="13"/>
      <c r="C2063" s="13"/>
      <c r="D2063" s="14"/>
    </row>
    <row r="2064" spans="1:4" x14ac:dyDescent="0.3">
      <c r="A2064" s="17"/>
      <c r="B2064" s="13"/>
      <c r="C2064" s="13"/>
      <c r="D2064" s="14"/>
    </row>
    <row r="2065" spans="1:4" x14ac:dyDescent="0.3">
      <c r="A2065" s="17"/>
      <c r="B2065" s="13"/>
      <c r="C2065" s="13"/>
      <c r="D2065" s="14"/>
    </row>
    <row r="2066" spans="1:4" x14ac:dyDescent="0.3">
      <c r="A2066" s="18"/>
      <c r="B2066" s="15"/>
      <c r="C2066" s="15"/>
      <c r="D2066" s="16"/>
    </row>
    <row r="2067" spans="1:4" x14ac:dyDescent="0.3">
      <c r="A2067" s="17"/>
      <c r="B2067" s="13"/>
      <c r="C2067" s="13"/>
      <c r="D2067" s="14"/>
    </row>
    <row r="2068" spans="1:4" x14ac:dyDescent="0.3">
      <c r="A2068" s="17"/>
      <c r="B2068" s="13"/>
      <c r="C2068" s="13"/>
      <c r="D2068" s="14"/>
    </row>
    <row r="2069" spans="1:4" x14ac:dyDescent="0.3">
      <c r="A2069" s="17"/>
      <c r="B2069" s="13"/>
      <c r="C2069" s="13"/>
      <c r="D2069" s="14"/>
    </row>
    <row r="2070" spans="1:4" x14ac:dyDescent="0.3">
      <c r="A2070" s="17"/>
      <c r="B2070" s="13"/>
      <c r="C2070" s="13"/>
      <c r="D2070" s="14"/>
    </row>
    <row r="2071" spans="1:4" x14ac:dyDescent="0.3">
      <c r="A2071" s="18"/>
      <c r="B2071" s="15"/>
      <c r="C2071" s="15"/>
      <c r="D2071" s="16"/>
    </row>
    <row r="2072" spans="1:4" x14ac:dyDescent="0.3">
      <c r="A2072" s="17"/>
      <c r="B2072" s="13"/>
      <c r="C2072" s="13"/>
      <c r="D2072" s="14"/>
    </row>
    <row r="2073" spans="1:4" x14ac:dyDescent="0.3">
      <c r="A2073" s="17"/>
      <c r="B2073" s="13"/>
      <c r="C2073" s="13"/>
      <c r="D2073" s="14"/>
    </row>
    <row r="2074" spans="1:4" x14ac:dyDescent="0.3">
      <c r="A2074" s="17"/>
      <c r="B2074" s="13"/>
      <c r="C2074" s="13"/>
      <c r="D2074" s="14"/>
    </row>
    <row r="2075" spans="1:4" x14ac:dyDescent="0.3">
      <c r="A2075" s="17"/>
      <c r="B2075" s="13"/>
      <c r="C2075" s="13"/>
      <c r="D2075" s="14"/>
    </row>
    <row r="2076" spans="1:4" x14ac:dyDescent="0.3">
      <c r="A2076" s="18"/>
      <c r="B2076" s="15"/>
      <c r="C2076" s="15"/>
      <c r="D2076" s="16"/>
    </row>
    <row r="2077" spans="1:4" x14ac:dyDescent="0.3">
      <c r="A2077" s="17"/>
      <c r="B2077" s="13"/>
      <c r="C2077" s="13"/>
      <c r="D2077" s="14"/>
    </row>
    <row r="2078" spans="1:4" x14ac:dyDescent="0.3">
      <c r="A2078" s="17"/>
      <c r="B2078" s="13"/>
      <c r="C2078" s="13"/>
      <c r="D2078" s="14"/>
    </row>
    <row r="2079" spans="1:4" x14ac:dyDescent="0.3">
      <c r="A2079" s="17"/>
      <c r="B2079" s="13"/>
      <c r="C2079" s="13"/>
      <c r="D2079" s="14"/>
    </row>
    <row r="2080" spans="1:4" x14ac:dyDescent="0.3">
      <c r="A2080" s="17"/>
      <c r="B2080" s="13"/>
      <c r="C2080" s="13"/>
      <c r="D2080" s="14"/>
    </row>
    <row r="2081" spans="1:4" x14ac:dyDescent="0.3">
      <c r="A2081" s="18"/>
      <c r="B2081" s="15"/>
      <c r="C2081" s="15"/>
      <c r="D2081" s="16"/>
    </row>
    <row r="2082" spans="1:4" x14ac:dyDescent="0.3">
      <c r="A2082" s="17"/>
      <c r="B2082" s="13"/>
      <c r="C2082" s="13"/>
      <c r="D2082" s="14"/>
    </row>
    <row r="2083" spans="1:4" x14ac:dyDescent="0.3">
      <c r="A2083" s="17"/>
      <c r="B2083" s="13"/>
      <c r="C2083" s="13"/>
      <c r="D2083" s="14"/>
    </row>
    <row r="2084" spans="1:4" x14ac:dyDescent="0.3">
      <c r="A2084" s="17"/>
      <c r="B2084" s="13"/>
      <c r="C2084" s="13"/>
      <c r="D2084" s="14"/>
    </row>
    <row r="2085" spans="1:4" x14ac:dyDescent="0.3">
      <c r="A2085" s="17"/>
      <c r="B2085" s="13"/>
      <c r="C2085" s="13"/>
      <c r="D2085" s="14"/>
    </row>
    <row r="2086" spans="1:4" x14ac:dyDescent="0.3">
      <c r="A2086" s="18"/>
      <c r="B2086" s="15"/>
      <c r="C2086" s="15"/>
      <c r="D2086" s="16"/>
    </row>
    <row r="2087" spans="1:4" x14ac:dyDescent="0.3">
      <c r="A2087" s="17"/>
      <c r="B2087" s="13"/>
      <c r="C2087" s="13"/>
      <c r="D2087" s="14"/>
    </row>
    <row r="2088" spans="1:4" x14ac:dyDescent="0.3">
      <c r="A2088" s="17"/>
      <c r="B2088" s="13"/>
      <c r="C2088" s="13"/>
      <c r="D2088" s="14"/>
    </row>
    <row r="2089" spans="1:4" x14ac:dyDescent="0.3">
      <c r="A2089" s="17"/>
      <c r="B2089" s="13"/>
      <c r="C2089" s="13"/>
      <c r="D2089" s="14"/>
    </row>
    <row r="2090" spans="1:4" x14ac:dyDescent="0.3">
      <c r="A2090" s="17"/>
      <c r="B2090" s="13"/>
      <c r="C2090" s="13"/>
      <c r="D2090" s="14"/>
    </row>
    <row r="2091" spans="1:4" x14ac:dyDescent="0.3">
      <c r="A2091" s="18"/>
      <c r="B2091" s="15"/>
      <c r="C2091" s="15"/>
      <c r="D2091" s="16"/>
    </row>
    <row r="2092" spans="1:4" x14ac:dyDescent="0.3">
      <c r="A2092" s="17"/>
      <c r="B2092" s="13"/>
      <c r="C2092" s="13"/>
      <c r="D2092" s="14"/>
    </row>
    <row r="2093" spans="1:4" x14ac:dyDescent="0.3">
      <c r="A2093" s="17"/>
      <c r="B2093" s="13"/>
      <c r="C2093" s="13"/>
      <c r="D2093" s="14"/>
    </row>
    <row r="2094" spans="1:4" x14ac:dyDescent="0.3">
      <c r="A2094" s="17"/>
      <c r="B2094" s="13"/>
      <c r="C2094" s="13"/>
      <c r="D2094" s="14"/>
    </row>
    <row r="2095" spans="1:4" x14ac:dyDescent="0.3">
      <c r="A2095" s="17"/>
      <c r="B2095" s="13"/>
      <c r="C2095" s="13"/>
      <c r="D2095" s="14"/>
    </row>
    <row r="2096" spans="1:4" x14ac:dyDescent="0.3">
      <c r="A2096" s="18"/>
      <c r="B2096" s="15"/>
      <c r="C2096" s="15"/>
      <c r="D2096" s="16"/>
    </row>
    <row r="2097" spans="1:4" x14ac:dyDescent="0.3">
      <c r="A2097" s="17"/>
      <c r="B2097" s="13"/>
      <c r="C2097" s="13"/>
      <c r="D2097" s="14"/>
    </row>
    <row r="2098" spans="1:4" x14ac:dyDescent="0.3">
      <c r="A2098" s="17"/>
      <c r="B2098" s="13"/>
      <c r="C2098" s="13"/>
      <c r="D2098" s="14"/>
    </row>
    <row r="2099" spans="1:4" x14ac:dyDescent="0.3">
      <c r="A2099" s="17"/>
      <c r="B2099" s="13"/>
      <c r="C2099" s="13"/>
      <c r="D2099" s="14"/>
    </row>
    <row r="2100" spans="1:4" x14ac:dyDescent="0.3">
      <c r="A2100" s="17"/>
      <c r="B2100" s="13"/>
      <c r="C2100" s="13"/>
      <c r="D2100" s="14"/>
    </row>
    <row r="2101" spans="1:4" x14ac:dyDescent="0.3">
      <c r="A2101" s="18"/>
      <c r="B2101" s="15"/>
      <c r="C2101" s="15"/>
      <c r="D2101" s="16"/>
    </row>
    <row r="2102" spans="1:4" x14ac:dyDescent="0.3">
      <c r="A2102" s="17"/>
      <c r="B2102" s="13"/>
      <c r="C2102" s="13"/>
      <c r="D2102" s="14"/>
    </row>
    <row r="2103" spans="1:4" x14ac:dyDescent="0.3">
      <c r="A2103" s="17"/>
      <c r="B2103" s="13"/>
      <c r="C2103" s="13"/>
      <c r="D2103" s="14"/>
    </row>
    <row r="2104" spans="1:4" x14ac:dyDescent="0.3">
      <c r="A2104" s="17"/>
      <c r="B2104" s="13"/>
      <c r="C2104" s="13"/>
      <c r="D2104" s="14"/>
    </row>
    <row r="2105" spans="1:4" x14ac:dyDescent="0.3">
      <c r="A2105" s="17"/>
      <c r="B2105" s="13"/>
      <c r="C2105" s="13"/>
      <c r="D2105" s="14"/>
    </row>
    <row r="2106" spans="1:4" x14ac:dyDescent="0.3">
      <c r="A2106" s="18"/>
      <c r="B2106" s="15"/>
      <c r="C2106" s="15"/>
      <c r="D2106" s="16"/>
    </row>
    <row r="2107" spans="1:4" x14ac:dyDescent="0.3">
      <c r="A2107" s="17"/>
      <c r="B2107" s="13"/>
      <c r="C2107" s="13"/>
      <c r="D2107" s="14"/>
    </row>
    <row r="2108" spans="1:4" x14ac:dyDescent="0.3">
      <c r="A2108" s="17"/>
      <c r="B2108" s="13"/>
      <c r="C2108" s="13"/>
      <c r="D2108" s="14"/>
    </row>
    <row r="2109" spans="1:4" x14ac:dyDescent="0.3">
      <c r="A2109" s="17"/>
      <c r="B2109" s="13"/>
      <c r="C2109" s="13"/>
      <c r="D2109" s="14"/>
    </row>
    <row r="2110" spans="1:4" x14ac:dyDescent="0.3">
      <c r="A2110" s="17"/>
      <c r="B2110" s="13"/>
      <c r="C2110" s="13"/>
      <c r="D2110" s="14"/>
    </row>
    <row r="2111" spans="1:4" x14ac:dyDescent="0.3">
      <c r="A2111" s="18"/>
      <c r="B2111" s="15"/>
      <c r="C2111" s="15"/>
      <c r="D2111" s="16"/>
    </row>
    <row r="2112" spans="1:4" x14ac:dyDescent="0.3">
      <c r="A2112" s="17"/>
      <c r="B2112" s="13"/>
      <c r="C2112" s="13"/>
      <c r="D2112" s="14"/>
    </row>
    <row r="2113" spans="1:4" x14ac:dyDescent="0.3">
      <c r="A2113" s="17"/>
      <c r="B2113" s="13"/>
      <c r="C2113" s="13"/>
      <c r="D2113" s="14"/>
    </row>
    <row r="2114" spans="1:4" x14ac:dyDescent="0.3">
      <c r="A2114" s="17"/>
      <c r="B2114" s="13"/>
      <c r="C2114" s="13"/>
      <c r="D2114" s="14"/>
    </row>
    <row r="2115" spans="1:4" x14ac:dyDescent="0.3">
      <c r="A2115" s="17"/>
      <c r="B2115" s="13"/>
      <c r="C2115" s="13"/>
      <c r="D2115" s="14"/>
    </row>
    <row r="2116" spans="1:4" x14ac:dyDescent="0.3">
      <c r="A2116" s="18"/>
      <c r="B2116" s="15"/>
      <c r="C2116" s="15"/>
      <c r="D2116" s="16"/>
    </row>
    <row r="2117" spans="1:4" x14ac:dyDescent="0.3">
      <c r="A2117" s="17"/>
      <c r="B2117" s="13"/>
      <c r="C2117" s="13"/>
      <c r="D2117" s="14"/>
    </row>
    <row r="2118" spans="1:4" x14ac:dyDescent="0.3">
      <c r="A2118" s="17"/>
      <c r="B2118" s="13"/>
      <c r="C2118" s="13"/>
      <c r="D2118" s="14"/>
    </row>
    <row r="2119" spans="1:4" x14ac:dyDescent="0.3">
      <c r="A2119" s="17"/>
      <c r="B2119" s="13"/>
      <c r="C2119" s="13"/>
      <c r="D2119" s="14"/>
    </row>
    <row r="2120" spans="1:4" x14ac:dyDescent="0.3">
      <c r="A2120" s="17"/>
      <c r="B2120" s="13"/>
      <c r="C2120" s="13"/>
      <c r="D2120" s="14"/>
    </row>
    <row r="2121" spans="1:4" x14ac:dyDescent="0.3">
      <c r="A2121" s="18"/>
      <c r="B2121" s="15"/>
      <c r="C2121" s="15"/>
      <c r="D2121" s="16"/>
    </row>
    <row r="2122" spans="1:4" x14ac:dyDescent="0.3">
      <c r="A2122" s="17"/>
      <c r="B2122" s="13"/>
      <c r="C2122" s="13"/>
      <c r="D2122" s="14"/>
    </row>
    <row r="2123" spans="1:4" x14ac:dyDescent="0.3">
      <c r="A2123" s="17"/>
      <c r="B2123" s="13"/>
      <c r="C2123" s="13"/>
      <c r="D2123" s="14"/>
    </row>
    <row r="2124" spans="1:4" x14ac:dyDescent="0.3">
      <c r="A2124" s="17"/>
      <c r="B2124" s="13"/>
      <c r="C2124" s="13"/>
      <c r="D2124" s="14"/>
    </row>
    <row r="2125" spans="1:4" x14ac:dyDescent="0.3">
      <c r="A2125" s="17"/>
      <c r="B2125" s="13"/>
      <c r="C2125" s="13"/>
      <c r="D2125" s="14"/>
    </row>
    <row r="2126" spans="1:4" x14ac:dyDescent="0.3">
      <c r="A2126" s="18"/>
      <c r="B2126" s="15"/>
      <c r="C2126" s="15"/>
      <c r="D2126" s="16"/>
    </row>
    <row r="2127" spans="1:4" x14ac:dyDescent="0.3">
      <c r="A2127" s="17"/>
      <c r="B2127" s="13"/>
      <c r="C2127" s="13"/>
      <c r="D2127" s="14"/>
    </row>
    <row r="2128" spans="1:4" x14ac:dyDescent="0.3">
      <c r="A2128" s="17"/>
      <c r="B2128" s="13"/>
      <c r="C2128" s="13"/>
      <c r="D2128" s="14"/>
    </row>
    <row r="2129" spans="1:4" x14ac:dyDescent="0.3">
      <c r="A2129" s="17"/>
      <c r="B2129" s="13"/>
      <c r="C2129" s="13"/>
      <c r="D2129" s="14"/>
    </row>
    <row r="2130" spans="1:4" x14ac:dyDescent="0.3">
      <c r="A2130" s="17"/>
      <c r="B2130" s="13"/>
      <c r="C2130" s="13"/>
      <c r="D2130" s="14"/>
    </row>
    <row r="2131" spans="1:4" x14ac:dyDescent="0.3">
      <c r="A2131" s="18"/>
      <c r="B2131" s="15"/>
      <c r="C2131" s="15"/>
      <c r="D2131" s="16"/>
    </row>
    <row r="2132" spans="1:4" x14ac:dyDescent="0.3">
      <c r="A2132" s="17"/>
      <c r="B2132" s="13"/>
      <c r="C2132" s="13"/>
      <c r="D2132" s="14"/>
    </row>
    <row r="2133" spans="1:4" x14ac:dyDescent="0.3">
      <c r="A2133" s="17"/>
      <c r="B2133" s="13"/>
      <c r="C2133" s="13"/>
      <c r="D2133" s="14"/>
    </row>
    <row r="2134" spans="1:4" x14ac:dyDescent="0.3">
      <c r="A2134" s="17"/>
      <c r="B2134" s="13"/>
      <c r="C2134" s="13"/>
      <c r="D2134" s="14"/>
    </row>
    <row r="2135" spans="1:4" x14ac:dyDescent="0.3">
      <c r="A2135" s="17"/>
      <c r="B2135" s="13"/>
      <c r="C2135" s="13"/>
      <c r="D2135" s="14"/>
    </row>
    <row r="2136" spans="1:4" x14ac:dyDescent="0.3">
      <c r="A2136" s="18"/>
      <c r="B2136" s="15"/>
      <c r="C2136" s="15"/>
      <c r="D2136" s="16"/>
    </row>
    <row r="2137" spans="1:4" x14ac:dyDescent="0.3">
      <c r="A2137" s="17"/>
      <c r="B2137" s="13"/>
      <c r="C2137" s="13"/>
      <c r="D2137" s="14"/>
    </row>
    <row r="2138" spans="1:4" x14ac:dyDescent="0.3">
      <c r="A2138" s="17"/>
      <c r="B2138" s="13"/>
      <c r="C2138" s="13"/>
      <c r="D2138" s="14"/>
    </row>
    <row r="2139" spans="1:4" x14ac:dyDescent="0.3">
      <c r="A2139" s="17"/>
      <c r="B2139" s="13"/>
      <c r="C2139" s="13"/>
      <c r="D2139" s="14"/>
    </row>
    <row r="2140" spans="1:4" x14ac:dyDescent="0.3">
      <c r="A2140" s="17"/>
      <c r="B2140" s="13"/>
      <c r="C2140" s="13"/>
      <c r="D2140" s="14"/>
    </row>
    <row r="2141" spans="1:4" x14ac:dyDescent="0.3">
      <c r="A2141" s="18"/>
      <c r="B2141" s="15"/>
      <c r="C2141" s="15"/>
      <c r="D2141" s="16"/>
    </row>
    <row r="2142" spans="1:4" x14ac:dyDescent="0.3">
      <c r="A2142" s="17"/>
      <c r="B2142" s="13"/>
      <c r="C2142" s="13"/>
      <c r="D2142" s="14"/>
    </row>
    <row r="2143" spans="1:4" x14ac:dyDescent="0.3">
      <c r="A2143" s="17"/>
      <c r="B2143" s="13"/>
      <c r="C2143" s="13"/>
      <c r="D2143" s="14"/>
    </row>
    <row r="2144" spans="1:4" x14ac:dyDescent="0.3">
      <c r="A2144" s="17"/>
      <c r="B2144" s="13"/>
      <c r="C2144" s="13"/>
      <c r="D2144" s="14"/>
    </row>
    <row r="2145" spans="1:4" x14ac:dyDescent="0.3">
      <c r="A2145" s="17"/>
      <c r="B2145" s="13"/>
      <c r="C2145" s="13"/>
      <c r="D2145" s="14"/>
    </row>
    <row r="2146" spans="1:4" x14ac:dyDescent="0.3">
      <c r="A2146" s="18"/>
      <c r="B2146" s="15"/>
      <c r="C2146" s="15"/>
      <c r="D2146" s="16"/>
    </row>
    <row r="2147" spans="1:4" x14ac:dyDescent="0.3">
      <c r="A2147" s="17"/>
      <c r="B2147" s="13"/>
      <c r="C2147" s="13"/>
      <c r="D2147" s="14"/>
    </row>
    <row r="2148" spans="1:4" x14ac:dyDescent="0.3">
      <c r="A2148" s="17"/>
      <c r="B2148" s="13"/>
      <c r="C2148" s="13"/>
      <c r="D2148" s="14"/>
    </row>
    <row r="2149" spans="1:4" x14ac:dyDescent="0.3">
      <c r="A2149" s="17"/>
      <c r="B2149" s="13"/>
      <c r="C2149" s="13"/>
      <c r="D2149" s="14"/>
    </row>
    <row r="2150" spans="1:4" x14ac:dyDescent="0.3">
      <c r="A2150" s="17"/>
      <c r="B2150" s="13"/>
      <c r="C2150" s="13"/>
      <c r="D2150" s="14"/>
    </row>
    <row r="2151" spans="1:4" x14ac:dyDescent="0.3">
      <c r="A2151" s="18"/>
      <c r="B2151" s="15"/>
      <c r="C2151" s="15"/>
      <c r="D2151" s="16"/>
    </row>
    <row r="2152" spans="1:4" x14ac:dyDescent="0.3">
      <c r="A2152" s="17"/>
      <c r="B2152" s="13"/>
      <c r="C2152" s="13"/>
      <c r="D2152" s="14"/>
    </row>
    <row r="2153" spans="1:4" x14ac:dyDescent="0.3">
      <c r="A2153" s="17"/>
      <c r="B2153" s="13"/>
      <c r="C2153" s="13"/>
      <c r="D2153" s="14"/>
    </row>
    <row r="2154" spans="1:4" x14ac:dyDescent="0.3">
      <c r="A2154" s="17"/>
      <c r="B2154" s="13"/>
      <c r="C2154" s="13"/>
      <c r="D2154" s="14"/>
    </row>
    <row r="2155" spans="1:4" x14ac:dyDescent="0.3">
      <c r="A2155" s="17"/>
      <c r="B2155" s="13"/>
      <c r="C2155" s="13"/>
      <c r="D2155" s="14"/>
    </row>
    <row r="2156" spans="1:4" x14ac:dyDescent="0.3">
      <c r="A2156" s="18"/>
      <c r="B2156" s="15"/>
      <c r="C2156" s="15"/>
      <c r="D2156" s="16"/>
    </row>
    <row r="2157" spans="1:4" x14ac:dyDescent="0.3">
      <c r="A2157" s="17"/>
      <c r="B2157" s="13"/>
      <c r="C2157" s="13"/>
      <c r="D2157" s="14"/>
    </row>
    <row r="2158" spans="1:4" x14ac:dyDescent="0.3">
      <c r="A2158" s="17"/>
      <c r="B2158" s="13"/>
      <c r="C2158" s="13"/>
      <c r="D2158" s="14"/>
    </row>
    <row r="2159" spans="1:4" x14ac:dyDescent="0.3">
      <c r="A2159" s="17"/>
      <c r="B2159" s="13"/>
      <c r="C2159" s="13"/>
      <c r="D2159" s="14"/>
    </row>
    <row r="2160" spans="1:4" x14ac:dyDescent="0.3">
      <c r="A2160" s="17"/>
      <c r="B2160" s="13"/>
      <c r="C2160" s="13"/>
      <c r="D2160" s="14"/>
    </row>
    <row r="2161" spans="1:4" x14ac:dyDescent="0.3">
      <c r="A2161" s="18"/>
      <c r="B2161" s="15"/>
      <c r="C2161" s="15"/>
      <c r="D2161" s="16"/>
    </row>
    <row r="2162" spans="1:4" x14ac:dyDescent="0.3">
      <c r="A2162" s="17"/>
      <c r="B2162" s="13"/>
      <c r="C2162" s="13"/>
      <c r="D2162" s="14"/>
    </row>
    <row r="2163" spans="1:4" x14ac:dyDescent="0.3">
      <c r="A2163" s="17"/>
      <c r="B2163" s="13"/>
      <c r="C2163" s="13"/>
      <c r="D2163" s="14"/>
    </row>
    <row r="2164" spans="1:4" x14ac:dyDescent="0.3">
      <c r="A2164" s="17"/>
      <c r="B2164" s="13"/>
      <c r="C2164" s="13"/>
      <c r="D2164" s="14"/>
    </row>
    <row r="2165" spans="1:4" x14ac:dyDescent="0.3">
      <c r="A2165" s="17"/>
      <c r="B2165" s="13"/>
      <c r="C2165" s="13"/>
      <c r="D2165" s="14"/>
    </row>
    <row r="2166" spans="1:4" x14ac:dyDescent="0.3">
      <c r="A2166" s="18"/>
      <c r="B2166" s="15"/>
      <c r="C2166" s="15"/>
      <c r="D2166" s="16"/>
    </row>
    <row r="2167" spans="1:4" x14ac:dyDescent="0.3">
      <c r="A2167" s="17"/>
      <c r="B2167" s="13"/>
      <c r="C2167" s="13"/>
      <c r="D2167" s="14"/>
    </row>
    <row r="2168" spans="1:4" x14ac:dyDescent="0.3">
      <c r="A2168" s="17"/>
      <c r="B2168" s="13"/>
      <c r="C2168" s="13"/>
      <c r="D2168" s="14"/>
    </row>
    <row r="2169" spans="1:4" x14ac:dyDescent="0.3">
      <c r="A2169" s="17"/>
      <c r="B2169" s="13"/>
      <c r="C2169" s="13"/>
      <c r="D2169" s="14"/>
    </row>
    <row r="2170" spans="1:4" x14ac:dyDescent="0.3">
      <c r="A2170" s="17"/>
      <c r="B2170" s="13"/>
      <c r="C2170" s="13"/>
      <c r="D2170" s="14"/>
    </row>
    <row r="2171" spans="1:4" x14ac:dyDescent="0.3">
      <c r="A2171" s="18"/>
      <c r="B2171" s="15"/>
      <c r="C2171" s="15"/>
      <c r="D2171" s="16"/>
    </row>
    <row r="2172" spans="1:4" x14ac:dyDescent="0.3">
      <c r="A2172" s="17"/>
      <c r="B2172" s="13"/>
      <c r="C2172" s="13"/>
      <c r="D2172" s="14"/>
    </row>
    <row r="2173" spans="1:4" x14ac:dyDescent="0.3">
      <c r="A2173" s="17"/>
      <c r="B2173" s="13"/>
      <c r="C2173" s="13"/>
      <c r="D2173" s="14"/>
    </row>
    <row r="2174" spans="1:4" x14ac:dyDescent="0.3">
      <c r="A2174" s="17"/>
      <c r="B2174" s="13"/>
      <c r="C2174" s="13"/>
      <c r="D2174" s="14"/>
    </row>
    <row r="2175" spans="1:4" x14ac:dyDescent="0.3">
      <c r="A2175" s="17"/>
      <c r="B2175" s="13"/>
      <c r="C2175" s="13"/>
      <c r="D2175" s="14"/>
    </row>
    <row r="2176" spans="1:4" x14ac:dyDescent="0.3">
      <c r="A2176" s="18"/>
      <c r="B2176" s="15"/>
      <c r="C2176" s="15"/>
      <c r="D2176" s="16"/>
    </row>
    <row r="2177" spans="1:4" x14ac:dyDescent="0.3">
      <c r="A2177" s="17"/>
      <c r="B2177" s="13"/>
      <c r="C2177" s="13"/>
      <c r="D2177" s="14"/>
    </row>
    <row r="2178" spans="1:4" x14ac:dyDescent="0.3">
      <c r="A2178" s="17"/>
      <c r="B2178" s="13"/>
      <c r="C2178" s="13"/>
      <c r="D2178" s="14"/>
    </row>
    <row r="2179" spans="1:4" x14ac:dyDescent="0.3">
      <c r="A2179" s="17"/>
      <c r="B2179" s="13"/>
      <c r="C2179" s="13"/>
      <c r="D2179" s="14"/>
    </row>
    <row r="2180" spans="1:4" x14ac:dyDescent="0.3">
      <c r="A2180" s="17"/>
      <c r="B2180" s="13"/>
      <c r="C2180" s="13"/>
      <c r="D2180" s="14"/>
    </row>
    <row r="2181" spans="1:4" x14ac:dyDescent="0.3">
      <c r="A2181" s="18"/>
      <c r="B2181" s="15"/>
      <c r="C2181" s="15"/>
      <c r="D2181" s="16"/>
    </row>
    <row r="2182" spans="1:4" x14ac:dyDescent="0.3">
      <c r="A2182" s="17"/>
      <c r="B2182" s="13"/>
      <c r="C2182" s="13"/>
      <c r="D2182" s="14"/>
    </row>
    <row r="2183" spans="1:4" x14ac:dyDescent="0.3">
      <c r="A2183" s="17"/>
      <c r="B2183" s="13"/>
      <c r="C2183" s="13"/>
      <c r="D2183" s="14"/>
    </row>
    <row r="2184" spans="1:4" x14ac:dyDescent="0.3">
      <c r="A2184" s="17"/>
      <c r="B2184" s="13"/>
      <c r="C2184" s="13"/>
      <c r="D2184" s="14"/>
    </row>
    <row r="2185" spans="1:4" x14ac:dyDescent="0.3">
      <c r="A2185" s="17"/>
      <c r="B2185" s="13"/>
      <c r="C2185" s="13"/>
      <c r="D2185" s="14"/>
    </row>
    <row r="2186" spans="1:4" x14ac:dyDescent="0.3">
      <c r="A2186" s="18"/>
      <c r="B2186" s="15"/>
      <c r="C2186" s="15"/>
      <c r="D2186" s="16"/>
    </row>
    <row r="2187" spans="1:4" x14ac:dyDescent="0.3">
      <c r="A2187" s="17"/>
      <c r="B2187" s="13"/>
      <c r="C2187" s="13"/>
      <c r="D2187" s="14"/>
    </row>
    <row r="2188" spans="1:4" x14ac:dyDescent="0.3">
      <c r="A2188" s="17"/>
      <c r="B2188" s="13"/>
      <c r="C2188" s="13"/>
      <c r="D2188" s="14"/>
    </row>
    <row r="2189" spans="1:4" x14ac:dyDescent="0.3">
      <c r="A2189" s="17"/>
      <c r="B2189" s="13"/>
      <c r="C2189" s="13"/>
      <c r="D2189" s="14"/>
    </row>
    <row r="2190" spans="1:4" x14ac:dyDescent="0.3">
      <c r="A2190" s="17"/>
      <c r="B2190" s="13"/>
      <c r="C2190" s="13"/>
      <c r="D2190" s="14"/>
    </row>
    <row r="2191" spans="1:4" x14ac:dyDescent="0.3">
      <c r="A2191" s="18"/>
      <c r="B2191" s="15"/>
      <c r="C2191" s="15"/>
      <c r="D2191" s="16"/>
    </row>
    <row r="2192" spans="1:4" x14ac:dyDescent="0.3">
      <c r="A2192" s="17"/>
      <c r="B2192" s="13"/>
      <c r="C2192" s="13"/>
      <c r="D2192" s="14"/>
    </row>
    <row r="2193" spans="1:4" x14ac:dyDescent="0.3">
      <c r="A2193" s="17"/>
      <c r="B2193" s="13"/>
      <c r="C2193" s="13"/>
      <c r="D2193" s="14"/>
    </row>
    <row r="2194" spans="1:4" x14ac:dyDescent="0.3">
      <c r="A2194" s="17"/>
      <c r="B2194" s="13"/>
      <c r="C2194" s="13"/>
      <c r="D2194" s="14"/>
    </row>
    <row r="2195" spans="1:4" x14ac:dyDescent="0.3">
      <c r="A2195" s="17"/>
      <c r="B2195" s="13"/>
      <c r="C2195" s="13"/>
      <c r="D2195" s="14"/>
    </row>
    <row r="2196" spans="1:4" x14ac:dyDescent="0.3">
      <c r="A2196" s="18"/>
      <c r="B2196" s="15"/>
      <c r="C2196" s="15"/>
      <c r="D2196" s="16"/>
    </row>
    <row r="2197" spans="1:4" x14ac:dyDescent="0.3">
      <c r="A2197" s="17"/>
      <c r="B2197" s="13"/>
      <c r="C2197" s="13"/>
      <c r="D2197" s="14"/>
    </row>
    <row r="2198" spans="1:4" x14ac:dyDescent="0.3">
      <c r="A2198" s="17"/>
      <c r="B2198" s="13"/>
      <c r="C2198" s="13"/>
      <c r="D2198" s="14"/>
    </row>
    <row r="2199" spans="1:4" x14ac:dyDescent="0.3">
      <c r="A2199" s="17"/>
      <c r="B2199" s="13"/>
      <c r="C2199" s="13"/>
      <c r="D2199" s="14"/>
    </row>
    <row r="2200" spans="1:4" x14ac:dyDescent="0.3">
      <c r="A2200" s="17"/>
      <c r="B2200" s="13"/>
      <c r="C2200" s="13"/>
      <c r="D2200" s="14"/>
    </row>
    <row r="2201" spans="1:4" x14ac:dyDescent="0.3">
      <c r="A2201" s="18"/>
      <c r="B2201" s="15"/>
      <c r="C2201" s="15"/>
      <c r="D2201" s="16"/>
    </row>
    <row r="2202" spans="1:4" x14ac:dyDescent="0.3">
      <c r="A2202" s="17"/>
      <c r="B2202" s="13"/>
      <c r="C2202" s="13"/>
      <c r="D2202" s="14"/>
    </row>
    <row r="2203" spans="1:4" x14ac:dyDescent="0.3">
      <c r="A2203" s="17"/>
      <c r="B2203" s="13"/>
      <c r="C2203" s="13"/>
      <c r="D2203" s="14"/>
    </row>
    <row r="2204" spans="1:4" x14ac:dyDescent="0.3">
      <c r="A2204" s="17"/>
      <c r="B2204" s="13"/>
      <c r="C2204" s="13"/>
      <c r="D2204" s="14"/>
    </row>
    <row r="2205" spans="1:4" x14ac:dyDescent="0.3">
      <c r="A2205" s="17"/>
      <c r="B2205" s="13"/>
      <c r="C2205" s="13"/>
      <c r="D2205" s="14"/>
    </row>
    <row r="2206" spans="1:4" x14ac:dyDescent="0.3">
      <c r="A2206" s="18"/>
      <c r="B2206" s="15"/>
      <c r="C2206" s="15"/>
      <c r="D2206" s="16"/>
    </row>
    <row r="2207" spans="1:4" x14ac:dyDescent="0.3">
      <c r="A2207" s="17"/>
      <c r="B2207" s="13"/>
      <c r="C2207" s="13"/>
      <c r="D2207" s="14"/>
    </row>
    <row r="2208" spans="1:4" x14ac:dyDescent="0.3">
      <c r="A2208" s="17"/>
      <c r="B2208" s="13"/>
      <c r="C2208" s="13"/>
      <c r="D2208" s="14"/>
    </row>
    <row r="2209" spans="1:4" x14ac:dyDescent="0.3">
      <c r="A2209" s="17"/>
      <c r="B2209" s="13"/>
      <c r="C2209" s="13"/>
      <c r="D2209" s="14"/>
    </row>
    <row r="2210" spans="1:4" x14ac:dyDescent="0.3">
      <c r="A2210" s="17"/>
      <c r="B2210" s="13"/>
      <c r="C2210" s="13"/>
      <c r="D2210" s="14"/>
    </row>
    <row r="2211" spans="1:4" x14ac:dyDescent="0.3">
      <c r="A2211" s="18"/>
      <c r="B2211" s="15"/>
      <c r="C2211" s="15"/>
      <c r="D2211" s="16"/>
    </row>
    <row r="2212" spans="1:4" x14ac:dyDescent="0.3">
      <c r="A2212" s="17"/>
      <c r="B2212" s="13"/>
      <c r="C2212" s="13"/>
      <c r="D2212" s="14"/>
    </row>
    <row r="2213" spans="1:4" x14ac:dyDescent="0.3">
      <c r="A2213" s="17"/>
      <c r="B2213" s="13"/>
      <c r="C2213" s="13"/>
      <c r="D2213" s="14"/>
    </row>
    <row r="2214" spans="1:4" x14ac:dyDescent="0.3">
      <c r="A2214" s="17"/>
      <c r="B2214" s="13"/>
      <c r="C2214" s="13"/>
      <c r="D2214" s="14"/>
    </row>
    <row r="2215" spans="1:4" x14ac:dyDescent="0.3">
      <c r="A2215" s="17"/>
      <c r="B2215" s="13"/>
      <c r="C2215" s="13"/>
      <c r="D2215" s="14"/>
    </row>
    <row r="2216" spans="1:4" x14ac:dyDescent="0.3">
      <c r="A2216" s="18"/>
      <c r="B2216" s="15"/>
      <c r="C2216" s="15"/>
      <c r="D2216" s="16"/>
    </row>
    <row r="2217" spans="1:4" x14ac:dyDescent="0.3">
      <c r="A2217" s="17"/>
      <c r="B2217" s="13"/>
      <c r="C2217" s="13"/>
      <c r="D2217" s="14"/>
    </row>
    <row r="2218" spans="1:4" x14ac:dyDescent="0.3">
      <c r="A2218" s="17"/>
      <c r="B2218" s="13"/>
      <c r="C2218" s="13"/>
      <c r="D2218" s="14"/>
    </row>
    <row r="2219" spans="1:4" x14ac:dyDescent="0.3">
      <c r="A2219" s="17"/>
      <c r="B2219" s="13"/>
      <c r="C2219" s="13"/>
      <c r="D2219" s="14"/>
    </row>
    <row r="2220" spans="1:4" x14ac:dyDescent="0.3">
      <c r="A2220" s="17"/>
      <c r="B2220" s="13"/>
      <c r="C2220" s="13"/>
      <c r="D2220" s="14"/>
    </row>
    <row r="2221" spans="1:4" x14ac:dyDescent="0.3">
      <c r="A2221" s="18"/>
      <c r="B2221" s="15"/>
      <c r="C2221" s="15"/>
      <c r="D2221" s="16"/>
    </row>
    <row r="2222" spans="1:4" x14ac:dyDescent="0.3">
      <c r="A2222" s="17"/>
      <c r="B2222" s="13"/>
      <c r="C2222" s="13"/>
      <c r="D2222" s="14"/>
    </row>
    <row r="2223" spans="1:4" x14ac:dyDescent="0.3">
      <c r="A2223" s="17"/>
      <c r="B2223" s="13"/>
      <c r="C2223" s="13"/>
      <c r="D2223" s="14"/>
    </row>
    <row r="2224" spans="1:4" x14ac:dyDescent="0.3">
      <c r="A2224" s="17"/>
      <c r="B2224" s="13"/>
      <c r="C2224" s="13"/>
      <c r="D2224" s="14"/>
    </row>
    <row r="2225" spans="1:4" x14ac:dyDescent="0.3">
      <c r="A2225" s="17"/>
      <c r="B2225" s="13"/>
      <c r="C2225" s="13"/>
      <c r="D2225" s="14"/>
    </row>
    <row r="2226" spans="1:4" x14ac:dyDescent="0.3">
      <c r="A2226" s="18"/>
      <c r="B2226" s="15"/>
      <c r="C2226" s="15"/>
      <c r="D2226" s="16"/>
    </row>
    <row r="2227" spans="1:4" x14ac:dyDescent="0.3">
      <c r="A2227" s="17"/>
      <c r="B2227" s="13"/>
      <c r="C2227" s="13"/>
      <c r="D2227" s="14"/>
    </row>
    <row r="2228" spans="1:4" x14ac:dyDescent="0.3">
      <c r="A2228" s="17"/>
      <c r="B2228" s="13"/>
      <c r="C2228" s="13"/>
      <c r="D2228" s="14"/>
    </row>
    <row r="2229" spans="1:4" x14ac:dyDescent="0.3">
      <c r="A2229" s="17"/>
      <c r="B2229" s="13"/>
      <c r="C2229" s="13"/>
      <c r="D2229" s="14"/>
    </row>
    <row r="2230" spans="1:4" x14ac:dyDescent="0.3">
      <c r="A2230" s="17"/>
      <c r="B2230" s="13"/>
      <c r="C2230" s="13"/>
      <c r="D2230" s="14"/>
    </row>
    <row r="2231" spans="1:4" x14ac:dyDescent="0.3">
      <c r="A2231" s="18"/>
      <c r="B2231" s="15"/>
      <c r="C2231" s="15"/>
      <c r="D2231" s="16"/>
    </row>
    <row r="2232" spans="1:4" x14ac:dyDescent="0.3">
      <c r="A2232" s="17"/>
      <c r="B2232" s="13"/>
      <c r="C2232" s="13"/>
      <c r="D2232" s="14"/>
    </row>
    <row r="2233" spans="1:4" x14ac:dyDescent="0.3">
      <c r="A2233" s="17"/>
      <c r="B2233" s="13"/>
      <c r="C2233" s="13"/>
      <c r="D2233" s="14"/>
    </row>
    <row r="2234" spans="1:4" x14ac:dyDescent="0.3">
      <c r="A2234" s="17"/>
      <c r="B2234" s="13"/>
      <c r="C2234" s="13"/>
      <c r="D2234" s="14"/>
    </row>
    <row r="2235" spans="1:4" x14ac:dyDescent="0.3">
      <c r="A2235" s="17"/>
      <c r="B2235" s="13"/>
      <c r="C2235" s="13"/>
      <c r="D2235" s="14"/>
    </row>
    <row r="2236" spans="1:4" x14ac:dyDescent="0.3">
      <c r="A2236" s="18"/>
      <c r="B2236" s="15"/>
      <c r="C2236" s="15"/>
      <c r="D2236" s="16"/>
    </row>
    <row r="2237" spans="1:4" x14ac:dyDescent="0.3">
      <c r="A2237" s="17"/>
      <c r="B2237" s="13"/>
      <c r="C2237" s="13"/>
      <c r="D2237" s="14"/>
    </row>
    <row r="2238" spans="1:4" x14ac:dyDescent="0.3">
      <c r="A2238" s="17"/>
      <c r="B2238" s="13"/>
      <c r="C2238" s="13"/>
      <c r="D2238" s="14"/>
    </row>
    <row r="2239" spans="1:4" x14ac:dyDescent="0.3">
      <c r="A2239" s="17"/>
      <c r="B2239" s="13"/>
      <c r="C2239" s="13"/>
      <c r="D2239" s="14"/>
    </row>
    <row r="2240" spans="1:4" x14ac:dyDescent="0.3">
      <c r="A2240" s="17"/>
      <c r="B2240" s="13"/>
      <c r="C2240" s="13"/>
      <c r="D2240" s="14"/>
    </row>
    <row r="2241" spans="1:4" x14ac:dyDescent="0.3">
      <c r="A2241" s="18"/>
      <c r="B2241" s="15"/>
      <c r="C2241" s="15"/>
      <c r="D2241" s="16"/>
    </row>
    <row r="2242" spans="1:4" x14ac:dyDescent="0.3">
      <c r="A2242" s="17"/>
      <c r="B2242" s="13"/>
      <c r="C2242" s="13"/>
      <c r="D2242" s="14"/>
    </row>
    <row r="2243" spans="1:4" x14ac:dyDescent="0.3">
      <c r="A2243" s="17"/>
      <c r="B2243" s="13"/>
      <c r="C2243" s="13"/>
      <c r="D2243" s="14"/>
    </row>
    <row r="2244" spans="1:4" x14ac:dyDescent="0.3">
      <c r="A2244" s="17"/>
      <c r="B2244" s="13"/>
      <c r="C2244" s="13"/>
      <c r="D2244" s="14"/>
    </row>
    <row r="2245" spans="1:4" x14ac:dyDescent="0.3">
      <c r="A2245" s="17"/>
      <c r="B2245" s="13"/>
      <c r="C2245" s="13"/>
      <c r="D2245" s="14"/>
    </row>
    <row r="2246" spans="1:4" x14ac:dyDescent="0.3">
      <c r="A2246" s="18"/>
      <c r="B2246" s="15"/>
      <c r="C2246" s="15"/>
      <c r="D2246" s="16"/>
    </row>
    <row r="2247" spans="1:4" x14ac:dyDescent="0.3">
      <c r="A2247" s="17"/>
      <c r="B2247" s="13"/>
      <c r="C2247" s="13"/>
      <c r="D2247" s="14"/>
    </row>
    <row r="2248" spans="1:4" x14ac:dyDescent="0.3">
      <c r="A2248" s="17"/>
      <c r="B2248" s="13"/>
      <c r="C2248" s="13"/>
      <c r="D2248" s="14"/>
    </row>
    <row r="2249" spans="1:4" x14ac:dyDescent="0.3">
      <c r="A2249" s="17"/>
      <c r="B2249" s="13"/>
      <c r="C2249" s="13"/>
      <c r="D2249" s="14"/>
    </row>
    <row r="2250" spans="1:4" x14ac:dyDescent="0.3">
      <c r="A2250" s="17"/>
      <c r="B2250" s="13"/>
      <c r="C2250" s="13"/>
      <c r="D2250" s="14"/>
    </row>
    <row r="2251" spans="1:4" x14ac:dyDescent="0.3">
      <c r="A2251" s="18"/>
      <c r="B2251" s="15"/>
      <c r="C2251" s="15"/>
      <c r="D2251" s="16"/>
    </row>
    <row r="2252" spans="1:4" x14ac:dyDescent="0.3">
      <c r="A2252" s="17"/>
      <c r="B2252" s="13"/>
      <c r="C2252" s="13"/>
      <c r="D2252" s="14"/>
    </row>
    <row r="2253" spans="1:4" x14ac:dyDescent="0.3">
      <c r="A2253" s="17"/>
      <c r="B2253" s="13"/>
      <c r="C2253" s="13"/>
      <c r="D2253" s="14"/>
    </row>
    <row r="2254" spans="1:4" x14ac:dyDescent="0.3">
      <c r="A2254" s="17"/>
      <c r="B2254" s="13"/>
      <c r="C2254" s="13"/>
      <c r="D2254" s="14"/>
    </row>
    <row r="2255" spans="1:4" x14ac:dyDescent="0.3">
      <c r="A2255" s="17"/>
      <c r="B2255" s="13"/>
      <c r="C2255" s="13"/>
      <c r="D2255" s="14"/>
    </row>
    <row r="2256" spans="1:4" x14ac:dyDescent="0.3">
      <c r="A2256" s="18"/>
      <c r="B2256" s="15"/>
      <c r="C2256" s="15"/>
      <c r="D2256" s="16"/>
    </row>
    <row r="2257" spans="1:4" x14ac:dyDescent="0.3">
      <c r="A2257" s="17"/>
      <c r="B2257" s="13"/>
      <c r="C2257" s="13"/>
      <c r="D2257" s="14"/>
    </row>
    <row r="2258" spans="1:4" x14ac:dyDescent="0.3">
      <c r="A2258" s="17"/>
      <c r="B2258" s="13"/>
      <c r="C2258" s="13"/>
      <c r="D2258" s="14"/>
    </row>
    <row r="2259" spans="1:4" x14ac:dyDescent="0.3">
      <c r="A2259" s="17"/>
      <c r="B2259" s="13"/>
      <c r="C2259" s="13"/>
      <c r="D2259" s="14"/>
    </row>
    <row r="2260" spans="1:4" x14ac:dyDescent="0.3">
      <c r="A2260" s="17"/>
      <c r="B2260" s="13"/>
      <c r="C2260" s="13"/>
      <c r="D2260" s="14"/>
    </row>
    <row r="2261" spans="1:4" x14ac:dyDescent="0.3">
      <c r="A2261" s="18"/>
      <c r="B2261" s="15"/>
      <c r="C2261" s="15"/>
      <c r="D2261" s="16"/>
    </row>
    <row r="2262" spans="1:4" x14ac:dyDescent="0.3">
      <c r="A2262" s="17"/>
      <c r="B2262" s="13"/>
      <c r="C2262" s="13"/>
      <c r="D2262" s="14"/>
    </row>
    <row r="2263" spans="1:4" x14ac:dyDescent="0.3">
      <c r="A2263" s="17"/>
      <c r="B2263" s="13"/>
      <c r="C2263" s="13"/>
      <c r="D2263" s="14"/>
    </row>
    <row r="2264" spans="1:4" x14ac:dyDescent="0.3">
      <c r="A2264" s="17"/>
      <c r="B2264" s="13"/>
      <c r="C2264" s="13"/>
      <c r="D2264" s="14"/>
    </row>
    <row r="2265" spans="1:4" x14ac:dyDescent="0.3">
      <c r="A2265" s="17"/>
      <c r="B2265" s="13"/>
      <c r="C2265" s="13"/>
      <c r="D2265" s="14"/>
    </row>
    <row r="2266" spans="1:4" x14ac:dyDescent="0.3">
      <c r="A2266" s="18"/>
      <c r="B2266" s="15"/>
      <c r="C2266" s="15"/>
      <c r="D2266" s="16"/>
    </row>
    <row r="2267" spans="1:4" x14ac:dyDescent="0.3">
      <c r="A2267" s="17"/>
      <c r="B2267" s="13"/>
      <c r="C2267" s="13"/>
      <c r="D2267" s="14"/>
    </row>
    <row r="2268" spans="1:4" x14ac:dyDescent="0.3">
      <c r="A2268" s="17"/>
      <c r="B2268" s="13"/>
      <c r="C2268" s="13"/>
      <c r="D2268" s="14"/>
    </row>
    <row r="2269" spans="1:4" x14ac:dyDescent="0.3">
      <c r="A2269" s="17"/>
      <c r="B2269" s="13"/>
      <c r="C2269" s="13"/>
      <c r="D2269" s="14"/>
    </row>
    <row r="2270" spans="1:4" x14ac:dyDescent="0.3">
      <c r="A2270" s="17"/>
      <c r="B2270" s="13"/>
      <c r="C2270" s="13"/>
      <c r="D2270" s="14"/>
    </row>
    <row r="2271" spans="1:4" x14ac:dyDescent="0.3">
      <c r="A2271" s="18"/>
      <c r="B2271" s="15"/>
      <c r="C2271" s="15"/>
      <c r="D2271" s="16"/>
    </row>
    <row r="2272" spans="1:4" x14ac:dyDescent="0.3">
      <c r="A2272" s="17"/>
      <c r="B2272" s="13"/>
      <c r="C2272" s="13"/>
      <c r="D2272" s="14"/>
    </row>
    <row r="2273" spans="1:4" x14ac:dyDescent="0.3">
      <c r="A2273" s="17"/>
      <c r="B2273" s="13"/>
      <c r="C2273" s="13"/>
      <c r="D2273" s="14"/>
    </row>
    <row r="2274" spans="1:4" x14ac:dyDescent="0.3">
      <c r="A2274" s="17"/>
      <c r="B2274" s="13"/>
      <c r="C2274" s="13"/>
      <c r="D2274" s="14"/>
    </row>
    <row r="2275" spans="1:4" x14ac:dyDescent="0.3">
      <c r="A2275" s="17"/>
      <c r="B2275" s="13"/>
      <c r="C2275" s="13"/>
      <c r="D2275" s="14"/>
    </row>
    <row r="2276" spans="1:4" x14ac:dyDescent="0.3">
      <c r="A2276" s="18"/>
      <c r="B2276" s="15"/>
      <c r="C2276" s="15"/>
      <c r="D2276" s="16"/>
    </row>
    <row r="2277" spans="1:4" x14ac:dyDescent="0.3">
      <c r="A2277" s="17"/>
      <c r="B2277" s="13"/>
      <c r="C2277" s="13"/>
      <c r="D2277" s="14"/>
    </row>
    <row r="2278" spans="1:4" x14ac:dyDescent="0.3">
      <c r="A2278" s="17"/>
      <c r="B2278" s="13"/>
      <c r="C2278" s="13"/>
      <c r="D2278" s="14"/>
    </row>
    <row r="2279" spans="1:4" x14ac:dyDescent="0.3">
      <c r="A2279" s="17"/>
      <c r="B2279" s="13"/>
      <c r="C2279" s="13"/>
      <c r="D2279" s="14"/>
    </row>
    <row r="2280" spans="1:4" x14ac:dyDescent="0.3">
      <c r="A2280" s="17"/>
      <c r="B2280" s="13"/>
      <c r="C2280" s="13"/>
      <c r="D2280" s="14"/>
    </row>
    <row r="2281" spans="1:4" x14ac:dyDescent="0.3">
      <c r="A2281" s="18"/>
      <c r="B2281" s="15"/>
      <c r="C2281" s="15"/>
      <c r="D2281" s="16"/>
    </row>
    <row r="2282" spans="1:4" x14ac:dyDescent="0.3">
      <c r="A2282" s="17"/>
      <c r="B2282" s="13"/>
      <c r="C2282" s="13"/>
      <c r="D2282" s="14"/>
    </row>
    <row r="2283" spans="1:4" x14ac:dyDescent="0.3">
      <c r="A2283" s="17"/>
      <c r="B2283" s="13"/>
      <c r="C2283" s="13"/>
      <c r="D2283" s="14"/>
    </row>
    <row r="2284" spans="1:4" x14ac:dyDescent="0.3">
      <c r="A2284" s="17"/>
      <c r="B2284" s="13"/>
      <c r="C2284" s="13"/>
      <c r="D2284" s="14"/>
    </row>
    <row r="2285" spans="1:4" x14ac:dyDescent="0.3">
      <c r="A2285" s="17"/>
      <c r="B2285" s="13"/>
      <c r="C2285" s="13"/>
      <c r="D2285" s="14"/>
    </row>
    <row r="2286" spans="1:4" x14ac:dyDescent="0.3">
      <c r="A2286" s="18"/>
      <c r="B2286" s="15"/>
      <c r="C2286" s="15"/>
      <c r="D2286" s="16"/>
    </row>
    <row r="2287" spans="1:4" x14ac:dyDescent="0.3">
      <c r="A2287" s="17"/>
      <c r="B2287" s="13"/>
      <c r="C2287" s="13"/>
      <c r="D2287" s="14"/>
    </row>
    <row r="2288" spans="1:4" x14ac:dyDescent="0.3">
      <c r="A2288" s="17"/>
      <c r="B2288" s="13"/>
      <c r="C2288" s="13"/>
      <c r="D2288" s="14"/>
    </row>
    <row r="2289" spans="1:4" x14ac:dyDescent="0.3">
      <c r="A2289" s="17"/>
      <c r="B2289" s="13"/>
      <c r="C2289" s="13"/>
      <c r="D2289" s="14"/>
    </row>
    <row r="2290" spans="1:4" x14ac:dyDescent="0.3">
      <c r="A2290" s="17"/>
      <c r="B2290" s="13"/>
      <c r="C2290" s="13"/>
      <c r="D2290" s="14"/>
    </row>
    <row r="2291" spans="1:4" x14ac:dyDescent="0.3">
      <c r="A2291" s="18"/>
      <c r="B2291" s="15"/>
      <c r="C2291" s="15"/>
      <c r="D2291" s="16"/>
    </row>
    <row r="2292" spans="1:4" x14ac:dyDescent="0.3">
      <c r="A2292" s="17"/>
      <c r="B2292" s="13"/>
      <c r="C2292" s="13"/>
      <c r="D2292" s="14"/>
    </row>
    <row r="2293" spans="1:4" x14ac:dyDescent="0.3">
      <c r="A2293" s="17"/>
      <c r="B2293" s="13"/>
      <c r="C2293" s="13"/>
      <c r="D2293" s="14"/>
    </row>
    <row r="2294" spans="1:4" x14ac:dyDescent="0.3">
      <c r="A2294" s="17"/>
      <c r="B2294" s="13"/>
      <c r="C2294" s="13"/>
      <c r="D2294" s="14"/>
    </row>
    <row r="2295" spans="1:4" x14ac:dyDescent="0.3">
      <c r="A2295" s="17"/>
      <c r="B2295" s="13"/>
      <c r="C2295" s="13"/>
      <c r="D2295" s="14"/>
    </row>
    <row r="2296" spans="1:4" x14ac:dyDescent="0.3">
      <c r="A2296" s="18"/>
      <c r="B2296" s="15"/>
      <c r="C2296" s="15"/>
      <c r="D2296" s="16"/>
    </row>
    <row r="2297" spans="1:4" x14ac:dyDescent="0.3">
      <c r="A2297" s="17"/>
      <c r="B2297" s="13"/>
      <c r="C2297" s="13"/>
      <c r="D2297" s="14"/>
    </row>
    <row r="2298" spans="1:4" x14ac:dyDescent="0.3">
      <c r="A2298" s="17"/>
      <c r="B2298" s="13"/>
      <c r="C2298" s="13"/>
      <c r="D2298" s="14"/>
    </row>
    <row r="2299" spans="1:4" x14ac:dyDescent="0.3">
      <c r="A2299" s="17"/>
      <c r="B2299" s="13"/>
      <c r="C2299" s="13"/>
      <c r="D2299" s="14"/>
    </row>
    <row r="2300" spans="1:4" x14ac:dyDescent="0.3">
      <c r="A2300" s="17"/>
      <c r="B2300" s="13"/>
      <c r="C2300" s="13"/>
      <c r="D2300" s="14"/>
    </row>
    <row r="2301" spans="1:4" x14ac:dyDescent="0.3">
      <c r="A2301" s="18"/>
      <c r="B2301" s="15"/>
      <c r="C2301" s="15"/>
      <c r="D2301" s="16"/>
    </row>
    <row r="2302" spans="1:4" x14ac:dyDescent="0.3">
      <c r="A2302" s="17"/>
      <c r="B2302" s="13"/>
      <c r="C2302" s="13"/>
      <c r="D2302" s="14"/>
    </row>
    <row r="2303" spans="1:4" x14ac:dyDescent="0.3">
      <c r="A2303" s="17"/>
      <c r="B2303" s="13"/>
      <c r="C2303" s="13"/>
      <c r="D2303" s="14"/>
    </row>
    <row r="2304" spans="1:4" x14ac:dyDescent="0.3">
      <c r="A2304" s="17"/>
      <c r="B2304" s="13"/>
      <c r="C2304" s="13"/>
      <c r="D2304" s="14"/>
    </row>
    <row r="2305" spans="1:4" x14ac:dyDescent="0.3">
      <c r="A2305" s="17"/>
      <c r="B2305" s="13"/>
      <c r="C2305" s="13"/>
      <c r="D2305" s="14"/>
    </row>
    <row r="2306" spans="1:4" x14ac:dyDescent="0.3">
      <c r="A2306" s="18"/>
      <c r="B2306" s="15"/>
      <c r="C2306" s="15"/>
      <c r="D2306" s="16"/>
    </row>
    <row r="2307" spans="1:4" x14ac:dyDescent="0.3">
      <c r="A2307" s="17"/>
      <c r="B2307" s="13"/>
      <c r="C2307" s="13"/>
      <c r="D2307" s="14"/>
    </row>
    <row r="2308" spans="1:4" x14ac:dyDescent="0.3">
      <c r="A2308" s="17"/>
      <c r="B2308" s="13"/>
      <c r="C2308" s="13"/>
      <c r="D2308" s="14"/>
    </row>
    <row r="2309" spans="1:4" x14ac:dyDescent="0.3">
      <c r="A2309" s="17"/>
      <c r="B2309" s="13"/>
      <c r="C2309" s="13"/>
      <c r="D2309" s="14"/>
    </row>
    <row r="2310" spans="1:4" x14ac:dyDescent="0.3">
      <c r="A2310" s="17"/>
      <c r="B2310" s="13"/>
      <c r="C2310" s="13"/>
      <c r="D2310" s="14"/>
    </row>
    <row r="2311" spans="1:4" x14ac:dyDescent="0.3">
      <c r="A2311" s="18"/>
      <c r="B2311" s="15"/>
      <c r="C2311" s="15"/>
      <c r="D2311" s="16"/>
    </row>
    <row r="2312" spans="1:4" x14ac:dyDescent="0.3">
      <c r="A2312" s="17"/>
      <c r="B2312" s="13"/>
      <c r="C2312" s="13"/>
      <c r="D2312" s="14"/>
    </row>
    <row r="2313" spans="1:4" x14ac:dyDescent="0.3">
      <c r="A2313" s="17"/>
      <c r="B2313" s="13"/>
      <c r="C2313" s="13"/>
      <c r="D2313" s="14"/>
    </row>
    <row r="2314" spans="1:4" x14ac:dyDescent="0.3">
      <c r="A2314" s="17"/>
      <c r="B2314" s="13"/>
      <c r="C2314" s="13"/>
      <c r="D2314" s="14"/>
    </row>
    <row r="2315" spans="1:4" x14ac:dyDescent="0.3">
      <c r="A2315" s="17"/>
      <c r="B2315" s="13"/>
      <c r="C2315" s="13"/>
      <c r="D2315" s="14"/>
    </row>
    <row r="2316" spans="1:4" x14ac:dyDescent="0.3">
      <c r="A2316" s="18"/>
      <c r="B2316" s="15"/>
      <c r="C2316" s="15"/>
      <c r="D2316" s="16"/>
    </row>
    <row r="2317" spans="1:4" x14ac:dyDescent="0.3">
      <c r="A2317" s="17"/>
      <c r="B2317" s="13"/>
      <c r="C2317" s="13"/>
      <c r="D2317" s="14"/>
    </row>
    <row r="2318" spans="1:4" x14ac:dyDescent="0.3">
      <c r="A2318" s="17"/>
      <c r="B2318" s="13"/>
      <c r="C2318" s="13"/>
      <c r="D2318" s="14"/>
    </row>
    <row r="2319" spans="1:4" x14ac:dyDescent="0.3">
      <c r="A2319" s="17"/>
      <c r="B2319" s="13"/>
      <c r="C2319" s="13"/>
      <c r="D2319" s="14"/>
    </row>
    <row r="2320" spans="1:4" x14ac:dyDescent="0.3">
      <c r="A2320" s="17"/>
      <c r="B2320" s="13"/>
      <c r="C2320" s="13"/>
      <c r="D2320" s="14"/>
    </row>
    <row r="2321" spans="1:4" x14ac:dyDescent="0.3">
      <c r="A2321" s="18"/>
      <c r="B2321" s="15"/>
      <c r="C2321" s="15"/>
      <c r="D2321" s="16"/>
    </row>
    <row r="2322" spans="1:4" x14ac:dyDescent="0.3">
      <c r="A2322" s="17"/>
      <c r="B2322" s="13"/>
      <c r="C2322" s="13"/>
      <c r="D2322" s="14"/>
    </row>
    <row r="2323" spans="1:4" x14ac:dyDescent="0.3">
      <c r="A2323" s="17"/>
      <c r="B2323" s="13"/>
      <c r="C2323" s="13"/>
      <c r="D2323" s="14"/>
    </row>
    <row r="2324" spans="1:4" x14ac:dyDescent="0.3">
      <c r="A2324" s="17"/>
      <c r="B2324" s="13"/>
      <c r="C2324" s="13"/>
      <c r="D2324" s="14"/>
    </row>
    <row r="2325" spans="1:4" x14ac:dyDescent="0.3">
      <c r="A2325" s="17"/>
      <c r="B2325" s="13"/>
      <c r="C2325" s="13"/>
      <c r="D2325" s="14"/>
    </row>
    <row r="2326" spans="1:4" x14ac:dyDescent="0.3">
      <c r="A2326" s="18"/>
      <c r="B2326" s="15"/>
      <c r="C2326" s="15"/>
      <c r="D2326" s="16"/>
    </row>
    <row r="2327" spans="1:4" x14ac:dyDescent="0.3">
      <c r="A2327" s="17"/>
      <c r="B2327" s="13"/>
      <c r="C2327" s="13"/>
      <c r="D2327" s="14"/>
    </row>
    <row r="2328" spans="1:4" x14ac:dyDescent="0.3">
      <c r="A2328" s="17"/>
      <c r="B2328" s="13"/>
      <c r="C2328" s="13"/>
      <c r="D2328" s="14"/>
    </row>
    <row r="2329" spans="1:4" x14ac:dyDescent="0.3">
      <c r="A2329" s="17"/>
      <c r="B2329" s="13"/>
      <c r="C2329" s="13"/>
      <c r="D2329" s="14"/>
    </row>
    <row r="2330" spans="1:4" x14ac:dyDescent="0.3">
      <c r="A2330" s="17"/>
      <c r="B2330" s="13"/>
      <c r="C2330" s="13"/>
      <c r="D2330" s="14"/>
    </row>
    <row r="2331" spans="1:4" x14ac:dyDescent="0.3">
      <c r="A2331" s="18"/>
      <c r="B2331" s="15"/>
      <c r="C2331" s="15"/>
      <c r="D2331" s="16"/>
    </row>
    <row r="2332" spans="1:4" x14ac:dyDescent="0.3">
      <c r="A2332" s="17"/>
      <c r="B2332" s="13"/>
      <c r="C2332" s="13"/>
      <c r="D2332" s="14"/>
    </row>
    <row r="2333" spans="1:4" x14ac:dyDescent="0.3">
      <c r="A2333" s="17"/>
      <c r="B2333" s="13"/>
      <c r="C2333" s="13"/>
      <c r="D2333" s="14"/>
    </row>
    <row r="2334" spans="1:4" x14ac:dyDescent="0.3">
      <c r="A2334" s="17"/>
      <c r="B2334" s="13"/>
      <c r="C2334" s="13"/>
      <c r="D2334" s="14"/>
    </row>
    <row r="2335" spans="1:4" x14ac:dyDescent="0.3">
      <c r="A2335" s="17"/>
      <c r="B2335" s="13"/>
      <c r="C2335" s="13"/>
      <c r="D2335" s="14"/>
    </row>
    <row r="2336" spans="1:4" x14ac:dyDescent="0.3">
      <c r="A2336" s="18"/>
      <c r="B2336" s="15"/>
      <c r="C2336" s="15"/>
      <c r="D2336" s="16"/>
    </row>
    <row r="2337" spans="1:4" x14ac:dyDescent="0.3">
      <c r="A2337" s="17"/>
      <c r="B2337" s="13"/>
      <c r="C2337" s="13"/>
      <c r="D2337" s="14"/>
    </row>
    <row r="2338" spans="1:4" x14ac:dyDescent="0.3">
      <c r="A2338" s="17"/>
      <c r="B2338" s="13"/>
      <c r="C2338" s="13"/>
      <c r="D2338" s="14"/>
    </row>
    <row r="2339" spans="1:4" x14ac:dyDescent="0.3">
      <c r="A2339" s="17"/>
      <c r="B2339" s="13"/>
      <c r="C2339" s="13"/>
      <c r="D2339" s="14"/>
    </row>
    <row r="2340" spans="1:4" x14ac:dyDescent="0.3">
      <c r="A2340" s="17"/>
      <c r="B2340" s="13"/>
      <c r="C2340" s="13"/>
      <c r="D2340" s="14"/>
    </row>
    <row r="2341" spans="1:4" x14ac:dyDescent="0.3">
      <c r="A2341" s="18"/>
      <c r="B2341" s="15"/>
      <c r="C2341" s="15"/>
      <c r="D2341" s="16"/>
    </row>
    <row r="2342" spans="1:4" x14ac:dyDescent="0.3">
      <c r="A2342" s="17"/>
      <c r="B2342" s="13"/>
      <c r="C2342" s="13"/>
      <c r="D2342" s="14"/>
    </row>
    <row r="2343" spans="1:4" x14ac:dyDescent="0.3">
      <c r="A2343" s="17"/>
      <c r="B2343" s="13"/>
      <c r="C2343" s="13"/>
      <c r="D2343" s="14"/>
    </row>
    <row r="2344" spans="1:4" x14ac:dyDescent="0.3">
      <c r="A2344" s="17"/>
      <c r="B2344" s="13"/>
      <c r="C2344" s="13"/>
      <c r="D2344" s="14"/>
    </row>
    <row r="2345" spans="1:4" x14ac:dyDescent="0.3">
      <c r="A2345" s="17"/>
      <c r="B2345" s="13"/>
      <c r="C2345" s="13"/>
      <c r="D2345" s="14"/>
    </row>
    <row r="2346" spans="1:4" x14ac:dyDescent="0.3">
      <c r="A2346" s="18"/>
      <c r="B2346" s="15"/>
      <c r="C2346" s="15"/>
      <c r="D2346" s="16"/>
    </row>
    <row r="2347" spans="1:4" x14ac:dyDescent="0.3">
      <c r="A2347" s="17"/>
      <c r="B2347" s="13"/>
      <c r="C2347" s="13"/>
      <c r="D2347" s="14"/>
    </row>
    <row r="2348" spans="1:4" x14ac:dyDescent="0.3">
      <c r="A2348" s="17"/>
      <c r="B2348" s="13"/>
      <c r="C2348" s="13"/>
      <c r="D2348" s="14"/>
    </row>
    <row r="2349" spans="1:4" x14ac:dyDescent="0.3">
      <c r="A2349" s="17"/>
      <c r="B2349" s="13"/>
      <c r="C2349" s="13"/>
      <c r="D2349" s="14"/>
    </row>
    <row r="2350" spans="1:4" x14ac:dyDescent="0.3">
      <c r="A2350" s="17"/>
      <c r="B2350" s="13"/>
      <c r="C2350" s="13"/>
      <c r="D2350" s="14"/>
    </row>
    <row r="2351" spans="1:4" x14ac:dyDescent="0.3">
      <c r="A2351" s="18"/>
      <c r="B2351" s="15"/>
      <c r="C2351" s="15"/>
      <c r="D2351" s="16"/>
    </row>
    <row r="2352" spans="1:4" x14ac:dyDescent="0.3">
      <c r="A2352" s="17"/>
      <c r="B2352" s="13"/>
      <c r="C2352" s="13"/>
      <c r="D2352" s="14"/>
    </row>
    <row r="2353" spans="1:4" x14ac:dyDescent="0.3">
      <c r="A2353" s="17"/>
      <c r="B2353" s="13"/>
      <c r="C2353" s="13"/>
      <c r="D2353" s="14"/>
    </row>
    <row r="2354" spans="1:4" x14ac:dyDescent="0.3">
      <c r="A2354" s="17"/>
      <c r="B2354" s="13"/>
      <c r="C2354" s="13"/>
      <c r="D2354" s="14"/>
    </row>
    <row r="2355" spans="1:4" x14ac:dyDescent="0.3">
      <c r="A2355" s="17"/>
      <c r="B2355" s="13"/>
      <c r="C2355" s="13"/>
      <c r="D2355" s="14"/>
    </row>
    <row r="2356" spans="1:4" x14ac:dyDescent="0.3">
      <c r="A2356" s="18"/>
      <c r="B2356" s="15"/>
      <c r="C2356" s="15"/>
      <c r="D2356" s="16"/>
    </row>
    <row r="2357" spans="1:4" x14ac:dyDescent="0.3">
      <c r="A2357" s="17"/>
      <c r="B2357" s="13"/>
      <c r="C2357" s="13"/>
      <c r="D2357" s="14"/>
    </row>
    <row r="2358" spans="1:4" x14ac:dyDescent="0.3">
      <c r="A2358" s="17"/>
      <c r="B2358" s="13"/>
      <c r="C2358" s="13"/>
      <c r="D2358" s="14"/>
    </row>
    <row r="2359" spans="1:4" x14ac:dyDescent="0.3">
      <c r="A2359" s="17"/>
      <c r="B2359" s="13"/>
      <c r="C2359" s="13"/>
      <c r="D2359" s="14"/>
    </row>
    <row r="2360" spans="1:4" x14ac:dyDescent="0.3">
      <c r="A2360" s="17"/>
      <c r="B2360" s="13"/>
      <c r="C2360" s="13"/>
      <c r="D2360" s="14"/>
    </row>
    <row r="2361" spans="1:4" x14ac:dyDescent="0.3">
      <c r="A2361" s="18"/>
      <c r="B2361" s="15"/>
      <c r="C2361" s="15"/>
      <c r="D2361" s="16"/>
    </row>
    <row r="2362" spans="1:4" x14ac:dyDescent="0.3">
      <c r="A2362" s="17"/>
      <c r="B2362" s="13"/>
      <c r="C2362" s="13"/>
      <c r="D2362" s="14"/>
    </row>
    <row r="2363" spans="1:4" x14ac:dyDescent="0.3">
      <c r="A2363" s="17"/>
      <c r="B2363" s="13"/>
      <c r="C2363" s="13"/>
      <c r="D2363" s="14"/>
    </row>
    <row r="2364" spans="1:4" x14ac:dyDescent="0.3">
      <c r="A2364" s="17"/>
      <c r="B2364" s="13"/>
      <c r="C2364" s="13"/>
      <c r="D2364" s="14"/>
    </row>
    <row r="2365" spans="1:4" x14ac:dyDescent="0.3">
      <c r="A2365" s="17"/>
      <c r="B2365" s="13"/>
      <c r="C2365" s="13"/>
      <c r="D2365" s="14"/>
    </row>
    <row r="2366" spans="1:4" x14ac:dyDescent="0.3">
      <c r="A2366" s="18"/>
      <c r="B2366" s="15"/>
      <c r="C2366" s="15"/>
      <c r="D2366" s="16"/>
    </row>
    <row r="2367" spans="1:4" x14ac:dyDescent="0.3">
      <c r="A2367" s="17"/>
      <c r="B2367" s="13"/>
      <c r="C2367" s="13"/>
      <c r="D2367" s="14"/>
    </row>
    <row r="2368" spans="1:4" x14ac:dyDescent="0.3">
      <c r="A2368" s="17"/>
      <c r="B2368" s="13"/>
      <c r="C2368" s="13"/>
      <c r="D2368" s="14"/>
    </row>
    <row r="2369" spans="1:4" x14ac:dyDescent="0.3">
      <c r="A2369" s="17"/>
      <c r="B2369" s="13"/>
      <c r="C2369" s="13"/>
      <c r="D2369" s="14"/>
    </row>
    <row r="2370" spans="1:4" x14ac:dyDescent="0.3">
      <c r="A2370" s="17"/>
      <c r="B2370" s="13"/>
      <c r="C2370" s="13"/>
      <c r="D2370" s="14"/>
    </row>
    <row r="2371" spans="1:4" x14ac:dyDescent="0.3">
      <c r="A2371" s="18"/>
      <c r="B2371" s="15"/>
      <c r="C2371" s="15"/>
      <c r="D2371" s="16"/>
    </row>
    <row r="2372" spans="1:4" x14ac:dyDescent="0.3">
      <c r="A2372" s="17"/>
      <c r="B2372" s="13"/>
      <c r="C2372" s="13"/>
      <c r="D2372" s="14"/>
    </row>
    <row r="2373" spans="1:4" x14ac:dyDescent="0.3">
      <c r="A2373" s="17"/>
      <c r="B2373" s="13"/>
      <c r="C2373" s="13"/>
      <c r="D2373" s="14"/>
    </row>
    <row r="2374" spans="1:4" x14ac:dyDescent="0.3">
      <c r="A2374" s="17"/>
      <c r="B2374" s="13"/>
      <c r="C2374" s="13"/>
      <c r="D2374" s="14"/>
    </row>
    <row r="2375" spans="1:4" x14ac:dyDescent="0.3">
      <c r="A2375" s="17"/>
      <c r="B2375" s="13"/>
      <c r="C2375" s="13"/>
      <c r="D2375" s="14"/>
    </row>
    <row r="2376" spans="1:4" x14ac:dyDescent="0.3">
      <c r="A2376" s="18"/>
      <c r="B2376" s="15"/>
      <c r="C2376" s="15"/>
      <c r="D2376" s="16"/>
    </row>
    <row r="2377" spans="1:4" x14ac:dyDescent="0.3">
      <c r="A2377" s="17"/>
      <c r="B2377" s="13"/>
      <c r="C2377" s="13"/>
      <c r="D2377" s="14"/>
    </row>
    <row r="2378" spans="1:4" x14ac:dyDescent="0.3">
      <c r="A2378" s="17"/>
      <c r="B2378" s="13"/>
      <c r="C2378" s="13"/>
      <c r="D2378" s="14"/>
    </row>
    <row r="2379" spans="1:4" x14ac:dyDescent="0.3">
      <c r="A2379" s="17"/>
      <c r="B2379" s="13"/>
      <c r="C2379" s="13"/>
      <c r="D2379" s="14"/>
    </row>
    <row r="2380" spans="1:4" x14ac:dyDescent="0.3">
      <c r="A2380" s="17"/>
      <c r="B2380" s="13"/>
      <c r="C2380" s="13"/>
      <c r="D2380" s="14"/>
    </row>
    <row r="2381" spans="1:4" x14ac:dyDescent="0.3">
      <c r="A2381" s="18"/>
      <c r="B2381" s="15"/>
      <c r="C2381" s="15"/>
      <c r="D2381" s="16"/>
    </row>
    <row r="2382" spans="1:4" x14ac:dyDescent="0.3">
      <c r="A2382" s="17"/>
      <c r="B2382" s="13"/>
      <c r="C2382" s="13"/>
      <c r="D2382" s="14"/>
    </row>
    <row r="2383" spans="1:4" x14ac:dyDescent="0.3">
      <c r="A2383" s="17"/>
      <c r="B2383" s="13"/>
      <c r="C2383" s="13"/>
      <c r="D2383" s="14"/>
    </row>
    <row r="2384" spans="1:4" x14ac:dyDescent="0.3">
      <c r="A2384" s="17"/>
      <c r="B2384" s="13"/>
      <c r="C2384" s="13"/>
      <c r="D2384" s="14"/>
    </row>
    <row r="2385" spans="1:4" x14ac:dyDescent="0.3">
      <c r="A2385" s="17"/>
      <c r="B2385" s="13"/>
      <c r="C2385" s="13"/>
      <c r="D2385" s="14"/>
    </row>
    <row r="2386" spans="1:4" x14ac:dyDescent="0.3">
      <c r="A2386" s="18"/>
      <c r="B2386" s="15"/>
      <c r="C2386" s="15"/>
      <c r="D2386" s="16"/>
    </row>
    <row r="2387" spans="1:4" x14ac:dyDescent="0.3">
      <c r="A2387" s="17"/>
      <c r="B2387" s="13"/>
      <c r="C2387" s="13"/>
      <c r="D2387" s="14"/>
    </row>
    <row r="2388" spans="1:4" x14ac:dyDescent="0.3">
      <c r="A2388" s="17"/>
      <c r="B2388" s="13"/>
      <c r="C2388" s="13"/>
      <c r="D2388" s="14"/>
    </row>
    <row r="2389" spans="1:4" x14ac:dyDescent="0.3">
      <c r="A2389" s="17"/>
      <c r="B2389" s="13"/>
      <c r="C2389" s="13"/>
      <c r="D2389" s="14"/>
    </row>
    <row r="2390" spans="1:4" x14ac:dyDescent="0.3">
      <c r="A2390" s="17"/>
      <c r="B2390" s="13"/>
      <c r="C2390" s="13"/>
      <c r="D2390" s="14"/>
    </row>
    <row r="2391" spans="1:4" x14ac:dyDescent="0.3">
      <c r="A2391" s="18"/>
      <c r="B2391" s="15"/>
      <c r="C2391" s="15"/>
      <c r="D2391" s="16"/>
    </row>
    <row r="2392" spans="1:4" x14ac:dyDescent="0.3">
      <c r="A2392" s="17"/>
      <c r="B2392" s="13"/>
      <c r="C2392" s="13"/>
      <c r="D2392" s="14"/>
    </row>
    <row r="2393" spans="1:4" x14ac:dyDescent="0.3">
      <c r="A2393" s="17"/>
      <c r="B2393" s="13"/>
      <c r="C2393" s="13"/>
      <c r="D2393" s="14"/>
    </row>
    <row r="2394" spans="1:4" x14ac:dyDescent="0.3">
      <c r="A2394" s="17"/>
      <c r="B2394" s="13"/>
      <c r="C2394" s="13"/>
      <c r="D2394" s="14"/>
    </row>
    <row r="2395" spans="1:4" x14ac:dyDescent="0.3">
      <c r="A2395" s="17"/>
      <c r="B2395" s="13"/>
      <c r="C2395" s="13"/>
      <c r="D2395" s="14"/>
    </row>
    <row r="2396" spans="1:4" x14ac:dyDescent="0.3">
      <c r="A2396" s="18"/>
      <c r="B2396" s="15"/>
      <c r="C2396" s="15"/>
      <c r="D2396" s="16"/>
    </row>
    <row r="2397" spans="1:4" x14ac:dyDescent="0.3">
      <c r="A2397" s="17"/>
      <c r="B2397" s="13"/>
      <c r="C2397" s="13"/>
      <c r="D2397" s="14"/>
    </row>
    <row r="2398" spans="1:4" x14ac:dyDescent="0.3">
      <c r="A2398" s="17"/>
      <c r="B2398" s="13"/>
      <c r="C2398" s="13"/>
      <c r="D2398" s="14"/>
    </row>
    <row r="2399" spans="1:4" x14ac:dyDescent="0.3">
      <c r="A2399" s="17"/>
      <c r="B2399" s="13"/>
      <c r="C2399" s="13"/>
      <c r="D2399" s="14"/>
    </row>
    <row r="2400" spans="1:4" x14ac:dyDescent="0.3">
      <c r="A2400" s="17"/>
      <c r="B2400" s="13"/>
      <c r="C2400" s="13"/>
      <c r="D2400" s="14"/>
    </row>
    <row r="2401" spans="1:4" x14ac:dyDescent="0.3">
      <c r="A2401" s="18"/>
      <c r="B2401" s="15"/>
      <c r="C2401" s="15"/>
      <c r="D2401" s="16"/>
    </row>
    <row r="2402" spans="1:4" x14ac:dyDescent="0.3">
      <c r="A2402" s="17"/>
      <c r="B2402" s="13"/>
      <c r="C2402" s="13"/>
      <c r="D2402" s="14"/>
    </row>
    <row r="2403" spans="1:4" x14ac:dyDescent="0.3">
      <c r="A2403" s="17"/>
      <c r="B2403" s="13"/>
      <c r="C2403" s="13"/>
      <c r="D2403" s="14"/>
    </row>
    <row r="2404" spans="1:4" x14ac:dyDescent="0.3">
      <c r="A2404" s="17"/>
      <c r="B2404" s="13"/>
      <c r="C2404" s="13"/>
      <c r="D2404" s="14"/>
    </row>
    <row r="2405" spans="1:4" x14ac:dyDescent="0.3">
      <c r="A2405" s="17"/>
      <c r="B2405" s="13"/>
      <c r="C2405" s="13"/>
      <c r="D2405" s="14"/>
    </row>
    <row r="2406" spans="1:4" x14ac:dyDescent="0.3">
      <c r="A2406" s="18"/>
      <c r="B2406" s="15"/>
      <c r="C2406" s="15"/>
      <c r="D2406" s="16"/>
    </row>
    <row r="2407" spans="1:4" x14ac:dyDescent="0.3">
      <c r="A2407" s="17"/>
      <c r="B2407" s="13"/>
      <c r="C2407" s="13"/>
      <c r="D2407" s="14"/>
    </row>
    <row r="2408" spans="1:4" x14ac:dyDescent="0.3">
      <c r="A2408" s="17"/>
      <c r="B2408" s="13"/>
      <c r="C2408" s="13"/>
      <c r="D2408" s="14"/>
    </row>
    <row r="2409" spans="1:4" x14ac:dyDescent="0.3">
      <c r="A2409" s="17"/>
      <c r="B2409" s="13"/>
      <c r="C2409" s="13"/>
      <c r="D2409" s="14"/>
    </row>
    <row r="2410" spans="1:4" x14ac:dyDescent="0.3">
      <c r="A2410" s="17"/>
      <c r="B2410" s="13"/>
      <c r="C2410" s="13"/>
      <c r="D2410" s="14"/>
    </row>
    <row r="2411" spans="1:4" x14ac:dyDescent="0.3">
      <c r="A2411" s="18"/>
      <c r="B2411" s="15"/>
      <c r="C2411" s="15"/>
      <c r="D2411" s="16"/>
    </row>
    <row r="2412" spans="1:4" x14ac:dyDescent="0.3">
      <c r="A2412" s="17"/>
      <c r="B2412" s="13"/>
      <c r="C2412" s="13"/>
      <c r="D2412" s="14"/>
    </row>
    <row r="2413" spans="1:4" x14ac:dyDescent="0.3">
      <c r="A2413" s="17"/>
      <c r="B2413" s="13"/>
      <c r="C2413" s="13"/>
      <c r="D2413" s="14"/>
    </row>
    <row r="2414" spans="1:4" x14ac:dyDescent="0.3">
      <c r="A2414" s="17"/>
      <c r="B2414" s="13"/>
      <c r="C2414" s="13"/>
      <c r="D2414" s="14"/>
    </row>
    <row r="2415" spans="1:4" x14ac:dyDescent="0.3">
      <c r="A2415" s="17"/>
      <c r="B2415" s="13"/>
      <c r="C2415" s="13"/>
      <c r="D2415" s="14"/>
    </row>
    <row r="2416" spans="1:4" x14ac:dyDescent="0.3">
      <c r="A2416" s="18"/>
      <c r="B2416" s="15"/>
      <c r="C2416" s="15"/>
      <c r="D2416" s="16"/>
    </row>
    <row r="2417" spans="1:4" x14ac:dyDescent="0.3">
      <c r="A2417" s="17"/>
      <c r="B2417" s="13"/>
      <c r="C2417" s="13"/>
      <c r="D2417" s="14"/>
    </row>
    <row r="2418" spans="1:4" x14ac:dyDescent="0.3">
      <c r="A2418" s="17"/>
      <c r="B2418" s="13"/>
      <c r="C2418" s="13"/>
      <c r="D2418" s="14"/>
    </row>
    <row r="2419" spans="1:4" x14ac:dyDescent="0.3">
      <c r="A2419" s="17"/>
      <c r="B2419" s="13"/>
      <c r="C2419" s="13"/>
      <c r="D2419" s="14"/>
    </row>
    <row r="2420" spans="1:4" x14ac:dyDescent="0.3">
      <c r="A2420" s="17"/>
      <c r="B2420" s="13"/>
      <c r="C2420" s="13"/>
      <c r="D2420" s="14"/>
    </row>
    <row r="2421" spans="1:4" x14ac:dyDescent="0.3">
      <c r="A2421" s="18"/>
      <c r="B2421" s="15"/>
      <c r="C2421" s="15"/>
      <c r="D2421" s="16"/>
    </row>
    <row r="2422" spans="1:4" x14ac:dyDescent="0.3">
      <c r="A2422" s="17"/>
      <c r="B2422" s="13"/>
      <c r="C2422" s="13"/>
      <c r="D2422" s="14"/>
    </row>
    <row r="2423" spans="1:4" x14ac:dyDescent="0.3">
      <c r="A2423" s="17"/>
      <c r="B2423" s="13"/>
      <c r="C2423" s="13"/>
      <c r="D2423" s="14"/>
    </row>
    <row r="2424" spans="1:4" x14ac:dyDescent="0.3">
      <c r="A2424" s="17"/>
      <c r="B2424" s="13"/>
      <c r="C2424" s="13"/>
      <c r="D2424" s="14"/>
    </row>
    <row r="2425" spans="1:4" x14ac:dyDescent="0.3">
      <c r="A2425" s="17"/>
      <c r="B2425" s="13"/>
      <c r="C2425" s="13"/>
      <c r="D2425" s="14"/>
    </row>
    <row r="2426" spans="1:4" x14ac:dyDescent="0.3">
      <c r="A2426" s="18"/>
      <c r="B2426" s="15"/>
      <c r="C2426" s="15"/>
      <c r="D2426" s="16"/>
    </row>
    <row r="2427" spans="1:4" x14ac:dyDescent="0.3">
      <c r="A2427" s="17"/>
      <c r="B2427" s="13"/>
      <c r="C2427" s="13"/>
      <c r="D2427" s="14"/>
    </row>
    <row r="2428" spans="1:4" x14ac:dyDescent="0.3">
      <c r="A2428" s="17"/>
      <c r="B2428" s="13"/>
      <c r="C2428" s="13"/>
      <c r="D2428" s="14"/>
    </row>
    <row r="2429" spans="1:4" x14ac:dyDescent="0.3">
      <c r="A2429" s="17"/>
      <c r="B2429" s="13"/>
      <c r="C2429" s="13"/>
      <c r="D2429" s="14"/>
    </row>
    <row r="2430" spans="1:4" x14ac:dyDescent="0.3">
      <c r="A2430" s="17"/>
      <c r="B2430" s="13"/>
      <c r="C2430" s="13"/>
      <c r="D2430" s="14"/>
    </row>
    <row r="2431" spans="1:4" x14ac:dyDescent="0.3">
      <c r="A2431" s="18"/>
      <c r="B2431" s="15"/>
      <c r="C2431" s="15"/>
      <c r="D2431" s="16"/>
    </row>
    <row r="2432" spans="1:4" x14ac:dyDescent="0.3">
      <c r="A2432" s="17"/>
      <c r="B2432" s="13"/>
      <c r="C2432" s="13"/>
      <c r="D2432" s="14"/>
    </row>
    <row r="2433" spans="1:4" x14ac:dyDescent="0.3">
      <c r="A2433" s="17"/>
      <c r="B2433" s="13"/>
      <c r="C2433" s="13"/>
      <c r="D2433" s="14"/>
    </row>
    <row r="2434" spans="1:4" x14ac:dyDescent="0.3">
      <c r="A2434" s="17"/>
      <c r="B2434" s="13"/>
      <c r="C2434" s="13"/>
      <c r="D2434" s="14"/>
    </row>
    <row r="2435" spans="1:4" x14ac:dyDescent="0.3">
      <c r="A2435" s="17"/>
      <c r="B2435" s="13"/>
      <c r="C2435" s="13"/>
      <c r="D2435" s="14"/>
    </row>
    <row r="2436" spans="1:4" x14ac:dyDescent="0.3">
      <c r="A2436" s="18"/>
      <c r="B2436" s="15"/>
      <c r="C2436" s="15"/>
      <c r="D2436" s="16"/>
    </row>
    <row r="2437" spans="1:4" x14ac:dyDescent="0.3">
      <c r="A2437" s="17"/>
      <c r="B2437" s="13"/>
      <c r="C2437" s="13"/>
      <c r="D2437" s="14"/>
    </row>
    <row r="2438" spans="1:4" x14ac:dyDescent="0.3">
      <c r="A2438" s="17"/>
      <c r="B2438" s="13"/>
      <c r="C2438" s="13"/>
      <c r="D2438" s="14"/>
    </row>
    <row r="2439" spans="1:4" x14ac:dyDescent="0.3">
      <c r="A2439" s="17"/>
      <c r="B2439" s="13"/>
      <c r="C2439" s="13"/>
      <c r="D2439" s="14"/>
    </row>
    <row r="2440" spans="1:4" x14ac:dyDescent="0.3">
      <c r="A2440" s="17"/>
      <c r="B2440" s="13"/>
      <c r="C2440" s="13"/>
      <c r="D2440" s="14"/>
    </row>
    <row r="2441" spans="1:4" x14ac:dyDescent="0.3">
      <c r="A2441" s="18"/>
      <c r="B2441" s="15"/>
      <c r="C2441" s="15"/>
      <c r="D2441" s="16"/>
    </row>
    <row r="2442" spans="1:4" x14ac:dyDescent="0.3">
      <c r="A2442" s="17"/>
      <c r="B2442" s="13"/>
      <c r="C2442" s="13"/>
      <c r="D2442" s="14"/>
    </row>
    <row r="2443" spans="1:4" x14ac:dyDescent="0.3">
      <c r="A2443" s="17"/>
      <c r="B2443" s="13"/>
      <c r="C2443" s="13"/>
      <c r="D2443" s="14"/>
    </row>
    <row r="2444" spans="1:4" x14ac:dyDescent="0.3">
      <c r="A2444" s="17"/>
      <c r="B2444" s="13"/>
      <c r="C2444" s="13"/>
      <c r="D2444" s="14"/>
    </row>
    <row r="2445" spans="1:4" x14ac:dyDescent="0.3">
      <c r="A2445" s="17"/>
      <c r="B2445" s="13"/>
      <c r="C2445" s="13"/>
      <c r="D2445" s="14"/>
    </row>
    <row r="2446" spans="1:4" x14ac:dyDescent="0.3">
      <c r="A2446" s="18"/>
      <c r="B2446" s="15"/>
      <c r="C2446" s="15"/>
      <c r="D2446" s="16"/>
    </row>
    <row r="2447" spans="1:4" x14ac:dyDescent="0.3">
      <c r="A2447" s="17"/>
      <c r="B2447" s="13"/>
      <c r="C2447" s="13"/>
      <c r="D2447" s="14"/>
    </row>
    <row r="2448" spans="1:4" x14ac:dyDescent="0.3">
      <c r="A2448" s="17"/>
      <c r="B2448" s="13"/>
      <c r="C2448" s="13"/>
      <c r="D2448" s="14"/>
    </row>
    <row r="2449" spans="1:4" x14ac:dyDescent="0.3">
      <c r="A2449" s="17"/>
      <c r="B2449" s="13"/>
      <c r="C2449" s="13"/>
      <c r="D2449" s="14"/>
    </row>
    <row r="2450" spans="1:4" x14ac:dyDescent="0.3">
      <c r="A2450" s="17"/>
      <c r="B2450" s="13"/>
      <c r="C2450" s="13"/>
      <c r="D2450" s="14"/>
    </row>
    <row r="2451" spans="1:4" x14ac:dyDescent="0.3">
      <c r="A2451" s="18"/>
      <c r="B2451" s="15"/>
      <c r="C2451" s="15"/>
      <c r="D2451" s="16"/>
    </row>
    <row r="2452" spans="1:4" x14ac:dyDescent="0.3">
      <c r="A2452" s="17"/>
      <c r="B2452" s="13"/>
      <c r="C2452" s="13"/>
      <c r="D2452" s="14"/>
    </row>
    <row r="2453" spans="1:4" x14ac:dyDescent="0.3">
      <c r="A2453" s="17"/>
      <c r="B2453" s="13"/>
      <c r="C2453" s="13"/>
      <c r="D2453" s="14"/>
    </row>
    <row r="2454" spans="1:4" x14ac:dyDescent="0.3">
      <c r="A2454" s="17"/>
      <c r="B2454" s="13"/>
      <c r="C2454" s="13"/>
      <c r="D2454" s="14"/>
    </row>
    <row r="2455" spans="1:4" x14ac:dyDescent="0.3">
      <c r="A2455" s="17"/>
      <c r="B2455" s="13"/>
      <c r="C2455" s="13"/>
      <c r="D2455" s="14"/>
    </row>
    <row r="2456" spans="1:4" x14ac:dyDescent="0.3">
      <c r="A2456" s="18"/>
      <c r="B2456" s="15"/>
      <c r="C2456" s="15"/>
      <c r="D2456" s="16"/>
    </row>
    <row r="2457" spans="1:4" x14ac:dyDescent="0.3">
      <c r="A2457" s="17"/>
      <c r="B2457" s="13"/>
      <c r="C2457" s="13"/>
      <c r="D2457" s="14"/>
    </row>
    <row r="2458" spans="1:4" x14ac:dyDescent="0.3">
      <c r="A2458" s="17"/>
      <c r="B2458" s="13"/>
      <c r="C2458" s="13"/>
      <c r="D2458" s="14"/>
    </row>
    <row r="2459" spans="1:4" x14ac:dyDescent="0.3">
      <c r="A2459" s="17"/>
      <c r="B2459" s="13"/>
      <c r="C2459" s="13"/>
      <c r="D2459" s="14"/>
    </row>
    <row r="2460" spans="1:4" x14ac:dyDescent="0.3">
      <c r="A2460" s="17"/>
      <c r="B2460" s="13"/>
      <c r="C2460" s="13"/>
      <c r="D2460" s="14"/>
    </row>
    <row r="2461" spans="1:4" x14ac:dyDescent="0.3">
      <c r="A2461" s="18"/>
      <c r="B2461" s="15"/>
      <c r="C2461" s="15"/>
      <c r="D2461" s="16"/>
    </row>
    <row r="2462" spans="1:4" x14ac:dyDescent="0.3">
      <c r="A2462" s="17"/>
      <c r="B2462" s="13"/>
      <c r="C2462" s="13"/>
      <c r="D2462" s="14"/>
    </row>
    <row r="2463" spans="1:4" x14ac:dyDescent="0.3">
      <c r="A2463" s="17"/>
      <c r="B2463" s="13"/>
      <c r="C2463" s="13"/>
      <c r="D2463" s="14"/>
    </row>
    <row r="2464" spans="1:4" x14ac:dyDescent="0.3">
      <c r="A2464" s="17"/>
      <c r="B2464" s="13"/>
      <c r="C2464" s="13"/>
      <c r="D2464" s="14"/>
    </row>
    <row r="2465" spans="1:4" x14ac:dyDescent="0.3">
      <c r="A2465" s="17"/>
      <c r="B2465" s="13"/>
      <c r="C2465" s="13"/>
      <c r="D2465" s="14"/>
    </row>
    <row r="2466" spans="1:4" x14ac:dyDescent="0.3">
      <c r="A2466" s="18"/>
      <c r="B2466" s="15"/>
      <c r="C2466" s="15"/>
      <c r="D2466" s="16"/>
    </row>
    <row r="2467" spans="1:4" x14ac:dyDescent="0.3">
      <c r="A2467" s="17"/>
      <c r="B2467" s="13"/>
      <c r="C2467" s="13"/>
      <c r="D2467" s="14"/>
    </row>
    <row r="2468" spans="1:4" x14ac:dyDescent="0.3">
      <c r="A2468" s="17"/>
      <c r="B2468" s="13"/>
      <c r="C2468" s="13"/>
      <c r="D2468" s="14"/>
    </row>
    <row r="2469" spans="1:4" x14ac:dyDescent="0.3">
      <c r="A2469" s="17"/>
      <c r="B2469" s="13"/>
      <c r="C2469" s="13"/>
      <c r="D2469" s="14"/>
    </row>
    <row r="2470" spans="1:4" x14ac:dyDescent="0.3">
      <c r="A2470" s="17"/>
      <c r="B2470" s="13"/>
      <c r="C2470" s="13"/>
      <c r="D2470" s="14"/>
    </row>
    <row r="2471" spans="1:4" x14ac:dyDescent="0.3">
      <c r="A2471" s="18"/>
      <c r="B2471" s="15"/>
      <c r="C2471" s="15"/>
      <c r="D2471" s="16"/>
    </row>
    <row r="2472" spans="1:4" x14ac:dyDescent="0.3">
      <c r="A2472" s="17"/>
      <c r="B2472" s="13"/>
      <c r="C2472" s="13"/>
      <c r="D2472" s="14"/>
    </row>
    <row r="2473" spans="1:4" x14ac:dyDescent="0.3">
      <c r="A2473" s="17"/>
      <c r="B2473" s="13"/>
      <c r="C2473" s="13"/>
      <c r="D2473" s="14"/>
    </row>
    <row r="2474" spans="1:4" x14ac:dyDescent="0.3">
      <c r="A2474" s="17"/>
      <c r="B2474" s="13"/>
      <c r="C2474" s="13"/>
      <c r="D2474" s="14"/>
    </row>
    <row r="2475" spans="1:4" x14ac:dyDescent="0.3">
      <c r="A2475" s="17"/>
      <c r="B2475" s="13"/>
      <c r="C2475" s="13"/>
      <c r="D2475" s="14"/>
    </row>
    <row r="2476" spans="1:4" x14ac:dyDescent="0.3">
      <c r="A2476" s="18"/>
      <c r="B2476" s="15"/>
      <c r="C2476" s="15"/>
      <c r="D2476" s="16"/>
    </row>
    <row r="2477" spans="1:4" x14ac:dyDescent="0.3">
      <c r="A2477" s="17"/>
      <c r="B2477" s="13"/>
      <c r="C2477" s="13"/>
      <c r="D2477" s="14"/>
    </row>
    <row r="2478" spans="1:4" x14ac:dyDescent="0.3">
      <c r="A2478" s="17"/>
      <c r="B2478" s="13"/>
      <c r="C2478" s="13"/>
      <c r="D2478" s="14"/>
    </row>
    <row r="2479" spans="1:4" x14ac:dyDescent="0.3">
      <c r="A2479" s="17"/>
      <c r="B2479" s="13"/>
      <c r="C2479" s="13"/>
      <c r="D2479" s="14"/>
    </row>
    <row r="2480" spans="1:4" x14ac:dyDescent="0.3">
      <c r="A2480" s="17"/>
      <c r="B2480" s="13"/>
      <c r="C2480" s="13"/>
      <c r="D2480" s="14"/>
    </row>
    <row r="2481" spans="1:4" x14ac:dyDescent="0.3">
      <c r="A2481" s="18"/>
      <c r="B2481" s="15"/>
      <c r="C2481" s="15"/>
      <c r="D2481" s="16"/>
    </row>
    <row r="2482" spans="1:4" x14ac:dyDescent="0.3">
      <c r="A2482" s="17"/>
      <c r="B2482" s="13"/>
      <c r="C2482" s="13"/>
      <c r="D2482" s="14"/>
    </row>
    <row r="2483" spans="1:4" x14ac:dyDescent="0.3">
      <c r="A2483" s="17"/>
      <c r="B2483" s="13"/>
      <c r="C2483" s="13"/>
      <c r="D2483" s="14"/>
    </row>
    <row r="2484" spans="1:4" x14ac:dyDescent="0.3">
      <c r="A2484" s="17"/>
      <c r="B2484" s="13"/>
      <c r="C2484" s="13"/>
      <c r="D2484" s="14"/>
    </row>
    <row r="2485" spans="1:4" x14ac:dyDescent="0.3">
      <c r="A2485" s="17"/>
      <c r="B2485" s="13"/>
      <c r="C2485" s="13"/>
      <c r="D2485" s="14"/>
    </row>
    <row r="2486" spans="1:4" x14ac:dyDescent="0.3">
      <c r="A2486" s="18"/>
      <c r="B2486" s="15"/>
      <c r="C2486" s="15"/>
      <c r="D2486" s="16"/>
    </row>
    <row r="2487" spans="1:4" x14ac:dyDescent="0.3">
      <c r="A2487" s="17"/>
      <c r="B2487" s="13"/>
      <c r="C2487" s="13"/>
      <c r="D2487" s="14"/>
    </row>
    <row r="2488" spans="1:4" x14ac:dyDescent="0.3">
      <c r="A2488" s="17"/>
      <c r="B2488" s="13"/>
      <c r="C2488" s="13"/>
      <c r="D2488" s="14"/>
    </row>
    <row r="2489" spans="1:4" x14ac:dyDescent="0.3">
      <c r="A2489" s="17"/>
      <c r="B2489" s="13"/>
      <c r="C2489" s="13"/>
      <c r="D2489" s="14"/>
    </row>
    <row r="2490" spans="1:4" x14ac:dyDescent="0.3">
      <c r="A2490" s="17"/>
      <c r="B2490" s="13"/>
      <c r="C2490" s="13"/>
      <c r="D2490" s="14"/>
    </row>
    <row r="2491" spans="1:4" x14ac:dyDescent="0.3">
      <c r="A2491" s="18"/>
      <c r="B2491" s="15"/>
      <c r="C2491" s="15"/>
      <c r="D2491" s="16"/>
    </row>
    <row r="2492" spans="1:4" x14ac:dyDescent="0.3">
      <c r="A2492" s="17"/>
      <c r="B2492" s="13"/>
      <c r="C2492" s="13"/>
      <c r="D2492" s="14"/>
    </row>
    <row r="2493" spans="1:4" x14ac:dyDescent="0.3">
      <c r="A2493" s="17"/>
      <c r="B2493" s="13"/>
      <c r="C2493" s="13"/>
      <c r="D2493" s="14"/>
    </row>
    <row r="2494" spans="1:4" x14ac:dyDescent="0.3">
      <c r="A2494" s="17"/>
      <c r="B2494" s="13"/>
      <c r="C2494" s="13"/>
      <c r="D2494" s="14"/>
    </row>
    <row r="2495" spans="1:4" x14ac:dyDescent="0.3">
      <c r="A2495" s="17"/>
      <c r="B2495" s="13"/>
      <c r="C2495" s="13"/>
      <c r="D2495" s="14"/>
    </row>
    <row r="2496" spans="1:4" x14ac:dyDescent="0.3">
      <c r="A2496" s="18"/>
      <c r="B2496" s="15"/>
      <c r="C2496" s="15"/>
      <c r="D2496" s="16"/>
    </row>
    <row r="2497" spans="1:4" x14ac:dyDescent="0.3">
      <c r="A2497" s="17"/>
      <c r="B2497" s="13"/>
      <c r="C2497" s="13"/>
      <c r="D2497" s="14"/>
    </row>
    <row r="2498" spans="1:4" x14ac:dyDescent="0.3">
      <c r="A2498" s="17"/>
      <c r="B2498" s="13"/>
      <c r="C2498" s="13"/>
      <c r="D2498" s="14"/>
    </row>
    <row r="2499" spans="1:4" x14ac:dyDescent="0.3">
      <c r="A2499" s="17"/>
      <c r="B2499" s="13"/>
      <c r="C2499" s="13"/>
      <c r="D2499" s="14"/>
    </row>
    <row r="2500" spans="1:4" x14ac:dyDescent="0.3">
      <c r="A2500" s="17"/>
      <c r="B2500" s="13"/>
      <c r="C2500" s="13"/>
      <c r="D2500" s="14"/>
    </row>
    <row r="2501" spans="1:4" x14ac:dyDescent="0.3">
      <c r="A2501" s="18"/>
      <c r="B2501" s="15"/>
      <c r="C2501" s="15"/>
      <c r="D2501" s="16"/>
    </row>
    <row r="2502" spans="1:4" x14ac:dyDescent="0.3">
      <c r="A2502" s="17"/>
      <c r="B2502" s="13"/>
      <c r="C2502" s="13"/>
      <c r="D2502" s="14"/>
    </row>
    <row r="2503" spans="1:4" x14ac:dyDescent="0.3">
      <c r="A2503" s="17"/>
      <c r="B2503" s="13"/>
      <c r="C2503" s="13"/>
      <c r="D2503" s="14"/>
    </row>
    <row r="2504" spans="1:4" x14ac:dyDescent="0.3">
      <c r="A2504" s="17"/>
      <c r="B2504" s="13"/>
      <c r="C2504" s="13"/>
      <c r="D2504" s="14"/>
    </row>
    <row r="2505" spans="1:4" x14ac:dyDescent="0.3">
      <c r="A2505" s="17"/>
      <c r="B2505" s="13"/>
      <c r="C2505" s="13"/>
      <c r="D2505" s="14"/>
    </row>
    <row r="2506" spans="1:4" x14ac:dyDescent="0.3">
      <c r="A2506" s="18"/>
      <c r="B2506" s="15"/>
      <c r="C2506" s="15"/>
      <c r="D2506" s="16"/>
    </row>
    <row r="2507" spans="1:4" x14ac:dyDescent="0.3">
      <c r="A2507" s="17"/>
      <c r="B2507" s="13"/>
      <c r="C2507" s="13"/>
      <c r="D2507" s="14"/>
    </row>
    <row r="2508" spans="1:4" x14ac:dyDescent="0.3">
      <c r="A2508" s="17"/>
      <c r="B2508" s="13"/>
      <c r="C2508" s="13"/>
      <c r="D2508" s="14"/>
    </row>
    <row r="2509" spans="1:4" x14ac:dyDescent="0.3">
      <c r="A2509" s="17"/>
      <c r="B2509" s="13"/>
      <c r="C2509" s="13"/>
      <c r="D2509" s="14"/>
    </row>
    <row r="2510" spans="1:4" x14ac:dyDescent="0.3">
      <c r="A2510" s="17"/>
      <c r="B2510" s="13"/>
      <c r="C2510" s="13"/>
      <c r="D2510" s="14"/>
    </row>
    <row r="2511" spans="1:4" x14ac:dyDescent="0.3">
      <c r="A2511" s="18"/>
      <c r="B2511" s="15"/>
      <c r="C2511" s="15"/>
      <c r="D2511" s="16"/>
    </row>
    <row r="2512" spans="1:4" x14ac:dyDescent="0.3">
      <c r="A2512" s="17"/>
      <c r="B2512" s="13"/>
      <c r="C2512" s="13"/>
      <c r="D2512" s="14"/>
    </row>
    <row r="2513" spans="1:4" x14ac:dyDescent="0.3">
      <c r="A2513" s="17"/>
      <c r="B2513" s="13"/>
      <c r="C2513" s="13"/>
      <c r="D2513" s="14"/>
    </row>
    <row r="2514" spans="1:4" x14ac:dyDescent="0.3">
      <c r="A2514" s="17"/>
      <c r="B2514" s="13"/>
      <c r="C2514" s="13"/>
      <c r="D2514" s="14"/>
    </row>
    <row r="2515" spans="1:4" x14ac:dyDescent="0.3">
      <c r="A2515" s="17"/>
      <c r="B2515" s="13"/>
      <c r="C2515" s="13"/>
      <c r="D2515" s="14"/>
    </row>
    <row r="2516" spans="1:4" x14ac:dyDescent="0.3">
      <c r="A2516" s="18"/>
      <c r="B2516" s="15"/>
      <c r="C2516" s="15"/>
      <c r="D2516" s="16"/>
    </row>
    <row r="2517" spans="1:4" x14ac:dyDescent="0.3">
      <c r="A2517" s="17"/>
      <c r="B2517" s="13"/>
      <c r="C2517" s="13"/>
      <c r="D2517" s="14"/>
    </row>
    <row r="2518" spans="1:4" x14ac:dyDescent="0.3">
      <c r="A2518" s="17"/>
      <c r="B2518" s="13"/>
      <c r="C2518" s="13"/>
      <c r="D2518" s="14"/>
    </row>
    <row r="2519" spans="1:4" x14ac:dyDescent="0.3">
      <c r="A2519" s="17"/>
      <c r="B2519" s="13"/>
      <c r="C2519" s="13"/>
      <c r="D2519" s="14"/>
    </row>
    <row r="2520" spans="1:4" x14ac:dyDescent="0.3">
      <c r="A2520" s="17"/>
      <c r="B2520" s="13"/>
      <c r="C2520" s="13"/>
      <c r="D2520" s="14"/>
    </row>
    <row r="2521" spans="1:4" x14ac:dyDescent="0.3">
      <c r="A2521" s="18"/>
      <c r="B2521" s="15"/>
      <c r="C2521" s="15"/>
      <c r="D2521" s="16"/>
    </row>
    <row r="2522" spans="1:4" x14ac:dyDescent="0.3">
      <c r="A2522" s="17"/>
      <c r="B2522" s="13"/>
      <c r="C2522" s="13"/>
      <c r="D2522" s="14"/>
    </row>
    <row r="2523" spans="1:4" x14ac:dyDescent="0.3">
      <c r="A2523" s="17"/>
      <c r="B2523" s="13"/>
      <c r="C2523" s="13"/>
      <c r="D2523" s="14"/>
    </row>
    <row r="2524" spans="1:4" x14ac:dyDescent="0.3">
      <c r="A2524" s="17"/>
      <c r="B2524" s="13"/>
      <c r="C2524" s="13"/>
      <c r="D2524" s="14"/>
    </row>
    <row r="2525" spans="1:4" x14ac:dyDescent="0.3">
      <c r="A2525" s="17"/>
      <c r="B2525" s="13"/>
      <c r="C2525" s="13"/>
      <c r="D2525" s="14"/>
    </row>
    <row r="2526" spans="1:4" x14ac:dyDescent="0.3">
      <c r="A2526" s="18"/>
      <c r="B2526" s="15"/>
      <c r="C2526" s="15"/>
      <c r="D2526" s="16"/>
    </row>
    <row r="2527" spans="1:4" x14ac:dyDescent="0.3">
      <c r="A2527" s="17"/>
      <c r="B2527" s="13"/>
      <c r="C2527" s="13"/>
      <c r="D2527" s="14"/>
    </row>
    <row r="2528" spans="1:4" x14ac:dyDescent="0.3">
      <c r="A2528" s="17"/>
      <c r="B2528" s="13"/>
      <c r="C2528" s="13"/>
      <c r="D2528" s="14"/>
    </row>
    <row r="2529" spans="1:4" x14ac:dyDescent="0.3">
      <c r="A2529" s="17"/>
      <c r="B2529" s="13"/>
      <c r="C2529" s="13"/>
      <c r="D2529" s="14"/>
    </row>
    <row r="2530" spans="1:4" x14ac:dyDescent="0.3">
      <c r="A2530" s="17"/>
      <c r="B2530" s="13"/>
      <c r="C2530" s="13"/>
      <c r="D2530" s="14"/>
    </row>
    <row r="2531" spans="1:4" x14ac:dyDescent="0.3">
      <c r="A2531" s="18"/>
      <c r="B2531" s="15"/>
      <c r="C2531" s="15"/>
      <c r="D2531" s="16"/>
    </row>
    <row r="2532" spans="1:4" x14ac:dyDescent="0.3">
      <c r="A2532" s="17"/>
      <c r="B2532" s="13"/>
      <c r="C2532" s="13"/>
      <c r="D2532" s="14"/>
    </row>
    <row r="2533" spans="1:4" x14ac:dyDescent="0.3">
      <c r="A2533" s="17"/>
      <c r="B2533" s="13"/>
      <c r="C2533" s="13"/>
      <c r="D2533" s="14"/>
    </row>
    <row r="2534" spans="1:4" x14ac:dyDescent="0.3">
      <c r="A2534" s="17"/>
      <c r="B2534" s="13"/>
      <c r="C2534" s="13"/>
      <c r="D2534" s="14"/>
    </row>
    <row r="2535" spans="1:4" x14ac:dyDescent="0.3">
      <c r="A2535" s="17"/>
      <c r="B2535" s="13"/>
      <c r="C2535" s="13"/>
      <c r="D2535" s="14"/>
    </row>
    <row r="2536" spans="1:4" x14ac:dyDescent="0.3">
      <c r="A2536" s="18"/>
      <c r="B2536" s="15"/>
      <c r="C2536" s="15"/>
      <c r="D2536" s="16"/>
    </row>
    <row r="2537" spans="1:4" x14ac:dyDescent="0.3">
      <c r="A2537" s="17"/>
      <c r="B2537" s="13"/>
      <c r="C2537" s="13"/>
      <c r="D2537" s="14"/>
    </row>
    <row r="2538" spans="1:4" x14ac:dyDescent="0.3">
      <c r="A2538" s="17"/>
      <c r="B2538" s="13"/>
      <c r="C2538" s="13"/>
      <c r="D2538" s="14"/>
    </row>
    <row r="2539" spans="1:4" x14ac:dyDescent="0.3">
      <c r="A2539" s="17"/>
      <c r="B2539" s="13"/>
      <c r="C2539" s="13"/>
      <c r="D2539" s="14"/>
    </row>
    <row r="2540" spans="1:4" x14ac:dyDescent="0.3">
      <c r="A2540" s="17"/>
      <c r="B2540" s="13"/>
      <c r="C2540" s="13"/>
      <c r="D2540" s="14"/>
    </row>
    <row r="2541" spans="1:4" x14ac:dyDescent="0.3">
      <c r="A2541" s="18"/>
      <c r="B2541" s="15"/>
      <c r="C2541" s="15"/>
      <c r="D2541" s="16"/>
    </row>
    <row r="2542" spans="1:4" x14ac:dyDescent="0.3">
      <c r="A2542" s="17"/>
      <c r="B2542" s="13"/>
      <c r="C2542" s="13"/>
      <c r="D2542" s="14"/>
    </row>
    <row r="2543" spans="1:4" x14ac:dyDescent="0.3">
      <c r="A2543" s="17"/>
      <c r="B2543" s="13"/>
      <c r="C2543" s="13"/>
      <c r="D2543" s="14"/>
    </row>
    <row r="2544" spans="1:4" x14ac:dyDescent="0.3">
      <c r="A2544" s="17"/>
      <c r="B2544" s="13"/>
      <c r="C2544" s="13"/>
      <c r="D2544" s="14"/>
    </row>
    <row r="2545" spans="1:4" x14ac:dyDescent="0.3">
      <c r="A2545" s="17"/>
      <c r="B2545" s="13"/>
      <c r="C2545" s="13"/>
      <c r="D2545" s="14"/>
    </row>
    <row r="2546" spans="1:4" x14ac:dyDescent="0.3">
      <c r="A2546" s="18"/>
      <c r="B2546" s="15"/>
      <c r="C2546" s="15"/>
      <c r="D2546" s="16"/>
    </row>
    <row r="2547" spans="1:4" x14ac:dyDescent="0.3">
      <c r="A2547" s="17"/>
      <c r="B2547" s="13"/>
      <c r="C2547" s="13"/>
      <c r="D2547" s="14"/>
    </row>
    <row r="2548" spans="1:4" x14ac:dyDescent="0.3">
      <c r="A2548" s="17"/>
      <c r="B2548" s="13"/>
      <c r="C2548" s="13"/>
      <c r="D2548" s="14"/>
    </row>
    <row r="2549" spans="1:4" x14ac:dyDescent="0.3">
      <c r="A2549" s="17"/>
      <c r="B2549" s="13"/>
      <c r="C2549" s="13"/>
      <c r="D2549" s="14"/>
    </row>
    <row r="2550" spans="1:4" x14ac:dyDescent="0.3">
      <c r="A2550" s="17"/>
      <c r="B2550" s="13"/>
      <c r="C2550" s="13"/>
      <c r="D2550" s="14"/>
    </row>
    <row r="2551" spans="1:4" x14ac:dyDescent="0.3">
      <c r="A2551" s="18"/>
      <c r="B2551" s="15"/>
      <c r="C2551" s="15"/>
      <c r="D2551" s="16"/>
    </row>
    <row r="2552" spans="1:4" x14ac:dyDescent="0.3">
      <c r="A2552" s="17"/>
      <c r="B2552" s="13"/>
      <c r="C2552" s="13"/>
      <c r="D2552" s="14"/>
    </row>
    <row r="2553" spans="1:4" x14ac:dyDescent="0.3">
      <c r="A2553" s="17"/>
      <c r="B2553" s="13"/>
      <c r="C2553" s="13"/>
      <c r="D2553" s="14"/>
    </row>
    <row r="2554" spans="1:4" x14ac:dyDescent="0.3">
      <c r="A2554" s="17"/>
      <c r="B2554" s="13"/>
      <c r="C2554" s="13"/>
      <c r="D2554" s="14"/>
    </row>
    <row r="2555" spans="1:4" x14ac:dyDescent="0.3">
      <c r="A2555" s="17"/>
      <c r="B2555" s="13"/>
      <c r="C2555" s="13"/>
      <c r="D2555" s="14"/>
    </row>
    <row r="2556" spans="1:4" x14ac:dyDescent="0.3">
      <c r="A2556" s="18"/>
      <c r="B2556" s="15"/>
      <c r="C2556" s="15"/>
      <c r="D2556" s="16"/>
    </row>
    <row r="2557" spans="1:4" x14ac:dyDescent="0.3">
      <c r="A2557" s="17"/>
      <c r="B2557" s="13"/>
      <c r="C2557" s="13"/>
      <c r="D2557" s="14"/>
    </row>
    <row r="2558" spans="1:4" x14ac:dyDescent="0.3">
      <c r="A2558" s="17"/>
      <c r="B2558" s="13"/>
      <c r="C2558" s="13"/>
      <c r="D2558" s="14"/>
    </row>
    <row r="2559" spans="1:4" x14ac:dyDescent="0.3">
      <c r="A2559" s="17"/>
      <c r="B2559" s="13"/>
      <c r="C2559" s="13"/>
      <c r="D2559" s="14"/>
    </row>
    <row r="2560" spans="1:4" x14ac:dyDescent="0.3">
      <c r="A2560" s="17"/>
      <c r="B2560" s="13"/>
      <c r="C2560" s="13"/>
      <c r="D2560" s="14"/>
    </row>
    <row r="2561" spans="1:4" x14ac:dyDescent="0.3">
      <c r="A2561" s="18"/>
      <c r="B2561" s="15"/>
      <c r="C2561" s="15"/>
      <c r="D2561" s="16"/>
    </row>
    <row r="2562" spans="1:4" x14ac:dyDescent="0.3">
      <c r="A2562" s="17"/>
      <c r="B2562" s="13"/>
      <c r="C2562" s="13"/>
      <c r="D2562" s="14"/>
    </row>
    <row r="2563" spans="1:4" x14ac:dyDescent="0.3">
      <c r="A2563" s="17"/>
      <c r="B2563" s="13"/>
      <c r="C2563" s="13"/>
      <c r="D2563" s="14"/>
    </row>
    <row r="2564" spans="1:4" x14ac:dyDescent="0.3">
      <c r="A2564" s="17"/>
      <c r="B2564" s="13"/>
      <c r="C2564" s="13"/>
      <c r="D2564" s="14"/>
    </row>
    <row r="2565" spans="1:4" x14ac:dyDescent="0.3">
      <c r="A2565" s="17"/>
      <c r="B2565" s="13"/>
      <c r="C2565" s="13"/>
      <c r="D2565" s="14"/>
    </row>
    <row r="2566" spans="1:4" x14ac:dyDescent="0.3">
      <c r="A2566" s="18"/>
      <c r="B2566" s="15"/>
      <c r="C2566" s="15"/>
      <c r="D2566" s="16"/>
    </row>
    <row r="2567" spans="1:4" x14ac:dyDescent="0.3">
      <c r="A2567" s="17"/>
      <c r="B2567" s="13"/>
      <c r="C2567" s="13"/>
      <c r="D2567" s="14"/>
    </row>
    <row r="2568" spans="1:4" x14ac:dyDescent="0.3">
      <c r="A2568" s="17"/>
      <c r="B2568" s="13"/>
      <c r="C2568" s="13"/>
      <c r="D2568" s="14"/>
    </row>
    <row r="2569" spans="1:4" x14ac:dyDescent="0.3">
      <c r="A2569" s="17"/>
      <c r="B2569" s="13"/>
      <c r="C2569" s="13"/>
      <c r="D2569" s="14"/>
    </row>
    <row r="2570" spans="1:4" x14ac:dyDescent="0.3">
      <c r="A2570" s="17"/>
      <c r="B2570" s="13"/>
      <c r="C2570" s="13"/>
      <c r="D2570" s="14"/>
    </row>
    <row r="2571" spans="1:4" x14ac:dyDescent="0.3">
      <c r="A2571" s="18"/>
      <c r="B2571" s="15"/>
      <c r="C2571" s="15"/>
      <c r="D2571" s="16"/>
    </row>
    <row r="2572" spans="1:4" x14ac:dyDescent="0.3">
      <c r="A2572" s="17"/>
      <c r="B2572" s="13"/>
      <c r="C2572" s="13"/>
      <c r="D2572" s="14"/>
    </row>
    <row r="2573" spans="1:4" x14ac:dyDescent="0.3">
      <c r="A2573" s="17"/>
      <c r="B2573" s="13"/>
      <c r="C2573" s="13"/>
      <c r="D2573" s="14"/>
    </row>
    <row r="2574" spans="1:4" x14ac:dyDescent="0.3">
      <c r="A2574" s="17"/>
      <c r="B2574" s="13"/>
      <c r="C2574" s="13"/>
      <c r="D2574" s="14"/>
    </row>
    <row r="2575" spans="1:4" x14ac:dyDescent="0.3">
      <c r="A2575" s="17"/>
      <c r="B2575" s="13"/>
      <c r="C2575" s="13"/>
      <c r="D2575" s="14"/>
    </row>
    <row r="2576" spans="1:4" x14ac:dyDescent="0.3">
      <c r="A2576" s="18"/>
      <c r="B2576" s="15"/>
      <c r="C2576" s="15"/>
      <c r="D2576" s="16"/>
    </row>
    <row r="2577" spans="1:4" x14ac:dyDescent="0.3">
      <c r="A2577" s="17"/>
      <c r="B2577" s="13"/>
      <c r="C2577" s="13"/>
      <c r="D2577" s="14"/>
    </row>
    <row r="2578" spans="1:4" x14ac:dyDescent="0.3">
      <c r="A2578" s="17"/>
      <c r="B2578" s="13"/>
      <c r="C2578" s="13"/>
      <c r="D2578" s="14"/>
    </row>
    <row r="2579" spans="1:4" x14ac:dyDescent="0.3">
      <c r="A2579" s="17"/>
      <c r="B2579" s="13"/>
      <c r="C2579" s="13"/>
      <c r="D2579" s="14"/>
    </row>
    <row r="2580" spans="1:4" x14ac:dyDescent="0.3">
      <c r="A2580" s="17"/>
      <c r="B2580" s="13"/>
      <c r="C2580" s="13"/>
      <c r="D2580" s="14"/>
    </row>
    <row r="2581" spans="1:4" x14ac:dyDescent="0.3">
      <c r="A2581" s="18"/>
      <c r="B2581" s="15"/>
      <c r="C2581" s="15"/>
      <c r="D2581" s="16"/>
    </row>
    <row r="2582" spans="1:4" x14ac:dyDescent="0.3">
      <c r="A2582" s="17"/>
      <c r="B2582" s="13"/>
      <c r="C2582" s="13"/>
      <c r="D2582" s="14"/>
    </row>
    <row r="2583" spans="1:4" x14ac:dyDescent="0.3">
      <c r="A2583" s="17"/>
      <c r="B2583" s="13"/>
      <c r="C2583" s="13"/>
      <c r="D2583" s="14"/>
    </row>
    <row r="2584" spans="1:4" x14ac:dyDescent="0.3">
      <c r="A2584" s="17"/>
      <c r="B2584" s="13"/>
      <c r="C2584" s="13"/>
      <c r="D2584" s="14"/>
    </row>
    <row r="2585" spans="1:4" x14ac:dyDescent="0.3">
      <c r="A2585" s="17"/>
      <c r="B2585" s="13"/>
      <c r="C2585" s="13"/>
      <c r="D2585" s="14"/>
    </row>
    <row r="2586" spans="1:4" x14ac:dyDescent="0.3">
      <c r="A2586" s="18"/>
      <c r="B2586" s="15"/>
      <c r="C2586" s="15"/>
      <c r="D2586" s="16"/>
    </row>
    <row r="2587" spans="1:4" x14ac:dyDescent="0.3">
      <c r="A2587" s="17"/>
      <c r="B2587" s="13"/>
      <c r="C2587" s="13"/>
      <c r="D2587" s="14"/>
    </row>
    <row r="2588" spans="1:4" x14ac:dyDescent="0.3">
      <c r="A2588" s="17"/>
      <c r="B2588" s="13"/>
      <c r="C2588" s="13"/>
      <c r="D2588" s="14"/>
    </row>
    <row r="2589" spans="1:4" x14ac:dyDescent="0.3">
      <c r="A2589" s="17"/>
      <c r="B2589" s="13"/>
      <c r="C2589" s="13"/>
      <c r="D2589" s="14"/>
    </row>
    <row r="2590" spans="1:4" x14ac:dyDescent="0.3">
      <c r="A2590" s="17"/>
      <c r="B2590" s="13"/>
      <c r="C2590" s="13"/>
      <c r="D2590" s="14"/>
    </row>
    <row r="2591" spans="1:4" x14ac:dyDescent="0.3">
      <c r="A2591" s="18"/>
      <c r="B2591" s="15"/>
      <c r="C2591" s="15"/>
      <c r="D2591" s="16"/>
    </row>
    <row r="2592" spans="1:4" x14ac:dyDescent="0.3">
      <c r="A2592" s="17"/>
      <c r="B2592" s="13"/>
      <c r="C2592" s="13"/>
      <c r="D2592" s="14"/>
    </row>
    <row r="2593" spans="1:4" x14ac:dyDescent="0.3">
      <c r="A2593" s="17"/>
      <c r="B2593" s="13"/>
      <c r="C2593" s="13"/>
      <c r="D2593" s="14"/>
    </row>
    <row r="2594" spans="1:4" x14ac:dyDescent="0.3">
      <c r="A2594" s="17"/>
      <c r="B2594" s="13"/>
      <c r="C2594" s="13"/>
      <c r="D2594" s="14"/>
    </row>
    <row r="2595" spans="1:4" x14ac:dyDescent="0.3">
      <c r="A2595" s="17"/>
      <c r="B2595" s="13"/>
      <c r="C2595" s="13"/>
      <c r="D2595" s="14"/>
    </row>
    <row r="2596" spans="1:4" x14ac:dyDescent="0.3">
      <c r="A2596" s="18"/>
      <c r="B2596" s="15"/>
      <c r="C2596" s="15"/>
      <c r="D2596" s="16"/>
    </row>
    <row r="2597" spans="1:4" x14ac:dyDescent="0.3">
      <c r="A2597" s="17"/>
      <c r="B2597" s="13"/>
      <c r="C2597" s="13"/>
      <c r="D2597" s="14"/>
    </row>
    <row r="2598" spans="1:4" x14ac:dyDescent="0.3">
      <c r="A2598" s="17"/>
      <c r="B2598" s="13"/>
      <c r="C2598" s="13"/>
      <c r="D2598" s="14"/>
    </row>
    <row r="2599" spans="1:4" x14ac:dyDescent="0.3">
      <c r="A2599" s="17"/>
      <c r="B2599" s="13"/>
      <c r="C2599" s="13"/>
      <c r="D2599" s="14"/>
    </row>
    <row r="2600" spans="1:4" x14ac:dyDescent="0.3">
      <c r="A2600" s="17"/>
      <c r="B2600" s="13"/>
      <c r="C2600" s="13"/>
      <c r="D2600" s="14"/>
    </row>
    <row r="2601" spans="1:4" x14ac:dyDescent="0.3">
      <c r="A2601" s="18"/>
      <c r="B2601" s="15"/>
      <c r="C2601" s="15"/>
      <c r="D2601" s="16"/>
    </row>
    <row r="2602" spans="1:4" x14ac:dyDescent="0.3">
      <c r="A2602" s="17"/>
      <c r="B2602" s="13"/>
      <c r="C2602" s="13"/>
      <c r="D2602" s="14"/>
    </row>
    <row r="2603" spans="1:4" x14ac:dyDescent="0.3">
      <c r="A2603" s="17"/>
      <c r="B2603" s="13"/>
      <c r="C2603" s="13"/>
      <c r="D2603" s="14"/>
    </row>
    <row r="2604" spans="1:4" x14ac:dyDescent="0.3">
      <c r="A2604" s="17"/>
      <c r="B2604" s="13"/>
      <c r="C2604" s="13"/>
      <c r="D2604" s="14"/>
    </row>
    <row r="2605" spans="1:4" x14ac:dyDescent="0.3">
      <c r="A2605" s="17"/>
      <c r="B2605" s="13"/>
      <c r="C2605" s="13"/>
      <c r="D2605" s="14"/>
    </row>
    <row r="2606" spans="1:4" x14ac:dyDescent="0.3">
      <c r="A2606" s="18"/>
      <c r="B2606" s="15"/>
      <c r="C2606" s="15"/>
      <c r="D2606" s="16"/>
    </row>
    <row r="2607" spans="1:4" x14ac:dyDescent="0.3">
      <c r="A2607" s="17"/>
      <c r="B2607" s="13"/>
      <c r="C2607" s="13"/>
      <c r="D2607" s="14"/>
    </row>
    <row r="2608" spans="1:4" x14ac:dyDescent="0.3">
      <c r="A2608" s="17"/>
      <c r="B2608" s="13"/>
      <c r="C2608" s="13"/>
      <c r="D2608" s="14"/>
    </row>
    <row r="2609" spans="1:4" x14ac:dyDescent="0.3">
      <c r="A2609" s="17"/>
      <c r="B2609" s="13"/>
      <c r="C2609" s="13"/>
      <c r="D2609" s="14"/>
    </row>
    <row r="2610" spans="1:4" x14ac:dyDescent="0.3">
      <c r="A2610" s="17"/>
      <c r="B2610" s="13"/>
      <c r="C2610" s="13"/>
      <c r="D2610" s="14"/>
    </row>
    <row r="2611" spans="1:4" x14ac:dyDescent="0.3">
      <c r="A2611" s="18"/>
      <c r="B2611" s="15"/>
      <c r="C2611" s="15"/>
      <c r="D2611" s="16"/>
    </row>
    <row r="2612" spans="1:4" x14ac:dyDescent="0.3">
      <c r="A2612" s="17"/>
      <c r="B2612" s="13"/>
      <c r="C2612" s="13"/>
      <c r="D2612" s="14"/>
    </row>
    <row r="2613" spans="1:4" x14ac:dyDescent="0.3">
      <c r="A2613" s="17"/>
      <c r="B2613" s="13"/>
      <c r="C2613" s="13"/>
      <c r="D2613" s="14"/>
    </row>
    <row r="2614" spans="1:4" x14ac:dyDescent="0.3">
      <c r="A2614" s="17"/>
      <c r="B2614" s="13"/>
      <c r="C2614" s="13"/>
      <c r="D2614" s="14"/>
    </row>
    <row r="2615" spans="1:4" x14ac:dyDescent="0.3">
      <c r="A2615" s="17"/>
      <c r="B2615" s="13"/>
      <c r="C2615" s="13"/>
      <c r="D2615" s="14"/>
    </row>
    <row r="2616" spans="1:4" x14ac:dyDescent="0.3">
      <c r="A2616" s="18"/>
      <c r="B2616" s="15"/>
      <c r="C2616" s="15"/>
      <c r="D2616" s="16"/>
    </row>
    <row r="2617" spans="1:4" x14ac:dyDescent="0.3">
      <c r="A2617" s="17"/>
      <c r="B2617" s="13"/>
      <c r="C2617" s="13"/>
      <c r="D2617" s="14"/>
    </row>
    <row r="2618" spans="1:4" x14ac:dyDescent="0.3">
      <c r="A2618" s="17"/>
      <c r="B2618" s="13"/>
      <c r="C2618" s="13"/>
      <c r="D2618" s="14"/>
    </row>
    <row r="2619" spans="1:4" x14ac:dyDescent="0.3">
      <c r="A2619" s="17"/>
      <c r="B2619" s="13"/>
      <c r="C2619" s="13"/>
      <c r="D2619" s="14"/>
    </row>
    <row r="2620" spans="1:4" x14ac:dyDescent="0.3">
      <c r="A2620" s="17"/>
      <c r="B2620" s="13"/>
      <c r="C2620" s="13"/>
      <c r="D2620" s="14"/>
    </row>
    <row r="2621" spans="1:4" x14ac:dyDescent="0.3">
      <c r="A2621" s="18"/>
      <c r="B2621" s="15"/>
      <c r="C2621" s="15"/>
      <c r="D2621" s="16"/>
    </row>
    <row r="2622" spans="1:4" x14ac:dyDescent="0.3">
      <c r="A2622" s="17"/>
      <c r="B2622" s="13"/>
      <c r="C2622" s="13"/>
      <c r="D2622" s="14"/>
    </row>
    <row r="2623" spans="1:4" x14ac:dyDescent="0.3">
      <c r="A2623" s="17"/>
      <c r="B2623" s="13"/>
      <c r="C2623" s="13"/>
      <c r="D2623" s="14"/>
    </row>
    <row r="2624" spans="1:4" x14ac:dyDescent="0.3">
      <c r="A2624" s="17"/>
      <c r="B2624" s="13"/>
      <c r="C2624" s="13"/>
      <c r="D2624" s="14"/>
    </row>
    <row r="2625" spans="1:4" x14ac:dyDescent="0.3">
      <c r="A2625" s="17"/>
      <c r="B2625" s="13"/>
      <c r="C2625" s="13"/>
      <c r="D2625" s="14"/>
    </row>
    <row r="2626" spans="1:4" x14ac:dyDescent="0.3">
      <c r="A2626" s="18"/>
      <c r="B2626" s="15"/>
      <c r="C2626" s="15"/>
      <c r="D2626" s="16"/>
    </row>
    <row r="2627" spans="1:4" x14ac:dyDescent="0.3">
      <c r="A2627" s="17"/>
      <c r="B2627" s="13"/>
      <c r="C2627" s="13"/>
      <c r="D2627" s="14"/>
    </row>
    <row r="2628" spans="1:4" x14ac:dyDescent="0.3">
      <c r="A2628" s="17"/>
      <c r="B2628" s="13"/>
      <c r="C2628" s="13"/>
      <c r="D2628" s="14"/>
    </row>
    <row r="2629" spans="1:4" x14ac:dyDescent="0.3">
      <c r="A2629" s="17"/>
      <c r="B2629" s="13"/>
      <c r="C2629" s="13"/>
      <c r="D2629" s="14"/>
    </row>
    <row r="2630" spans="1:4" x14ac:dyDescent="0.3">
      <c r="A2630" s="17"/>
      <c r="B2630" s="13"/>
      <c r="C2630" s="13"/>
      <c r="D2630" s="14"/>
    </row>
    <row r="2631" spans="1:4" x14ac:dyDescent="0.3">
      <c r="A2631" s="18"/>
      <c r="B2631" s="15"/>
      <c r="C2631" s="15"/>
      <c r="D2631" s="16"/>
    </row>
    <row r="2632" spans="1:4" x14ac:dyDescent="0.3">
      <c r="A2632" s="17"/>
      <c r="B2632" s="13"/>
      <c r="C2632" s="13"/>
      <c r="D2632" s="14"/>
    </row>
    <row r="2633" spans="1:4" x14ac:dyDescent="0.3">
      <c r="A2633" s="17"/>
      <c r="B2633" s="13"/>
      <c r="C2633" s="13"/>
      <c r="D2633" s="14"/>
    </row>
    <row r="2634" spans="1:4" x14ac:dyDescent="0.3">
      <c r="A2634" s="17"/>
      <c r="B2634" s="13"/>
      <c r="C2634" s="13"/>
      <c r="D2634" s="14"/>
    </row>
    <row r="2635" spans="1:4" x14ac:dyDescent="0.3">
      <c r="A2635" s="17"/>
      <c r="B2635" s="13"/>
      <c r="C2635" s="13"/>
      <c r="D2635" s="14"/>
    </row>
    <row r="2636" spans="1:4" x14ac:dyDescent="0.3">
      <c r="A2636" s="18"/>
      <c r="B2636" s="15"/>
      <c r="C2636" s="15"/>
      <c r="D2636" s="16"/>
    </row>
    <row r="2637" spans="1:4" x14ac:dyDescent="0.3">
      <c r="A2637" s="17"/>
      <c r="B2637" s="13"/>
      <c r="C2637" s="13"/>
      <c r="D2637" s="14"/>
    </row>
    <row r="2638" spans="1:4" x14ac:dyDescent="0.3">
      <c r="A2638" s="17"/>
      <c r="B2638" s="13"/>
      <c r="C2638" s="13"/>
      <c r="D2638" s="14"/>
    </row>
    <row r="2639" spans="1:4" x14ac:dyDescent="0.3">
      <c r="A2639" s="17"/>
      <c r="B2639" s="13"/>
      <c r="C2639" s="13"/>
      <c r="D2639" s="14"/>
    </row>
    <row r="2640" spans="1:4" x14ac:dyDescent="0.3">
      <c r="A2640" s="17"/>
      <c r="B2640" s="13"/>
      <c r="C2640" s="13"/>
      <c r="D2640" s="14"/>
    </row>
    <row r="2641" spans="1:4" x14ac:dyDescent="0.3">
      <c r="A2641" s="18"/>
      <c r="B2641" s="15"/>
      <c r="C2641" s="15"/>
      <c r="D2641" s="16"/>
    </row>
    <row r="2642" spans="1:4" x14ac:dyDescent="0.3">
      <c r="A2642" s="17"/>
      <c r="B2642" s="13"/>
      <c r="C2642" s="13"/>
      <c r="D2642" s="14"/>
    </row>
    <row r="2643" spans="1:4" x14ac:dyDescent="0.3">
      <c r="A2643" s="17"/>
      <c r="B2643" s="13"/>
      <c r="C2643" s="13"/>
      <c r="D2643" s="14"/>
    </row>
    <row r="2644" spans="1:4" x14ac:dyDescent="0.3">
      <c r="A2644" s="17"/>
      <c r="B2644" s="13"/>
      <c r="C2644" s="13"/>
      <c r="D2644" s="14"/>
    </row>
    <row r="2645" spans="1:4" x14ac:dyDescent="0.3">
      <c r="A2645" s="17"/>
      <c r="B2645" s="13"/>
      <c r="C2645" s="13"/>
      <c r="D2645" s="14"/>
    </row>
    <row r="2646" spans="1:4" x14ac:dyDescent="0.3">
      <c r="A2646" s="18"/>
      <c r="B2646" s="15"/>
      <c r="C2646" s="15"/>
      <c r="D2646" s="16"/>
    </row>
    <row r="2647" spans="1:4" x14ac:dyDescent="0.3">
      <c r="A2647" s="17"/>
      <c r="B2647" s="13"/>
      <c r="C2647" s="13"/>
      <c r="D2647" s="14"/>
    </row>
    <row r="2648" spans="1:4" x14ac:dyDescent="0.3">
      <c r="A2648" s="17"/>
      <c r="B2648" s="13"/>
      <c r="C2648" s="13"/>
      <c r="D2648" s="14"/>
    </row>
    <row r="2649" spans="1:4" x14ac:dyDescent="0.3">
      <c r="A2649" s="17"/>
      <c r="B2649" s="13"/>
      <c r="C2649" s="13"/>
      <c r="D2649" s="14"/>
    </row>
    <row r="2650" spans="1:4" x14ac:dyDescent="0.3">
      <c r="A2650" s="17"/>
      <c r="B2650" s="13"/>
      <c r="C2650" s="13"/>
      <c r="D2650" s="14"/>
    </row>
    <row r="2651" spans="1:4" x14ac:dyDescent="0.3">
      <c r="A2651" s="18"/>
      <c r="B2651" s="15"/>
      <c r="C2651" s="15"/>
      <c r="D2651" s="16"/>
    </row>
    <row r="2652" spans="1:4" x14ac:dyDescent="0.3">
      <c r="A2652" s="17"/>
      <c r="B2652" s="13"/>
      <c r="C2652" s="13"/>
      <c r="D2652" s="14"/>
    </row>
    <row r="2653" spans="1:4" x14ac:dyDescent="0.3">
      <c r="A2653" s="17"/>
      <c r="B2653" s="13"/>
      <c r="C2653" s="13"/>
      <c r="D2653" s="14"/>
    </row>
    <row r="2654" spans="1:4" x14ac:dyDescent="0.3">
      <c r="A2654" s="17"/>
      <c r="B2654" s="13"/>
      <c r="C2654" s="13"/>
      <c r="D2654" s="14"/>
    </row>
    <row r="2655" spans="1:4" x14ac:dyDescent="0.3">
      <c r="A2655" s="17"/>
      <c r="B2655" s="13"/>
      <c r="C2655" s="13"/>
      <c r="D2655" s="14"/>
    </row>
    <row r="2656" spans="1:4" x14ac:dyDescent="0.3">
      <c r="A2656" s="18"/>
      <c r="B2656" s="15"/>
      <c r="C2656" s="15"/>
      <c r="D2656" s="16"/>
    </row>
    <row r="2657" spans="1:6" x14ac:dyDescent="0.3">
      <c r="A2657" s="17"/>
      <c r="B2657" s="13"/>
      <c r="C2657" s="13"/>
      <c r="D2657" s="14"/>
    </row>
    <row r="2658" spans="1:6" x14ac:dyDescent="0.3">
      <c r="A2658" s="17"/>
      <c r="B2658" s="13"/>
      <c r="C2658" s="13"/>
      <c r="D2658" s="14"/>
    </row>
    <row r="2659" spans="1:6" x14ac:dyDescent="0.3">
      <c r="A2659" s="17"/>
      <c r="B2659" s="13"/>
      <c r="C2659" s="13"/>
      <c r="D2659" s="14"/>
    </row>
    <row r="2660" spans="1:6" x14ac:dyDescent="0.3">
      <c r="A2660" s="17"/>
      <c r="B2660" s="13"/>
      <c r="C2660" s="13"/>
      <c r="D2660" s="14"/>
    </row>
    <row r="2661" spans="1:6" x14ac:dyDescent="0.3">
      <c r="A2661" s="18"/>
      <c r="B2661" s="15"/>
      <c r="C2661" s="15"/>
      <c r="D2661" s="16"/>
    </row>
    <row r="2662" spans="1:6" x14ac:dyDescent="0.3">
      <c r="A2662" s="17"/>
      <c r="B2662" s="13"/>
      <c r="C2662" s="13"/>
      <c r="D2662" s="14"/>
    </row>
    <row r="2663" spans="1:6" x14ac:dyDescent="0.3">
      <c r="A2663" s="17"/>
      <c r="B2663" s="13"/>
      <c r="C2663" s="13"/>
      <c r="D2663" s="14"/>
    </row>
    <row r="2664" spans="1:6" x14ac:dyDescent="0.3">
      <c r="A2664" s="17"/>
      <c r="B2664" s="13"/>
      <c r="C2664" s="13"/>
      <c r="D2664" s="14"/>
    </row>
    <row r="2665" spans="1:6" x14ac:dyDescent="0.3">
      <c r="A2665" s="17"/>
      <c r="B2665" s="13"/>
      <c r="C2665" s="13"/>
      <c r="D2665" s="14"/>
    </row>
    <row r="2666" spans="1:6" x14ac:dyDescent="0.3">
      <c r="A2666" s="18"/>
      <c r="B2666" s="15"/>
      <c r="C2666" s="15"/>
      <c r="D2666" s="16"/>
    </row>
    <row r="2667" spans="1:6" x14ac:dyDescent="0.3">
      <c r="A2667" s="1"/>
      <c r="B2667" s="1"/>
      <c r="C2667" s="1"/>
      <c r="D2667" s="1"/>
      <c r="E2667" s="1"/>
      <c r="F2667" s="1"/>
    </row>
  </sheetData>
  <mergeCells count="5">
    <mergeCell ref="H13:I13"/>
    <mergeCell ref="H12:I12"/>
    <mergeCell ref="J14:K14"/>
    <mergeCell ref="J9:J13"/>
    <mergeCell ref="K9:K13"/>
  </mergeCells>
  <phoneticPr fontId="10" type="noConversion"/>
  <conditionalFormatting sqref="B1">
    <cfRule type="expression" dxfId="0" priority="1" stopIfTrue="1">
      <formula>MID($B$1, 15, 10)-TODAY() &lt; 0</formula>
    </cfRule>
  </conditionalFormatting>
  <dataValidations count="6">
    <dataValidation type="list" allowBlank="1" showInputMessage="1" sqref="C3">
      <formula1>"Default"</formula1>
    </dataValidation>
    <dataValidation type="list" allowBlank="1" showInputMessage="1" sqref="C6">
      <formula1>"Asc,Desc"</formula1>
    </dataValidation>
    <dataValidation type="list" allowBlank="1" showInputMessage="1" sqref="C5">
      <formula1>"Local,KRW,USD"</formula1>
    </dataValidation>
    <dataValidation type="list" allowBlank="1" showInputMessage="1" sqref="B6">
      <formula1>"Exclusive,N/A,NULL,Previous"</formula1>
    </dataValidation>
    <dataValidation type="list" allowBlank="1" showInputMessage="1" sqref="B5">
      <formula1>"일간,주간,월간,분기간,년간"</formula1>
    </dataValidation>
    <dataValidation type="list" allowBlank="1" showInputMessage="1" sqref="B7">
      <formula1>"NONE,SUN,SAT,ALL"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7" r:id="rId3" name="FnBtn1">
          <controlPr locked="0" defaultSize="0" print="0" autoLine="0" autoPict="0" r:id="rId4">
            <anchor moveWithCells="1" sizeWithCells="1">
              <from>
                <xdr:col>0</xdr:col>
                <xdr:colOff>9525</xdr:colOff>
                <xdr:row>0</xdr:row>
                <xdr:rowOff>9525</xdr:rowOff>
              </from>
              <to>
                <xdr:col>0</xdr:col>
                <xdr:colOff>590550</xdr:colOff>
                <xdr:row>0</xdr:row>
                <xdr:rowOff>171450</xdr:rowOff>
              </to>
            </anchor>
          </controlPr>
        </control>
      </mc:Choice>
      <mc:Fallback>
        <control shapeId="4097" r:id="rId3" name="FnBt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</vt:i4>
      </vt:variant>
      <vt:variant>
        <vt:lpstr>이름 지정된 범위</vt:lpstr>
      </vt:variant>
      <vt:variant>
        <vt:i4>1</vt:i4>
      </vt:variant>
    </vt:vector>
  </HeadingPairs>
  <TitlesOfParts>
    <vt:vector size="2" baseType="lpstr">
      <vt:lpstr>ETF StepUp</vt:lpstr>
      <vt:lpstr>누적수익률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Jim Sjoo Kwak</dc:creator>
  <cp:lastModifiedBy>Jim Sjoo Kwag</cp:lastModifiedBy>
  <dcterms:created xsi:type="dcterms:W3CDTF">2013-06-14T04:10:50Z</dcterms:created>
  <dcterms:modified xsi:type="dcterms:W3CDTF">2017-05-12T13:25:50Z</dcterms:modified>
</cp:coreProperties>
</file>