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imsj\Dropbox\모두의 오피스\금융관련솔루션\"/>
    </mc:Choice>
  </mc:AlternateContent>
  <bookViews>
    <workbookView xWindow="-15" yWindow="2340" windowWidth="19170" windowHeight="9690"/>
  </bookViews>
  <sheets>
    <sheet name="s" sheetId="7" r:id="rId1"/>
  </sheets>
  <definedNames>
    <definedName name="alpha">s!$G$13</definedName>
    <definedName name="fo_date">OFFSET(s!$A$15,0,0,60,1)</definedName>
    <definedName name="fo_kospi200">OFFSET(s!$C$15,0,0,60,1)</definedName>
    <definedName name="fo_lower">OFFSET(s!$F$15,0,0,60,1)</definedName>
    <definedName name="fo_upper">OFFSET(s!$G$15,0,0,60,1)</definedName>
    <definedName name="kodex60">OFFSET(s!$L$15,0,0,60,6)</definedName>
  </definedNames>
  <calcPr calcId="171027"/>
</workbook>
</file>

<file path=xl/calcChain.xml><?xml version="1.0" encoding="utf-8"?>
<calcChain xmlns="http://schemas.openxmlformats.org/spreadsheetml/2006/main">
  <c r="J17" i="7" l="1"/>
  <c r="J9" i="7"/>
  <c r="J12" i="7" s="1"/>
  <c r="J18" i="7" s="1"/>
  <c r="J10" i="7"/>
  <c r="J13" i="7" s="1"/>
  <c r="J19" i="7" s="1"/>
  <c r="J23" i="7" s="1"/>
  <c r="J15" i="7"/>
  <c r="J22" i="7" l="1"/>
  <c r="J26" i="7" s="1"/>
  <c r="J29" i="7" s="1"/>
  <c r="J25" i="7" l="1"/>
  <c r="J28" i="7" s="1"/>
</calcChain>
</file>

<file path=xl/comments1.xml><?xml version="1.0" encoding="utf-8"?>
<comments xmlns="http://schemas.openxmlformats.org/spreadsheetml/2006/main">
  <authors>
    <author>sjoo.kwak@gmail.com</author>
  </authors>
  <commentList>
    <comment ref="C5" authorId="0" shapeId="0">
      <text>
        <r>
          <rPr>
            <sz val="8"/>
            <color indexed="54"/>
            <rFont val="Tahoma"/>
            <family val="2"/>
          </rPr>
          <t>Local
USD</t>
        </r>
      </text>
    </comment>
    <comment ref="N5" authorId="0" shapeId="0">
      <text>
        <r>
          <rPr>
            <sz val="8"/>
            <color indexed="54"/>
            <rFont val="Tahoma"/>
            <family val="2"/>
          </rPr>
          <t>Local
USD</t>
        </r>
      </text>
    </comment>
    <comment ref="C6" authorId="0" shapeId="0">
      <text>
        <r>
          <rPr>
            <sz val="8"/>
            <color indexed="54"/>
            <rFont val="Tahoma"/>
            <family val="2"/>
          </rPr>
          <t>Asc
Desc</t>
        </r>
      </text>
    </comment>
    <comment ref="N6" authorId="0" shapeId="0">
      <text>
        <r>
          <rPr>
            <sz val="8"/>
            <color indexed="54"/>
            <rFont val="Tahoma"/>
            <family val="2"/>
          </rPr>
          <t>Asc
Desc</t>
        </r>
      </text>
    </comment>
  </commentList>
</comments>
</file>

<file path=xl/sharedStrings.xml><?xml version="1.0" encoding="utf-8"?>
<sst xmlns="http://schemas.openxmlformats.org/spreadsheetml/2006/main" count="130" uniqueCount="70">
  <si>
    <t>sigma</t>
  </si>
  <si>
    <t>alpha</t>
  </si>
  <si>
    <t>Item</t>
  </si>
  <si>
    <t>Frequency</t>
  </si>
  <si>
    <t>Symbol</t>
  </si>
  <si>
    <t>Symbol Name</t>
  </si>
  <si>
    <t>Kind</t>
  </si>
  <si>
    <t>Item Name</t>
  </si>
  <si>
    <t>I.101</t>
  </si>
  <si>
    <t>KOSPI  200</t>
  </si>
  <si>
    <t>IDX</t>
  </si>
  <si>
    <t>I31000150F</t>
  </si>
  <si>
    <r>
      <t>수익률</t>
    </r>
    <r>
      <rPr>
        <sz val="9"/>
        <color indexed="8"/>
        <rFont val="Arial"/>
        <family val="2"/>
      </rPr>
      <t>(%)</t>
    </r>
  </si>
  <si>
    <t>Synthesis</t>
    <phoneticPr fontId="2" type="noConversion"/>
  </si>
  <si>
    <t>DAILY</t>
  </si>
  <si>
    <t>I31000040F</t>
  </si>
  <si>
    <r>
      <t>종가지수</t>
    </r>
    <r>
      <rPr>
        <sz val="9"/>
        <color indexed="8"/>
        <rFont val="Arial"/>
        <family val="2"/>
      </rPr>
      <t>(</t>
    </r>
    <r>
      <rPr>
        <sz val="9"/>
        <color indexed="8"/>
        <rFont val="돋움"/>
        <family val="3"/>
        <charset val="129"/>
      </rPr>
      <t>포인트</t>
    </r>
    <r>
      <rPr>
        <sz val="9"/>
        <color indexed="8"/>
        <rFont val="Arial"/>
        <family val="2"/>
      </rPr>
      <t>)</t>
    </r>
  </si>
  <si>
    <t>annual est.mean</t>
    <phoneticPr fontId="2" type="noConversion"/>
  </si>
  <si>
    <t>annual est.sigma</t>
    <phoneticPr fontId="2" type="noConversion"/>
  </si>
  <si>
    <t>remaining</t>
    <phoneticPr fontId="2" type="noConversion"/>
  </si>
  <si>
    <t>time</t>
    <phoneticPr fontId="2" type="noConversion"/>
  </si>
  <si>
    <t>mean</t>
    <phoneticPr fontId="2" type="noConversion"/>
  </si>
  <si>
    <t>60days.mean</t>
    <phoneticPr fontId="2" type="noConversion"/>
  </si>
  <si>
    <t>60days.sigma</t>
    <phoneticPr fontId="2" type="noConversion"/>
  </si>
  <si>
    <t>Term</t>
    <phoneticPr fontId="2" type="noConversion"/>
  </si>
  <si>
    <t>A069500</t>
  </si>
  <si>
    <t>KODEX200</t>
  </si>
  <si>
    <t>SSC</t>
  </si>
  <si>
    <t>S410000700</t>
  </si>
  <si>
    <r>
      <t>수정주가</t>
    </r>
    <r>
      <rPr>
        <sz val="9"/>
        <color indexed="8"/>
        <rFont val="Arial"/>
        <family val="2"/>
      </rPr>
      <t>(</t>
    </r>
    <r>
      <rPr>
        <sz val="9"/>
        <color indexed="8"/>
        <rFont val="돋움"/>
        <family val="3"/>
        <charset val="129"/>
      </rPr>
      <t>원</t>
    </r>
    <r>
      <rPr>
        <sz val="9"/>
        <color indexed="8"/>
        <rFont val="Arial"/>
        <family val="2"/>
      </rPr>
      <t>)</t>
    </r>
  </si>
  <si>
    <t>S410004700</t>
  </si>
  <si>
    <r>
      <t>수정주가</t>
    </r>
    <r>
      <rPr>
        <sz val="9"/>
        <color indexed="8"/>
        <rFont val="Arial"/>
        <family val="2"/>
      </rPr>
      <t xml:space="preserve"> (5</t>
    </r>
    <r>
      <rPr>
        <sz val="9"/>
        <color indexed="8"/>
        <rFont val="돋움"/>
        <family val="3"/>
        <charset val="129"/>
      </rPr>
      <t>일</t>
    </r>
    <r>
      <rPr>
        <sz val="9"/>
        <color indexed="8"/>
        <rFont val="Arial"/>
        <family val="2"/>
      </rPr>
      <t xml:space="preserve"> </t>
    </r>
    <r>
      <rPr>
        <sz val="9"/>
        <color indexed="8"/>
        <rFont val="돋움"/>
        <family val="3"/>
        <charset val="129"/>
      </rPr>
      <t>평균</t>
    </r>
    <r>
      <rPr>
        <sz val="9"/>
        <color indexed="8"/>
        <rFont val="Arial"/>
        <family val="2"/>
      </rPr>
      <t>)(</t>
    </r>
    <r>
      <rPr>
        <sz val="9"/>
        <color indexed="8"/>
        <rFont val="돋움"/>
        <family val="3"/>
        <charset val="129"/>
      </rPr>
      <t>원</t>
    </r>
    <r>
      <rPr>
        <sz val="9"/>
        <color indexed="8"/>
        <rFont val="Arial"/>
        <family val="2"/>
      </rPr>
      <t>)</t>
    </r>
  </si>
  <si>
    <t>S410005000</t>
  </si>
  <si>
    <r>
      <t>수정주가</t>
    </r>
    <r>
      <rPr>
        <sz val="9"/>
        <color indexed="8"/>
        <rFont val="Arial"/>
        <family val="2"/>
      </rPr>
      <t xml:space="preserve"> (20</t>
    </r>
    <r>
      <rPr>
        <sz val="9"/>
        <color indexed="8"/>
        <rFont val="돋움"/>
        <family val="3"/>
        <charset val="129"/>
      </rPr>
      <t>일</t>
    </r>
    <r>
      <rPr>
        <sz val="9"/>
        <color indexed="8"/>
        <rFont val="Arial"/>
        <family val="2"/>
      </rPr>
      <t xml:space="preserve"> </t>
    </r>
    <r>
      <rPr>
        <sz val="9"/>
        <color indexed="8"/>
        <rFont val="돋움"/>
        <family val="3"/>
        <charset val="129"/>
      </rPr>
      <t>평균</t>
    </r>
    <r>
      <rPr>
        <sz val="9"/>
        <color indexed="8"/>
        <rFont val="Arial"/>
        <family val="2"/>
      </rPr>
      <t>)(</t>
    </r>
    <r>
      <rPr>
        <sz val="9"/>
        <color indexed="8"/>
        <rFont val="돋움"/>
        <family val="3"/>
        <charset val="129"/>
      </rPr>
      <t>원</t>
    </r>
    <r>
      <rPr>
        <sz val="9"/>
        <color indexed="8"/>
        <rFont val="Arial"/>
        <family val="2"/>
      </rPr>
      <t>)</t>
    </r>
  </si>
  <si>
    <t>S410005300</t>
  </si>
  <si>
    <r>
      <t>수정주가</t>
    </r>
    <r>
      <rPr>
        <sz val="9"/>
        <color indexed="8"/>
        <rFont val="Arial"/>
        <family val="2"/>
      </rPr>
      <t xml:space="preserve"> (60</t>
    </r>
    <r>
      <rPr>
        <sz val="9"/>
        <color indexed="8"/>
        <rFont val="돋움"/>
        <family val="3"/>
        <charset val="129"/>
      </rPr>
      <t>일</t>
    </r>
    <r>
      <rPr>
        <sz val="9"/>
        <color indexed="8"/>
        <rFont val="Arial"/>
        <family val="2"/>
      </rPr>
      <t xml:space="preserve"> </t>
    </r>
    <r>
      <rPr>
        <sz val="9"/>
        <color indexed="8"/>
        <rFont val="돋움"/>
        <family val="3"/>
        <charset val="129"/>
      </rPr>
      <t>평균</t>
    </r>
    <r>
      <rPr>
        <sz val="9"/>
        <color indexed="8"/>
        <rFont val="Arial"/>
        <family val="2"/>
      </rPr>
      <t>)(</t>
    </r>
    <r>
      <rPr>
        <sz val="9"/>
        <color indexed="8"/>
        <rFont val="돋움"/>
        <family val="3"/>
        <charset val="129"/>
      </rPr>
      <t>원</t>
    </r>
    <r>
      <rPr>
        <sz val="9"/>
        <color indexed="8"/>
        <rFont val="Arial"/>
        <family val="2"/>
      </rPr>
      <t>)</t>
    </r>
  </si>
  <si>
    <t>S410005600</t>
  </si>
  <si>
    <r>
      <t>수정주가</t>
    </r>
    <r>
      <rPr>
        <sz val="9"/>
        <color indexed="8"/>
        <rFont val="Arial"/>
        <family val="2"/>
      </rPr>
      <t xml:space="preserve"> (120</t>
    </r>
    <r>
      <rPr>
        <sz val="9"/>
        <color indexed="8"/>
        <rFont val="돋움"/>
        <family val="3"/>
        <charset val="129"/>
      </rPr>
      <t>일</t>
    </r>
    <r>
      <rPr>
        <sz val="9"/>
        <color indexed="8"/>
        <rFont val="Arial"/>
        <family val="2"/>
      </rPr>
      <t xml:space="preserve"> </t>
    </r>
    <r>
      <rPr>
        <sz val="9"/>
        <color indexed="8"/>
        <rFont val="돋움"/>
        <family val="3"/>
        <charset val="129"/>
      </rPr>
      <t>평균</t>
    </r>
    <r>
      <rPr>
        <sz val="9"/>
        <color indexed="8"/>
        <rFont val="Arial"/>
        <family val="2"/>
      </rPr>
      <t>)(</t>
    </r>
    <r>
      <rPr>
        <sz val="9"/>
        <color indexed="8"/>
        <rFont val="돋움"/>
        <family val="3"/>
        <charset val="129"/>
      </rPr>
      <t>원</t>
    </r>
    <r>
      <rPr>
        <sz val="9"/>
        <color indexed="8"/>
        <rFont val="Arial"/>
        <family val="2"/>
      </rPr>
      <t>)</t>
    </r>
  </si>
  <si>
    <t>S41000080F</t>
  </si>
  <si>
    <r>
      <t>거래량</t>
    </r>
    <r>
      <rPr>
        <sz val="9"/>
        <color indexed="8"/>
        <rFont val="Arial"/>
        <family val="2"/>
      </rPr>
      <t>(</t>
    </r>
    <r>
      <rPr>
        <sz val="9"/>
        <color indexed="8"/>
        <rFont val="돋움"/>
        <family val="3"/>
        <charset val="129"/>
      </rPr>
      <t>주</t>
    </r>
    <r>
      <rPr>
        <sz val="9"/>
        <color indexed="8"/>
        <rFont val="Arial"/>
        <family val="2"/>
      </rPr>
      <t>)</t>
    </r>
  </si>
  <si>
    <t>S41000620F</t>
  </si>
  <si>
    <r>
      <t>거래량</t>
    </r>
    <r>
      <rPr>
        <sz val="9"/>
        <color indexed="8"/>
        <rFont val="Arial"/>
        <family val="2"/>
      </rPr>
      <t xml:space="preserve"> (5</t>
    </r>
    <r>
      <rPr>
        <sz val="9"/>
        <color indexed="8"/>
        <rFont val="돋움"/>
        <family val="3"/>
        <charset val="129"/>
      </rPr>
      <t>일</t>
    </r>
    <r>
      <rPr>
        <sz val="9"/>
        <color indexed="8"/>
        <rFont val="Arial"/>
        <family val="2"/>
      </rPr>
      <t xml:space="preserve"> </t>
    </r>
    <r>
      <rPr>
        <sz val="9"/>
        <color indexed="8"/>
        <rFont val="돋움"/>
        <family val="3"/>
        <charset val="129"/>
      </rPr>
      <t>평균</t>
    </r>
    <r>
      <rPr>
        <sz val="9"/>
        <color indexed="8"/>
        <rFont val="Arial"/>
        <family val="2"/>
      </rPr>
      <t>)(</t>
    </r>
    <r>
      <rPr>
        <sz val="9"/>
        <color indexed="8"/>
        <rFont val="돋움"/>
        <family val="3"/>
        <charset val="129"/>
      </rPr>
      <t>주</t>
    </r>
    <r>
      <rPr>
        <sz val="9"/>
        <color indexed="8"/>
        <rFont val="Arial"/>
        <family val="2"/>
      </rPr>
      <t>)</t>
    </r>
  </si>
  <si>
    <t>S41000630F</t>
  </si>
  <si>
    <r>
      <t>거래량</t>
    </r>
    <r>
      <rPr>
        <sz val="9"/>
        <color indexed="8"/>
        <rFont val="Arial"/>
        <family val="2"/>
      </rPr>
      <t xml:space="preserve"> (20</t>
    </r>
    <r>
      <rPr>
        <sz val="9"/>
        <color indexed="8"/>
        <rFont val="돋움"/>
        <family val="3"/>
        <charset val="129"/>
      </rPr>
      <t>일</t>
    </r>
    <r>
      <rPr>
        <sz val="9"/>
        <color indexed="8"/>
        <rFont val="Arial"/>
        <family val="2"/>
      </rPr>
      <t xml:space="preserve"> </t>
    </r>
    <r>
      <rPr>
        <sz val="9"/>
        <color indexed="8"/>
        <rFont val="돋움"/>
        <family val="3"/>
        <charset val="129"/>
      </rPr>
      <t>평균</t>
    </r>
    <r>
      <rPr>
        <sz val="9"/>
        <color indexed="8"/>
        <rFont val="Arial"/>
        <family val="2"/>
      </rPr>
      <t>)(</t>
    </r>
    <r>
      <rPr>
        <sz val="9"/>
        <color indexed="8"/>
        <rFont val="돋움"/>
        <family val="3"/>
        <charset val="129"/>
      </rPr>
      <t>주</t>
    </r>
    <r>
      <rPr>
        <sz val="9"/>
        <color indexed="8"/>
        <rFont val="Arial"/>
        <family val="2"/>
      </rPr>
      <t>)</t>
    </r>
  </si>
  <si>
    <t>S41000640F</t>
  </si>
  <si>
    <r>
      <t>거래량</t>
    </r>
    <r>
      <rPr>
        <sz val="9"/>
        <color indexed="8"/>
        <rFont val="Arial"/>
        <family val="2"/>
      </rPr>
      <t xml:space="preserve"> (60</t>
    </r>
    <r>
      <rPr>
        <sz val="9"/>
        <color indexed="8"/>
        <rFont val="돋움"/>
        <family val="3"/>
        <charset val="129"/>
      </rPr>
      <t>일</t>
    </r>
    <r>
      <rPr>
        <sz val="9"/>
        <color indexed="8"/>
        <rFont val="Arial"/>
        <family val="2"/>
      </rPr>
      <t xml:space="preserve"> </t>
    </r>
    <r>
      <rPr>
        <sz val="9"/>
        <color indexed="8"/>
        <rFont val="돋움"/>
        <family val="3"/>
        <charset val="129"/>
      </rPr>
      <t>평균</t>
    </r>
    <r>
      <rPr>
        <sz val="9"/>
        <color indexed="8"/>
        <rFont val="Arial"/>
        <family val="2"/>
      </rPr>
      <t>)(</t>
    </r>
    <r>
      <rPr>
        <sz val="9"/>
        <color indexed="8"/>
        <rFont val="돋움"/>
        <family val="3"/>
        <charset val="129"/>
      </rPr>
      <t>주</t>
    </r>
    <r>
      <rPr>
        <sz val="9"/>
        <color indexed="8"/>
        <rFont val="Arial"/>
        <family val="2"/>
      </rPr>
      <t>)</t>
    </r>
  </si>
  <si>
    <t>S41000650F</t>
  </si>
  <si>
    <r>
      <t>거래량</t>
    </r>
    <r>
      <rPr>
        <sz val="9"/>
        <color indexed="8"/>
        <rFont val="Arial"/>
        <family val="2"/>
      </rPr>
      <t xml:space="preserve"> (120</t>
    </r>
    <r>
      <rPr>
        <sz val="9"/>
        <color indexed="8"/>
        <rFont val="돋움"/>
        <family val="3"/>
        <charset val="129"/>
      </rPr>
      <t>일</t>
    </r>
    <r>
      <rPr>
        <sz val="9"/>
        <color indexed="8"/>
        <rFont val="Arial"/>
        <family val="2"/>
      </rPr>
      <t xml:space="preserve"> </t>
    </r>
    <r>
      <rPr>
        <sz val="9"/>
        <color indexed="8"/>
        <rFont val="돋움"/>
        <family val="3"/>
        <charset val="129"/>
      </rPr>
      <t>평균</t>
    </r>
    <r>
      <rPr>
        <sz val="9"/>
        <color indexed="8"/>
        <rFont val="Arial"/>
        <family val="2"/>
      </rPr>
      <t>)(</t>
    </r>
    <r>
      <rPr>
        <sz val="9"/>
        <color indexed="8"/>
        <rFont val="돋움"/>
        <family val="3"/>
        <charset val="129"/>
      </rPr>
      <t>주</t>
    </r>
    <r>
      <rPr>
        <sz val="9"/>
        <color indexed="8"/>
        <rFont val="Arial"/>
        <family val="2"/>
      </rPr>
      <t>)</t>
    </r>
  </si>
  <si>
    <t>Portfolio</t>
    <phoneticPr fontId="2" type="noConversion"/>
  </si>
  <si>
    <t>Item</t>
    <phoneticPr fontId="2" type="noConversion"/>
  </si>
  <si>
    <t>Frequency</t>
    <phoneticPr fontId="2" type="noConversion"/>
  </si>
  <si>
    <t>Daily</t>
    <phoneticPr fontId="2" type="noConversion"/>
  </si>
  <si>
    <t>Local</t>
    <phoneticPr fontId="2" type="noConversion"/>
  </si>
  <si>
    <t>Non-Trading Day</t>
    <phoneticPr fontId="2" type="noConversion"/>
  </si>
  <si>
    <t>Exclude</t>
    <phoneticPr fontId="2" type="noConversion"/>
  </si>
  <si>
    <t>Desc</t>
    <phoneticPr fontId="2" type="noConversion"/>
  </si>
  <si>
    <t>Include Weekend</t>
    <phoneticPr fontId="2" type="noConversion"/>
  </si>
  <si>
    <t>None</t>
    <phoneticPr fontId="2" type="noConversion"/>
  </si>
  <si>
    <t>Current(20071119)</t>
    <phoneticPr fontId="2" type="noConversion"/>
  </si>
  <si>
    <t>Forecasting KOSPI200</t>
    <phoneticPr fontId="2" type="noConversion"/>
  </si>
  <si>
    <r>
      <t>S</t>
    </r>
    <r>
      <rPr>
        <vertAlign val="subscript"/>
        <sz val="10"/>
        <rFont val="Tahoma"/>
        <family val="2"/>
      </rPr>
      <t>0</t>
    </r>
    <phoneticPr fontId="2" type="noConversion"/>
  </si>
  <si>
    <r>
      <t>mean for ln S</t>
    </r>
    <r>
      <rPr>
        <vertAlign val="subscript"/>
        <sz val="10"/>
        <rFont val="Tahoma"/>
        <family val="2"/>
      </rPr>
      <t>T</t>
    </r>
    <phoneticPr fontId="2" type="noConversion"/>
  </si>
  <si>
    <r>
      <t>sigma for ln S</t>
    </r>
    <r>
      <rPr>
        <vertAlign val="subscript"/>
        <sz val="10"/>
        <rFont val="Tahoma"/>
        <family val="2"/>
      </rPr>
      <t>T</t>
    </r>
    <phoneticPr fontId="2" type="noConversion"/>
  </si>
  <si>
    <r>
      <t>lower(for ln S</t>
    </r>
    <r>
      <rPr>
        <vertAlign val="subscript"/>
        <sz val="10"/>
        <rFont val="Tahoma"/>
        <family val="2"/>
      </rPr>
      <t>T</t>
    </r>
    <r>
      <rPr>
        <sz val="10"/>
        <rFont val="Tahoma"/>
        <family val="2"/>
      </rPr>
      <t>)</t>
    </r>
    <phoneticPr fontId="2" type="noConversion"/>
  </si>
  <si>
    <r>
      <t>upper(for ln S</t>
    </r>
    <r>
      <rPr>
        <vertAlign val="subscript"/>
        <sz val="10"/>
        <rFont val="Tahoma"/>
        <family val="2"/>
      </rPr>
      <t>T</t>
    </r>
    <r>
      <rPr>
        <sz val="10"/>
        <rFont val="Tahoma"/>
        <family val="2"/>
      </rPr>
      <t>)</t>
    </r>
    <phoneticPr fontId="2" type="noConversion"/>
  </si>
  <si>
    <r>
      <t>lower for S</t>
    </r>
    <r>
      <rPr>
        <vertAlign val="subscript"/>
        <sz val="10"/>
        <rFont val="Tahoma"/>
        <family val="2"/>
      </rPr>
      <t>T</t>
    </r>
    <phoneticPr fontId="2" type="noConversion"/>
  </si>
  <si>
    <r>
      <t>upper for S</t>
    </r>
    <r>
      <rPr>
        <vertAlign val="subscript"/>
        <sz val="10"/>
        <rFont val="Tahoma"/>
        <family val="2"/>
      </rPr>
      <t>T</t>
    </r>
    <phoneticPr fontId="2" type="noConversion"/>
  </si>
  <si>
    <t>Lower</t>
    <phoneticPr fontId="2" type="noConversion"/>
  </si>
  <si>
    <t>Upper</t>
    <phoneticPr fontId="2" type="noConversion"/>
  </si>
  <si>
    <t>Alpha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</si>
</sst>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98" formatCode="0.00_ "/>
    <numFmt numFmtId="207" formatCode="#,##0.0"/>
  </numFmts>
  <fonts count="12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sz val="8"/>
      <color indexed="54"/>
      <name val="Tahoma"/>
      <family val="2"/>
    </font>
    <font>
      <sz val="9"/>
      <color indexed="8"/>
      <name val="돋움"/>
      <family val="3"/>
      <charset val="129"/>
    </font>
    <font>
      <sz val="10"/>
      <name val="Tahoma"/>
      <family val="2"/>
    </font>
    <font>
      <b/>
      <sz val="10"/>
      <color indexed="9"/>
      <name val="Tahoma"/>
      <family val="2"/>
    </font>
    <font>
      <vertAlign val="subscript"/>
      <sz val="10"/>
      <name val="Tahoma"/>
      <family val="2"/>
    </font>
    <font>
      <sz val="9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6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/>
  </cellStyleXfs>
  <cellXfs count="30">
    <xf numFmtId="0" fontId="0" fillId="0" borderId="0" xfId="0"/>
    <xf numFmtId="0" fontId="4" fillId="0" borderId="0" xfId="0" applyFont="1"/>
    <xf numFmtId="0" fontId="5" fillId="0" borderId="0" xfId="0" applyFont="1"/>
    <xf numFmtId="14" fontId="5" fillId="0" borderId="0" xfId="0" applyNumberFormat="1" applyFont="1" applyAlignment="1">
      <alignment horizontal="right"/>
    </xf>
    <xf numFmtId="0" fontId="5" fillId="0" borderId="1" xfId="0" applyFont="1" applyBorder="1" applyAlignment="1">
      <alignment horizontal="right"/>
    </xf>
    <xf numFmtId="0" fontId="5" fillId="0" borderId="0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207" fontId="5" fillId="0" borderId="0" xfId="0" applyNumberFormat="1" applyFont="1" applyAlignment="1">
      <alignment horizontal="right"/>
    </xf>
    <xf numFmtId="49" fontId="5" fillId="0" borderId="1" xfId="0" applyNumberFormat="1" applyFont="1" applyBorder="1" applyAlignment="1">
      <alignment horizontal="right"/>
    </xf>
    <xf numFmtId="49" fontId="5" fillId="0" borderId="0" xfId="0" applyNumberFormat="1" applyFont="1" applyBorder="1" applyAlignment="1">
      <alignment horizontal="right"/>
    </xf>
    <xf numFmtId="49" fontId="7" fillId="0" borderId="0" xfId="0" applyNumberFormat="1" applyFont="1" applyBorder="1" applyAlignment="1">
      <alignment horizontal="right"/>
    </xf>
    <xf numFmtId="49" fontId="5" fillId="0" borderId="2" xfId="0" applyNumberFormat="1" applyFont="1" applyBorder="1" applyAlignment="1">
      <alignment horizontal="right"/>
    </xf>
    <xf numFmtId="0" fontId="8" fillId="0" borderId="0" xfId="0" applyFont="1"/>
    <xf numFmtId="0" fontId="8" fillId="0" borderId="0" xfId="0" applyFont="1" applyAlignment="1">
      <alignment horizontal="right" indent="1"/>
    </xf>
    <xf numFmtId="0" fontId="8" fillId="2" borderId="0" xfId="0" applyFont="1" applyFill="1"/>
    <xf numFmtId="9" fontId="8" fillId="2" borderId="0" xfId="1" applyFont="1" applyFill="1"/>
    <xf numFmtId="198" fontId="8" fillId="2" borderId="0" xfId="2" quotePrefix="1" applyNumberFormat="1" applyFont="1" applyFill="1" applyAlignment="1"/>
    <xf numFmtId="198" fontId="8" fillId="2" borderId="0" xfId="2" applyNumberFormat="1" applyFont="1" applyFill="1"/>
    <xf numFmtId="198" fontId="8" fillId="2" borderId="0" xfId="0" applyNumberFormat="1" applyFont="1" applyFill="1"/>
    <xf numFmtId="3" fontId="5" fillId="0" borderId="0" xfId="0" applyNumberFormat="1" applyFont="1" applyAlignment="1">
      <alignment horizontal="right"/>
    </xf>
    <xf numFmtId="10" fontId="8" fillId="2" borderId="0" xfId="1" applyNumberFormat="1" applyFont="1" applyFill="1"/>
    <xf numFmtId="0" fontId="8" fillId="3" borderId="0" xfId="0" applyFont="1" applyFill="1" applyAlignment="1">
      <alignment horizontal="right" indent="1"/>
    </xf>
    <xf numFmtId="0" fontId="8" fillId="3" borderId="0" xfId="2" applyFont="1" applyFill="1" applyAlignment="1">
      <alignment horizontal="right" indent="1"/>
    </xf>
    <xf numFmtId="0" fontId="8" fillId="4" borderId="0" xfId="2" applyFont="1" applyFill="1" applyAlignment="1">
      <alignment horizontal="right" indent="1"/>
    </xf>
    <xf numFmtId="0" fontId="8" fillId="5" borderId="0" xfId="2" quotePrefix="1" applyFont="1" applyFill="1" applyAlignment="1"/>
    <xf numFmtId="198" fontId="8" fillId="0" borderId="0" xfId="0" applyNumberFormat="1" applyFont="1"/>
    <xf numFmtId="0" fontId="5" fillId="0" borderId="0" xfId="0" applyFont="1" applyAlignment="1">
      <alignment horizontal="right"/>
    </xf>
    <xf numFmtId="9" fontId="5" fillId="0" borderId="0" xfId="1" applyFont="1"/>
    <xf numFmtId="198" fontId="11" fillId="0" borderId="0" xfId="0" applyNumberFormat="1" applyFont="1"/>
    <xf numFmtId="0" fontId="9" fillId="6" borderId="0" xfId="0" applyFont="1" applyFill="1" applyAlignment="1">
      <alignment horizontal="center" vertical="center"/>
    </xf>
  </cellXfs>
  <cellStyles count="3">
    <cellStyle name="백분율" xfId="1" builtinId="5"/>
    <cellStyle name="표준" xfId="0" builtinId="0"/>
    <cellStyle name="표준_stockconf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C556F58-FF4C-4735-B1F1-F084CAF18F65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C556F58-FF4C-4735-B1F1-F084CAF18F65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276537228934843E-2"/>
          <c:y val="5.2747252747252747E-2"/>
          <c:w val="0.89861801702572419"/>
          <c:h val="0.82857142857142863"/>
        </c:manualLayout>
      </c:layout>
      <c:lineChart>
        <c:grouping val="standard"/>
        <c:varyColors val="0"/>
        <c:ser>
          <c:idx val="0"/>
          <c:order val="0"/>
          <c:tx>
            <c:strRef>
              <c:f>s!$M$13</c:f>
              <c:strCache>
                <c:ptCount val="1"/>
                <c:pt idx="0">
                  <c:v>수정주가(원)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FF0000"/>
              </a:solidFill>
              <a:ln w="6350">
                <a:noFill/>
              </a:ln>
            </c:spPr>
          </c:marker>
          <c:cat>
            <c:numRef>
              <c:f>s!$L$15:$L$74</c:f>
              <c:numCache>
                <c:formatCode>m/d/yyyy</c:formatCode>
                <c:ptCount val="60"/>
                <c:pt idx="0">
                  <c:v>39405</c:v>
                </c:pt>
                <c:pt idx="1">
                  <c:v>39402</c:v>
                </c:pt>
                <c:pt idx="2">
                  <c:v>39401</c:v>
                </c:pt>
                <c:pt idx="3">
                  <c:v>39400</c:v>
                </c:pt>
                <c:pt idx="4">
                  <c:v>39399</c:v>
                </c:pt>
                <c:pt idx="5">
                  <c:v>39398</c:v>
                </c:pt>
                <c:pt idx="6">
                  <c:v>39395</c:v>
                </c:pt>
                <c:pt idx="7">
                  <c:v>39394</c:v>
                </c:pt>
                <c:pt idx="8">
                  <c:v>39393</c:v>
                </c:pt>
                <c:pt idx="9">
                  <c:v>39392</c:v>
                </c:pt>
                <c:pt idx="10">
                  <c:v>39391</c:v>
                </c:pt>
                <c:pt idx="11">
                  <c:v>39388</c:v>
                </c:pt>
                <c:pt idx="12">
                  <c:v>39387</c:v>
                </c:pt>
                <c:pt idx="13">
                  <c:v>39386</c:v>
                </c:pt>
                <c:pt idx="14">
                  <c:v>39385</c:v>
                </c:pt>
                <c:pt idx="15">
                  <c:v>39384</c:v>
                </c:pt>
                <c:pt idx="16">
                  <c:v>39381</c:v>
                </c:pt>
                <c:pt idx="17">
                  <c:v>39380</c:v>
                </c:pt>
                <c:pt idx="18">
                  <c:v>39379</c:v>
                </c:pt>
                <c:pt idx="19">
                  <c:v>39378</c:v>
                </c:pt>
                <c:pt idx="20">
                  <c:v>39377</c:v>
                </c:pt>
                <c:pt idx="21">
                  <c:v>39374</c:v>
                </c:pt>
                <c:pt idx="22">
                  <c:v>39373</c:v>
                </c:pt>
                <c:pt idx="23">
                  <c:v>39372</c:v>
                </c:pt>
                <c:pt idx="24">
                  <c:v>39371</c:v>
                </c:pt>
                <c:pt idx="25">
                  <c:v>39370</c:v>
                </c:pt>
                <c:pt idx="26">
                  <c:v>39367</c:v>
                </c:pt>
                <c:pt idx="27">
                  <c:v>39366</c:v>
                </c:pt>
                <c:pt idx="28">
                  <c:v>39365</c:v>
                </c:pt>
                <c:pt idx="29">
                  <c:v>39364</c:v>
                </c:pt>
                <c:pt idx="30">
                  <c:v>39363</c:v>
                </c:pt>
                <c:pt idx="31">
                  <c:v>39360</c:v>
                </c:pt>
                <c:pt idx="32">
                  <c:v>39359</c:v>
                </c:pt>
                <c:pt idx="33">
                  <c:v>39357</c:v>
                </c:pt>
                <c:pt idx="34">
                  <c:v>39356</c:v>
                </c:pt>
                <c:pt idx="35">
                  <c:v>39353</c:v>
                </c:pt>
                <c:pt idx="36">
                  <c:v>39352</c:v>
                </c:pt>
                <c:pt idx="37">
                  <c:v>39346</c:v>
                </c:pt>
                <c:pt idx="38">
                  <c:v>39345</c:v>
                </c:pt>
                <c:pt idx="39">
                  <c:v>39344</c:v>
                </c:pt>
                <c:pt idx="40">
                  <c:v>39343</c:v>
                </c:pt>
                <c:pt idx="41">
                  <c:v>39342</c:v>
                </c:pt>
                <c:pt idx="42">
                  <c:v>39339</c:v>
                </c:pt>
                <c:pt idx="43">
                  <c:v>39338</c:v>
                </c:pt>
                <c:pt idx="44">
                  <c:v>39337</c:v>
                </c:pt>
                <c:pt idx="45">
                  <c:v>39336</c:v>
                </c:pt>
                <c:pt idx="46">
                  <c:v>39335</c:v>
                </c:pt>
                <c:pt idx="47">
                  <c:v>39332</c:v>
                </c:pt>
                <c:pt idx="48">
                  <c:v>39331</c:v>
                </c:pt>
                <c:pt idx="49">
                  <c:v>39330</c:v>
                </c:pt>
                <c:pt idx="50">
                  <c:v>39329</c:v>
                </c:pt>
                <c:pt idx="51">
                  <c:v>39328</c:v>
                </c:pt>
                <c:pt idx="52">
                  <c:v>39325</c:v>
                </c:pt>
                <c:pt idx="53">
                  <c:v>39324</c:v>
                </c:pt>
                <c:pt idx="54">
                  <c:v>39323</c:v>
                </c:pt>
                <c:pt idx="55">
                  <c:v>39322</c:v>
                </c:pt>
                <c:pt idx="56">
                  <c:v>39321</c:v>
                </c:pt>
                <c:pt idx="57">
                  <c:v>39318</c:v>
                </c:pt>
                <c:pt idx="58">
                  <c:v>39317</c:v>
                </c:pt>
                <c:pt idx="59">
                  <c:v>39316</c:v>
                </c:pt>
              </c:numCache>
            </c:numRef>
          </c:cat>
          <c:val>
            <c:numRef>
              <c:f>s!$M$15:$M$74</c:f>
              <c:numCache>
                <c:formatCode>#,##0</c:formatCode>
                <c:ptCount val="60"/>
                <c:pt idx="0">
                  <c:v>23975</c:v>
                </c:pt>
                <c:pt idx="1">
                  <c:v>24390</c:v>
                </c:pt>
                <c:pt idx="2">
                  <c:v>24600</c:v>
                </c:pt>
                <c:pt idx="3">
                  <c:v>24890</c:v>
                </c:pt>
                <c:pt idx="4">
                  <c:v>24500</c:v>
                </c:pt>
                <c:pt idx="5">
                  <c:v>24400</c:v>
                </c:pt>
                <c:pt idx="6">
                  <c:v>25120</c:v>
                </c:pt>
                <c:pt idx="7">
                  <c:v>24985</c:v>
                </c:pt>
                <c:pt idx="8">
                  <c:v>25710</c:v>
                </c:pt>
                <c:pt idx="9">
                  <c:v>25880</c:v>
                </c:pt>
                <c:pt idx="10">
                  <c:v>25330</c:v>
                </c:pt>
                <c:pt idx="11">
                  <c:v>25395</c:v>
                </c:pt>
                <c:pt idx="12">
                  <c:v>26000</c:v>
                </c:pt>
                <c:pt idx="13">
                  <c:v>26150</c:v>
                </c:pt>
                <c:pt idx="14">
                  <c:v>25840</c:v>
                </c:pt>
                <c:pt idx="15">
                  <c:v>25760</c:v>
                </c:pt>
                <c:pt idx="16">
                  <c:v>25451</c:v>
                </c:pt>
                <c:pt idx="17">
                  <c:v>24827</c:v>
                </c:pt>
                <c:pt idx="18">
                  <c:v>24303</c:v>
                </c:pt>
                <c:pt idx="19">
                  <c:v>24438</c:v>
                </c:pt>
                <c:pt idx="20">
                  <c:v>23929</c:v>
                </c:pt>
                <c:pt idx="21">
                  <c:v>24787</c:v>
                </c:pt>
                <c:pt idx="22">
                  <c:v>25171</c:v>
                </c:pt>
                <c:pt idx="23">
                  <c:v>24842</c:v>
                </c:pt>
                <c:pt idx="24">
                  <c:v>25311</c:v>
                </c:pt>
                <c:pt idx="25">
                  <c:v>25715</c:v>
                </c:pt>
                <c:pt idx="26">
                  <c:v>25675</c:v>
                </c:pt>
                <c:pt idx="27">
                  <c:v>26154</c:v>
                </c:pt>
                <c:pt idx="28">
                  <c:v>25920</c:v>
                </c:pt>
                <c:pt idx="29">
                  <c:v>25585</c:v>
                </c:pt>
                <c:pt idx="30">
                  <c:v>25565</c:v>
                </c:pt>
                <c:pt idx="31">
                  <c:v>25451</c:v>
                </c:pt>
                <c:pt idx="32">
                  <c:v>25550</c:v>
                </c:pt>
                <c:pt idx="33">
                  <c:v>25476</c:v>
                </c:pt>
                <c:pt idx="34">
                  <c:v>24902</c:v>
                </c:pt>
                <c:pt idx="35">
                  <c:v>24687</c:v>
                </c:pt>
                <c:pt idx="36">
                  <c:v>24682</c:v>
                </c:pt>
                <c:pt idx="37">
                  <c:v>24323</c:v>
                </c:pt>
                <c:pt idx="38">
                  <c:v>24143</c:v>
                </c:pt>
                <c:pt idx="39">
                  <c:v>24158</c:v>
                </c:pt>
                <c:pt idx="40">
                  <c:v>23230</c:v>
                </c:pt>
                <c:pt idx="41">
                  <c:v>23624</c:v>
                </c:pt>
                <c:pt idx="42">
                  <c:v>23644</c:v>
                </c:pt>
                <c:pt idx="43">
                  <c:v>23300</c:v>
                </c:pt>
                <c:pt idx="44">
                  <c:v>22955</c:v>
                </c:pt>
                <c:pt idx="45">
                  <c:v>23454</c:v>
                </c:pt>
                <c:pt idx="46">
                  <c:v>23255</c:v>
                </c:pt>
                <c:pt idx="47">
                  <c:v>23854</c:v>
                </c:pt>
                <c:pt idx="48">
                  <c:v>23954</c:v>
                </c:pt>
                <c:pt idx="49">
                  <c:v>23754</c:v>
                </c:pt>
                <c:pt idx="50">
                  <c:v>23829</c:v>
                </c:pt>
                <c:pt idx="51">
                  <c:v>23854</c:v>
                </c:pt>
                <c:pt idx="52">
                  <c:v>23909</c:v>
                </c:pt>
                <c:pt idx="53">
                  <c:v>23469</c:v>
                </c:pt>
                <c:pt idx="54">
                  <c:v>23265</c:v>
                </c:pt>
                <c:pt idx="55">
                  <c:v>23225</c:v>
                </c:pt>
                <c:pt idx="56">
                  <c:v>22861</c:v>
                </c:pt>
                <c:pt idx="57">
                  <c:v>22676</c:v>
                </c:pt>
                <c:pt idx="58">
                  <c:v>22876</c:v>
                </c:pt>
                <c:pt idx="59">
                  <c:v>22387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8A-4752-93BE-8697F9222A5E}"/>
            </c:ext>
          </c:extLst>
        </c:ser>
        <c:ser>
          <c:idx val="1"/>
          <c:order val="1"/>
          <c:tx>
            <c:strRef>
              <c:f>s!$N$13</c:f>
              <c:strCache>
                <c:ptCount val="1"/>
                <c:pt idx="0">
                  <c:v>수정주가 (5일 평균)(원)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s!$L$15:$L$74</c:f>
              <c:numCache>
                <c:formatCode>m/d/yyyy</c:formatCode>
                <c:ptCount val="60"/>
                <c:pt idx="0">
                  <c:v>39405</c:v>
                </c:pt>
                <c:pt idx="1">
                  <c:v>39402</c:v>
                </c:pt>
                <c:pt idx="2">
                  <c:v>39401</c:v>
                </c:pt>
                <c:pt idx="3">
                  <c:v>39400</c:v>
                </c:pt>
                <c:pt idx="4">
                  <c:v>39399</c:v>
                </c:pt>
                <c:pt idx="5">
                  <c:v>39398</c:v>
                </c:pt>
                <c:pt idx="6">
                  <c:v>39395</c:v>
                </c:pt>
                <c:pt idx="7">
                  <c:v>39394</c:v>
                </c:pt>
                <c:pt idx="8">
                  <c:v>39393</c:v>
                </c:pt>
                <c:pt idx="9">
                  <c:v>39392</c:v>
                </c:pt>
                <c:pt idx="10">
                  <c:v>39391</c:v>
                </c:pt>
                <c:pt idx="11">
                  <c:v>39388</c:v>
                </c:pt>
                <c:pt idx="12">
                  <c:v>39387</c:v>
                </c:pt>
                <c:pt idx="13">
                  <c:v>39386</c:v>
                </c:pt>
                <c:pt idx="14">
                  <c:v>39385</c:v>
                </c:pt>
                <c:pt idx="15">
                  <c:v>39384</c:v>
                </c:pt>
                <c:pt idx="16">
                  <c:v>39381</c:v>
                </c:pt>
                <c:pt idx="17">
                  <c:v>39380</c:v>
                </c:pt>
                <c:pt idx="18">
                  <c:v>39379</c:v>
                </c:pt>
                <c:pt idx="19">
                  <c:v>39378</c:v>
                </c:pt>
                <c:pt idx="20">
                  <c:v>39377</c:v>
                </c:pt>
                <c:pt idx="21">
                  <c:v>39374</c:v>
                </c:pt>
                <c:pt idx="22">
                  <c:v>39373</c:v>
                </c:pt>
                <c:pt idx="23">
                  <c:v>39372</c:v>
                </c:pt>
                <c:pt idx="24">
                  <c:v>39371</c:v>
                </c:pt>
                <c:pt idx="25">
                  <c:v>39370</c:v>
                </c:pt>
                <c:pt idx="26">
                  <c:v>39367</c:v>
                </c:pt>
                <c:pt idx="27">
                  <c:v>39366</c:v>
                </c:pt>
                <c:pt idx="28">
                  <c:v>39365</c:v>
                </c:pt>
                <c:pt idx="29">
                  <c:v>39364</c:v>
                </c:pt>
                <c:pt idx="30">
                  <c:v>39363</c:v>
                </c:pt>
                <c:pt idx="31">
                  <c:v>39360</c:v>
                </c:pt>
                <c:pt idx="32">
                  <c:v>39359</c:v>
                </c:pt>
                <c:pt idx="33">
                  <c:v>39357</c:v>
                </c:pt>
                <c:pt idx="34">
                  <c:v>39356</c:v>
                </c:pt>
                <c:pt idx="35">
                  <c:v>39353</c:v>
                </c:pt>
                <c:pt idx="36">
                  <c:v>39352</c:v>
                </c:pt>
                <c:pt idx="37">
                  <c:v>39346</c:v>
                </c:pt>
                <c:pt idx="38">
                  <c:v>39345</c:v>
                </c:pt>
                <c:pt idx="39">
                  <c:v>39344</c:v>
                </c:pt>
                <c:pt idx="40">
                  <c:v>39343</c:v>
                </c:pt>
                <c:pt idx="41">
                  <c:v>39342</c:v>
                </c:pt>
                <c:pt idx="42">
                  <c:v>39339</c:v>
                </c:pt>
                <c:pt idx="43">
                  <c:v>39338</c:v>
                </c:pt>
                <c:pt idx="44">
                  <c:v>39337</c:v>
                </c:pt>
                <c:pt idx="45">
                  <c:v>39336</c:v>
                </c:pt>
                <c:pt idx="46">
                  <c:v>39335</c:v>
                </c:pt>
                <c:pt idx="47">
                  <c:v>39332</c:v>
                </c:pt>
                <c:pt idx="48">
                  <c:v>39331</c:v>
                </c:pt>
                <c:pt idx="49">
                  <c:v>39330</c:v>
                </c:pt>
                <c:pt idx="50">
                  <c:v>39329</c:v>
                </c:pt>
                <c:pt idx="51">
                  <c:v>39328</c:v>
                </c:pt>
                <c:pt idx="52">
                  <c:v>39325</c:v>
                </c:pt>
                <c:pt idx="53">
                  <c:v>39324</c:v>
                </c:pt>
                <c:pt idx="54">
                  <c:v>39323</c:v>
                </c:pt>
                <c:pt idx="55">
                  <c:v>39322</c:v>
                </c:pt>
                <c:pt idx="56">
                  <c:v>39321</c:v>
                </c:pt>
                <c:pt idx="57">
                  <c:v>39318</c:v>
                </c:pt>
                <c:pt idx="58">
                  <c:v>39317</c:v>
                </c:pt>
                <c:pt idx="59">
                  <c:v>39316</c:v>
                </c:pt>
              </c:numCache>
            </c:numRef>
          </c:cat>
          <c:val>
            <c:numRef>
              <c:f>s!$N$15:$N$74</c:f>
              <c:numCache>
                <c:formatCode>#,##0</c:formatCode>
                <c:ptCount val="60"/>
                <c:pt idx="0">
                  <c:v>24471</c:v>
                </c:pt>
                <c:pt idx="1">
                  <c:v>24556</c:v>
                </c:pt>
                <c:pt idx="2">
                  <c:v>24702</c:v>
                </c:pt>
                <c:pt idx="3">
                  <c:v>24779</c:v>
                </c:pt>
                <c:pt idx="4">
                  <c:v>24943</c:v>
                </c:pt>
                <c:pt idx="5">
                  <c:v>25219</c:v>
                </c:pt>
                <c:pt idx="6">
                  <c:v>25405</c:v>
                </c:pt>
                <c:pt idx="7">
                  <c:v>25460</c:v>
                </c:pt>
                <c:pt idx="8">
                  <c:v>25663</c:v>
                </c:pt>
                <c:pt idx="9">
                  <c:v>25751</c:v>
                </c:pt>
                <c:pt idx="10">
                  <c:v>25743</c:v>
                </c:pt>
                <c:pt idx="11">
                  <c:v>25829</c:v>
                </c:pt>
                <c:pt idx="12">
                  <c:v>25840</c:v>
                </c:pt>
                <c:pt idx="13">
                  <c:v>25605</c:v>
                </c:pt>
                <c:pt idx="14">
                  <c:v>25236</c:v>
                </c:pt>
                <c:pt idx="15">
                  <c:v>24956</c:v>
                </c:pt>
                <c:pt idx="16">
                  <c:v>24589</c:v>
                </c:pt>
                <c:pt idx="17">
                  <c:v>24457</c:v>
                </c:pt>
                <c:pt idx="18">
                  <c:v>24525</c:v>
                </c:pt>
                <c:pt idx="19">
                  <c:v>24633</c:v>
                </c:pt>
                <c:pt idx="20">
                  <c:v>24808</c:v>
                </c:pt>
                <c:pt idx="21">
                  <c:v>25165</c:v>
                </c:pt>
                <c:pt idx="22">
                  <c:v>25343</c:v>
                </c:pt>
                <c:pt idx="23">
                  <c:v>25539</c:v>
                </c:pt>
                <c:pt idx="24">
                  <c:v>25755</c:v>
                </c:pt>
                <c:pt idx="25">
                  <c:v>25810</c:v>
                </c:pt>
                <c:pt idx="26">
                  <c:v>25780</c:v>
                </c:pt>
                <c:pt idx="27">
                  <c:v>25735</c:v>
                </c:pt>
                <c:pt idx="28">
                  <c:v>25614</c:v>
                </c:pt>
                <c:pt idx="29">
                  <c:v>25525</c:v>
                </c:pt>
                <c:pt idx="30">
                  <c:v>25389</c:v>
                </c:pt>
                <c:pt idx="31">
                  <c:v>25213</c:v>
                </c:pt>
                <c:pt idx="32">
                  <c:v>25059</c:v>
                </c:pt>
                <c:pt idx="33">
                  <c:v>24814</c:v>
                </c:pt>
                <c:pt idx="34">
                  <c:v>24547</c:v>
                </c:pt>
                <c:pt idx="35">
                  <c:v>24399</c:v>
                </c:pt>
                <c:pt idx="36">
                  <c:v>24107</c:v>
                </c:pt>
                <c:pt idx="37">
                  <c:v>23896</c:v>
                </c:pt>
                <c:pt idx="38">
                  <c:v>23760</c:v>
                </c:pt>
                <c:pt idx="39">
                  <c:v>23591</c:v>
                </c:pt>
                <c:pt idx="40">
                  <c:v>23351</c:v>
                </c:pt>
                <c:pt idx="41">
                  <c:v>23396</c:v>
                </c:pt>
                <c:pt idx="42">
                  <c:v>23322</c:v>
                </c:pt>
                <c:pt idx="43">
                  <c:v>23364</c:v>
                </c:pt>
                <c:pt idx="44">
                  <c:v>23494</c:v>
                </c:pt>
                <c:pt idx="45">
                  <c:v>23654</c:v>
                </c:pt>
                <c:pt idx="46">
                  <c:v>23729</c:v>
                </c:pt>
                <c:pt idx="47">
                  <c:v>23849</c:v>
                </c:pt>
                <c:pt idx="48">
                  <c:v>23860</c:v>
                </c:pt>
                <c:pt idx="49">
                  <c:v>23763</c:v>
                </c:pt>
                <c:pt idx="50">
                  <c:v>23665</c:v>
                </c:pt>
                <c:pt idx="51">
                  <c:v>23544</c:v>
                </c:pt>
                <c:pt idx="52">
                  <c:v>23346</c:v>
                </c:pt>
                <c:pt idx="53">
                  <c:v>23099</c:v>
                </c:pt>
                <c:pt idx="54">
                  <c:v>22980</c:v>
                </c:pt>
                <c:pt idx="55">
                  <c:v>22805</c:v>
                </c:pt>
                <c:pt idx="56">
                  <c:v>22556</c:v>
                </c:pt>
                <c:pt idx="57">
                  <c:v>22388</c:v>
                </c:pt>
                <c:pt idx="58">
                  <c:v>22044</c:v>
                </c:pt>
                <c:pt idx="59">
                  <c:v>21800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8A-4752-93BE-8697F9222A5E}"/>
            </c:ext>
          </c:extLst>
        </c:ser>
        <c:ser>
          <c:idx val="2"/>
          <c:order val="2"/>
          <c:tx>
            <c:strRef>
              <c:f>s!$O$13</c:f>
              <c:strCache>
                <c:ptCount val="1"/>
                <c:pt idx="0">
                  <c:v>수정주가 (20일 평균)(원)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s!$L$15:$L$74</c:f>
              <c:numCache>
                <c:formatCode>m/d/yyyy</c:formatCode>
                <c:ptCount val="60"/>
                <c:pt idx="0">
                  <c:v>39405</c:v>
                </c:pt>
                <c:pt idx="1">
                  <c:v>39402</c:v>
                </c:pt>
                <c:pt idx="2">
                  <c:v>39401</c:v>
                </c:pt>
                <c:pt idx="3">
                  <c:v>39400</c:v>
                </c:pt>
                <c:pt idx="4">
                  <c:v>39399</c:v>
                </c:pt>
                <c:pt idx="5">
                  <c:v>39398</c:v>
                </c:pt>
                <c:pt idx="6">
                  <c:v>39395</c:v>
                </c:pt>
                <c:pt idx="7">
                  <c:v>39394</c:v>
                </c:pt>
                <c:pt idx="8">
                  <c:v>39393</c:v>
                </c:pt>
                <c:pt idx="9">
                  <c:v>39392</c:v>
                </c:pt>
                <c:pt idx="10">
                  <c:v>39391</c:v>
                </c:pt>
                <c:pt idx="11">
                  <c:v>39388</c:v>
                </c:pt>
                <c:pt idx="12">
                  <c:v>39387</c:v>
                </c:pt>
                <c:pt idx="13">
                  <c:v>39386</c:v>
                </c:pt>
                <c:pt idx="14">
                  <c:v>39385</c:v>
                </c:pt>
                <c:pt idx="15">
                  <c:v>39384</c:v>
                </c:pt>
                <c:pt idx="16">
                  <c:v>39381</c:v>
                </c:pt>
                <c:pt idx="17">
                  <c:v>39380</c:v>
                </c:pt>
                <c:pt idx="18">
                  <c:v>39379</c:v>
                </c:pt>
                <c:pt idx="19">
                  <c:v>39378</c:v>
                </c:pt>
                <c:pt idx="20">
                  <c:v>39377</c:v>
                </c:pt>
                <c:pt idx="21">
                  <c:v>39374</c:v>
                </c:pt>
                <c:pt idx="22">
                  <c:v>39373</c:v>
                </c:pt>
                <c:pt idx="23">
                  <c:v>39372</c:v>
                </c:pt>
                <c:pt idx="24">
                  <c:v>39371</c:v>
                </c:pt>
                <c:pt idx="25">
                  <c:v>39370</c:v>
                </c:pt>
                <c:pt idx="26">
                  <c:v>39367</c:v>
                </c:pt>
                <c:pt idx="27">
                  <c:v>39366</c:v>
                </c:pt>
                <c:pt idx="28">
                  <c:v>39365</c:v>
                </c:pt>
                <c:pt idx="29">
                  <c:v>39364</c:v>
                </c:pt>
                <c:pt idx="30">
                  <c:v>39363</c:v>
                </c:pt>
                <c:pt idx="31">
                  <c:v>39360</c:v>
                </c:pt>
                <c:pt idx="32">
                  <c:v>39359</c:v>
                </c:pt>
                <c:pt idx="33">
                  <c:v>39357</c:v>
                </c:pt>
                <c:pt idx="34">
                  <c:v>39356</c:v>
                </c:pt>
                <c:pt idx="35">
                  <c:v>39353</c:v>
                </c:pt>
                <c:pt idx="36">
                  <c:v>39352</c:v>
                </c:pt>
                <c:pt idx="37">
                  <c:v>39346</c:v>
                </c:pt>
                <c:pt idx="38">
                  <c:v>39345</c:v>
                </c:pt>
                <c:pt idx="39">
                  <c:v>39344</c:v>
                </c:pt>
                <c:pt idx="40">
                  <c:v>39343</c:v>
                </c:pt>
                <c:pt idx="41">
                  <c:v>39342</c:v>
                </c:pt>
                <c:pt idx="42">
                  <c:v>39339</c:v>
                </c:pt>
                <c:pt idx="43">
                  <c:v>39338</c:v>
                </c:pt>
                <c:pt idx="44">
                  <c:v>39337</c:v>
                </c:pt>
                <c:pt idx="45">
                  <c:v>39336</c:v>
                </c:pt>
                <c:pt idx="46">
                  <c:v>39335</c:v>
                </c:pt>
                <c:pt idx="47">
                  <c:v>39332</c:v>
                </c:pt>
                <c:pt idx="48">
                  <c:v>39331</c:v>
                </c:pt>
                <c:pt idx="49">
                  <c:v>39330</c:v>
                </c:pt>
                <c:pt idx="50">
                  <c:v>39329</c:v>
                </c:pt>
                <c:pt idx="51">
                  <c:v>39328</c:v>
                </c:pt>
                <c:pt idx="52">
                  <c:v>39325</c:v>
                </c:pt>
                <c:pt idx="53">
                  <c:v>39324</c:v>
                </c:pt>
                <c:pt idx="54">
                  <c:v>39323</c:v>
                </c:pt>
                <c:pt idx="55">
                  <c:v>39322</c:v>
                </c:pt>
                <c:pt idx="56">
                  <c:v>39321</c:v>
                </c:pt>
                <c:pt idx="57">
                  <c:v>39318</c:v>
                </c:pt>
                <c:pt idx="58">
                  <c:v>39317</c:v>
                </c:pt>
                <c:pt idx="59">
                  <c:v>39316</c:v>
                </c:pt>
              </c:numCache>
            </c:numRef>
          </c:cat>
          <c:val>
            <c:numRef>
              <c:f>s!$O$15:$O$74</c:f>
              <c:numCache>
                <c:formatCode>#,##0</c:formatCode>
                <c:ptCount val="60"/>
                <c:pt idx="0">
                  <c:v>25097</c:v>
                </c:pt>
                <c:pt idx="1">
                  <c:v>25095</c:v>
                </c:pt>
                <c:pt idx="2">
                  <c:v>25115</c:v>
                </c:pt>
                <c:pt idx="3">
                  <c:v>25143</c:v>
                </c:pt>
                <c:pt idx="4">
                  <c:v>25141</c:v>
                </c:pt>
                <c:pt idx="5">
                  <c:v>25181</c:v>
                </c:pt>
                <c:pt idx="6">
                  <c:v>25247</c:v>
                </c:pt>
                <c:pt idx="7">
                  <c:v>25275</c:v>
                </c:pt>
                <c:pt idx="8">
                  <c:v>25333</c:v>
                </c:pt>
                <c:pt idx="9">
                  <c:v>25344</c:v>
                </c:pt>
                <c:pt idx="10">
                  <c:v>25329</c:v>
                </c:pt>
                <c:pt idx="11">
                  <c:v>25341</c:v>
                </c:pt>
                <c:pt idx="12">
                  <c:v>25344</c:v>
                </c:pt>
                <c:pt idx="13">
                  <c:v>25321</c:v>
                </c:pt>
                <c:pt idx="14">
                  <c:v>25287</c:v>
                </c:pt>
                <c:pt idx="15">
                  <c:v>25241</c:v>
                </c:pt>
                <c:pt idx="16">
                  <c:v>25187</c:v>
                </c:pt>
                <c:pt idx="17">
                  <c:v>25148</c:v>
                </c:pt>
                <c:pt idx="18">
                  <c:v>25123</c:v>
                </c:pt>
                <c:pt idx="19">
                  <c:v>25115</c:v>
                </c:pt>
                <c:pt idx="20">
                  <c:v>25101</c:v>
                </c:pt>
                <c:pt idx="21">
                  <c:v>25066</c:v>
                </c:pt>
                <c:pt idx="22">
                  <c:v>25008</c:v>
                </c:pt>
                <c:pt idx="23">
                  <c:v>24932</c:v>
                </c:pt>
                <c:pt idx="24">
                  <c:v>24855</c:v>
                </c:pt>
                <c:pt idx="25">
                  <c:v>24737</c:v>
                </c:pt>
                <c:pt idx="26">
                  <c:v>24624</c:v>
                </c:pt>
                <c:pt idx="27">
                  <c:v>24503</c:v>
                </c:pt>
                <c:pt idx="28">
                  <c:v>24388</c:v>
                </c:pt>
                <c:pt idx="29">
                  <c:v>24290</c:v>
                </c:pt>
                <c:pt idx="30">
                  <c:v>24198</c:v>
                </c:pt>
                <c:pt idx="31">
                  <c:v>24111</c:v>
                </c:pt>
                <c:pt idx="32">
                  <c:v>24031</c:v>
                </c:pt>
                <c:pt idx="33">
                  <c:v>23949</c:v>
                </c:pt>
                <c:pt idx="34">
                  <c:v>23849</c:v>
                </c:pt>
                <c:pt idx="35">
                  <c:v>23767</c:v>
                </c:pt>
                <c:pt idx="36">
                  <c:v>23694</c:v>
                </c:pt>
                <c:pt idx="37">
                  <c:v>23603</c:v>
                </c:pt>
                <c:pt idx="38">
                  <c:v>23521</c:v>
                </c:pt>
                <c:pt idx="39">
                  <c:v>23457</c:v>
                </c:pt>
                <c:pt idx="40">
                  <c:v>23369</c:v>
                </c:pt>
                <c:pt idx="41">
                  <c:v>23306</c:v>
                </c:pt>
                <c:pt idx="42">
                  <c:v>23226</c:v>
                </c:pt>
                <c:pt idx="43">
                  <c:v>23092</c:v>
                </c:pt>
                <c:pt idx="44">
                  <c:v>23009</c:v>
                </c:pt>
                <c:pt idx="45">
                  <c:v>23014</c:v>
                </c:pt>
                <c:pt idx="46">
                  <c:v>23009</c:v>
                </c:pt>
                <c:pt idx="47">
                  <c:v>22996</c:v>
                </c:pt>
                <c:pt idx="48">
                  <c:v>23008</c:v>
                </c:pt>
                <c:pt idx="49">
                  <c:v>23010</c:v>
                </c:pt>
                <c:pt idx="50">
                  <c:v>22997</c:v>
                </c:pt>
                <c:pt idx="51">
                  <c:v>22973</c:v>
                </c:pt>
                <c:pt idx="52">
                  <c:v>22965</c:v>
                </c:pt>
                <c:pt idx="53">
                  <c:v>22937</c:v>
                </c:pt>
                <c:pt idx="54">
                  <c:v>22934</c:v>
                </c:pt>
                <c:pt idx="55">
                  <c:v>22994</c:v>
                </c:pt>
                <c:pt idx="56">
                  <c:v>23043</c:v>
                </c:pt>
                <c:pt idx="57">
                  <c:v>23085</c:v>
                </c:pt>
                <c:pt idx="58">
                  <c:v>23196</c:v>
                </c:pt>
                <c:pt idx="59">
                  <c:v>23320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8A-4752-93BE-8697F9222A5E}"/>
            </c:ext>
          </c:extLst>
        </c:ser>
        <c:ser>
          <c:idx val="3"/>
          <c:order val="3"/>
          <c:tx>
            <c:strRef>
              <c:f>s!$P$13</c:f>
              <c:strCache>
                <c:ptCount val="1"/>
                <c:pt idx="0">
                  <c:v>수정주가 (60일 평균)(원)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cat>
            <c:numRef>
              <c:f>s!$L$15:$L$74</c:f>
              <c:numCache>
                <c:formatCode>m/d/yyyy</c:formatCode>
                <c:ptCount val="60"/>
                <c:pt idx="0">
                  <c:v>39405</c:v>
                </c:pt>
                <c:pt idx="1">
                  <c:v>39402</c:v>
                </c:pt>
                <c:pt idx="2">
                  <c:v>39401</c:v>
                </c:pt>
                <c:pt idx="3">
                  <c:v>39400</c:v>
                </c:pt>
                <c:pt idx="4">
                  <c:v>39399</c:v>
                </c:pt>
                <c:pt idx="5">
                  <c:v>39398</c:v>
                </c:pt>
                <c:pt idx="6">
                  <c:v>39395</c:v>
                </c:pt>
                <c:pt idx="7">
                  <c:v>39394</c:v>
                </c:pt>
                <c:pt idx="8">
                  <c:v>39393</c:v>
                </c:pt>
                <c:pt idx="9">
                  <c:v>39392</c:v>
                </c:pt>
                <c:pt idx="10">
                  <c:v>39391</c:v>
                </c:pt>
                <c:pt idx="11">
                  <c:v>39388</c:v>
                </c:pt>
                <c:pt idx="12">
                  <c:v>39387</c:v>
                </c:pt>
                <c:pt idx="13">
                  <c:v>39386</c:v>
                </c:pt>
                <c:pt idx="14">
                  <c:v>39385</c:v>
                </c:pt>
                <c:pt idx="15">
                  <c:v>39384</c:v>
                </c:pt>
                <c:pt idx="16">
                  <c:v>39381</c:v>
                </c:pt>
                <c:pt idx="17">
                  <c:v>39380</c:v>
                </c:pt>
                <c:pt idx="18">
                  <c:v>39379</c:v>
                </c:pt>
                <c:pt idx="19">
                  <c:v>39378</c:v>
                </c:pt>
                <c:pt idx="20">
                  <c:v>39377</c:v>
                </c:pt>
                <c:pt idx="21">
                  <c:v>39374</c:v>
                </c:pt>
                <c:pt idx="22">
                  <c:v>39373</c:v>
                </c:pt>
                <c:pt idx="23">
                  <c:v>39372</c:v>
                </c:pt>
                <c:pt idx="24">
                  <c:v>39371</c:v>
                </c:pt>
                <c:pt idx="25">
                  <c:v>39370</c:v>
                </c:pt>
                <c:pt idx="26">
                  <c:v>39367</c:v>
                </c:pt>
                <c:pt idx="27">
                  <c:v>39366</c:v>
                </c:pt>
                <c:pt idx="28">
                  <c:v>39365</c:v>
                </c:pt>
                <c:pt idx="29">
                  <c:v>39364</c:v>
                </c:pt>
                <c:pt idx="30">
                  <c:v>39363</c:v>
                </c:pt>
                <c:pt idx="31">
                  <c:v>39360</c:v>
                </c:pt>
                <c:pt idx="32">
                  <c:v>39359</c:v>
                </c:pt>
                <c:pt idx="33">
                  <c:v>39357</c:v>
                </c:pt>
                <c:pt idx="34">
                  <c:v>39356</c:v>
                </c:pt>
                <c:pt idx="35">
                  <c:v>39353</c:v>
                </c:pt>
                <c:pt idx="36">
                  <c:v>39352</c:v>
                </c:pt>
                <c:pt idx="37">
                  <c:v>39346</c:v>
                </c:pt>
                <c:pt idx="38">
                  <c:v>39345</c:v>
                </c:pt>
                <c:pt idx="39">
                  <c:v>39344</c:v>
                </c:pt>
                <c:pt idx="40">
                  <c:v>39343</c:v>
                </c:pt>
                <c:pt idx="41">
                  <c:v>39342</c:v>
                </c:pt>
                <c:pt idx="42">
                  <c:v>39339</c:v>
                </c:pt>
                <c:pt idx="43">
                  <c:v>39338</c:v>
                </c:pt>
                <c:pt idx="44">
                  <c:v>39337</c:v>
                </c:pt>
                <c:pt idx="45">
                  <c:v>39336</c:v>
                </c:pt>
                <c:pt idx="46">
                  <c:v>39335</c:v>
                </c:pt>
                <c:pt idx="47">
                  <c:v>39332</c:v>
                </c:pt>
                <c:pt idx="48">
                  <c:v>39331</c:v>
                </c:pt>
                <c:pt idx="49">
                  <c:v>39330</c:v>
                </c:pt>
                <c:pt idx="50">
                  <c:v>39329</c:v>
                </c:pt>
                <c:pt idx="51">
                  <c:v>39328</c:v>
                </c:pt>
                <c:pt idx="52">
                  <c:v>39325</c:v>
                </c:pt>
                <c:pt idx="53">
                  <c:v>39324</c:v>
                </c:pt>
                <c:pt idx="54">
                  <c:v>39323</c:v>
                </c:pt>
                <c:pt idx="55">
                  <c:v>39322</c:v>
                </c:pt>
                <c:pt idx="56">
                  <c:v>39321</c:v>
                </c:pt>
                <c:pt idx="57">
                  <c:v>39318</c:v>
                </c:pt>
                <c:pt idx="58">
                  <c:v>39317</c:v>
                </c:pt>
                <c:pt idx="59">
                  <c:v>39316</c:v>
                </c:pt>
              </c:numCache>
            </c:numRef>
          </c:cat>
          <c:val>
            <c:numRef>
              <c:f>s!$P$15:$P$74</c:f>
              <c:numCache>
                <c:formatCode>#,##0</c:formatCode>
                <c:ptCount val="60"/>
                <c:pt idx="0">
                  <c:v>24522</c:v>
                </c:pt>
                <c:pt idx="1">
                  <c:v>24489</c:v>
                </c:pt>
                <c:pt idx="2">
                  <c:v>24450</c:v>
                </c:pt>
                <c:pt idx="3">
                  <c:v>24389</c:v>
                </c:pt>
                <c:pt idx="4">
                  <c:v>24335</c:v>
                </c:pt>
                <c:pt idx="5">
                  <c:v>24311</c:v>
                </c:pt>
                <c:pt idx="6">
                  <c:v>24293</c:v>
                </c:pt>
                <c:pt idx="7">
                  <c:v>24258</c:v>
                </c:pt>
                <c:pt idx="8">
                  <c:v>24243</c:v>
                </c:pt>
                <c:pt idx="9">
                  <c:v>24215</c:v>
                </c:pt>
                <c:pt idx="10">
                  <c:v>24175</c:v>
                </c:pt>
                <c:pt idx="11">
                  <c:v>24142</c:v>
                </c:pt>
                <c:pt idx="12">
                  <c:v>24113</c:v>
                </c:pt>
                <c:pt idx="13">
                  <c:v>24069</c:v>
                </c:pt>
                <c:pt idx="14">
                  <c:v>24024</c:v>
                </c:pt>
                <c:pt idx="15">
                  <c:v>24000</c:v>
                </c:pt>
                <c:pt idx="16">
                  <c:v>23974</c:v>
                </c:pt>
                <c:pt idx="17">
                  <c:v>23945</c:v>
                </c:pt>
                <c:pt idx="18">
                  <c:v>23946</c:v>
                </c:pt>
                <c:pt idx="19">
                  <c:v>23964</c:v>
                </c:pt>
                <c:pt idx="20">
                  <c:v>23975</c:v>
                </c:pt>
                <c:pt idx="21">
                  <c:v>23995</c:v>
                </c:pt>
                <c:pt idx="22">
                  <c:v>23997</c:v>
                </c:pt>
                <c:pt idx="23">
                  <c:v>23985</c:v>
                </c:pt>
                <c:pt idx="24">
                  <c:v>23978</c:v>
                </c:pt>
                <c:pt idx="25">
                  <c:v>23968</c:v>
                </c:pt>
                <c:pt idx="26">
                  <c:v>23953</c:v>
                </c:pt>
                <c:pt idx="27">
                  <c:v>23927</c:v>
                </c:pt>
                <c:pt idx="28">
                  <c:v>23888</c:v>
                </c:pt>
                <c:pt idx="29">
                  <c:v>23854</c:v>
                </c:pt>
                <c:pt idx="30">
                  <c:v>23823</c:v>
                </c:pt>
                <c:pt idx="31">
                  <c:v>23787</c:v>
                </c:pt>
                <c:pt idx="32">
                  <c:v>23751</c:v>
                </c:pt>
                <c:pt idx="33">
                  <c:v>23710</c:v>
                </c:pt>
                <c:pt idx="34">
                  <c:v>23664</c:v>
                </c:pt>
                <c:pt idx="35">
                  <c:v>23619</c:v>
                </c:pt>
                <c:pt idx="36">
                  <c:v>23576</c:v>
                </c:pt>
                <c:pt idx="37">
                  <c:v>23531</c:v>
                </c:pt>
                <c:pt idx="38">
                  <c:v>23487</c:v>
                </c:pt>
                <c:pt idx="39">
                  <c:v>23451</c:v>
                </c:pt>
                <c:pt idx="40">
                  <c:v>23416</c:v>
                </c:pt>
                <c:pt idx="41">
                  <c:v>23399</c:v>
                </c:pt>
                <c:pt idx="42">
                  <c:v>23380</c:v>
                </c:pt>
                <c:pt idx="43">
                  <c:v>23358</c:v>
                </c:pt>
                <c:pt idx="44">
                  <c:v>23346</c:v>
                </c:pt>
                <c:pt idx="45">
                  <c:v>23340</c:v>
                </c:pt>
                <c:pt idx="46">
                  <c:v>23318</c:v>
                </c:pt>
                <c:pt idx="47">
                  <c:v>23298</c:v>
                </c:pt>
                <c:pt idx="48">
                  <c:v>23262</c:v>
                </c:pt>
                <c:pt idx="49">
                  <c:v>23224</c:v>
                </c:pt>
                <c:pt idx="50">
                  <c:v>23188</c:v>
                </c:pt>
                <c:pt idx="51">
                  <c:v>23153</c:v>
                </c:pt>
                <c:pt idx="52">
                  <c:v>23123</c:v>
                </c:pt>
                <c:pt idx="53">
                  <c:v>23090</c:v>
                </c:pt>
                <c:pt idx="54">
                  <c:v>23064</c:v>
                </c:pt>
                <c:pt idx="55">
                  <c:v>23037</c:v>
                </c:pt>
                <c:pt idx="56">
                  <c:v>23009</c:v>
                </c:pt>
                <c:pt idx="57">
                  <c:v>22978</c:v>
                </c:pt>
                <c:pt idx="58">
                  <c:v>22949</c:v>
                </c:pt>
                <c:pt idx="59">
                  <c:v>22918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8A-4752-93BE-8697F9222A5E}"/>
            </c:ext>
          </c:extLst>
        </c:ser>
        <c:ser>
          <c:idx val="4"/>
          <c:order val="4"/>
          <c:tx>
            <c:strRef>
              <c:f>s!$Q$13</c:f>
              <c:strCache>
                <c:ptCount val="1"/>
                <c:pt idx="0">
                  <c:v>수정주가 (120일 평균)(원)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ysDash"/>
            </a:ln>
          </c:spPr>
          <c:marker>
            <c:symbol val="none"/>
          </c:marker>
          <c:cat>
            <c:numRef>
              <c:f>s!$L$15:$L$74</c:f>
              <c:numCache>
                <c:formatCode>m/d/yyyy</c:formatCode>
                <c:ptCount val="60"/>
                <c:pt idx="0">
                  <c:v>39405</c:v>
                </c:pt>
                <c:pt idx="1">
                  <c:v>39402</c:v>
                </c:pt>
                <c:pt idx="2">
                  <c:v>39401</c:v>
                </c:pt>
                <c:pt idx="3">
                  <c:v>39400</c:v>
                </c:pt>
                <c:pt idx="4">
                  <c:v>39399</c:v>
                </c:pt>
                <c:pt idx="5">
                  <c:v>39398</c:v>
                </c:pt>
                <c:pt idx="6">
                  <c:v>39395</c:v>
                </c:pt>
                <c:pt idx="7">
                  <c:v>39394</c:v>
                </c:pt>
                <c:pt idx="8">
                  <c:v>39393</c:v>
                </c:pt>
                <c:pt idx="9">
                  <c:v>39392</c:v>
                </c:pt>
                <c:pt idx="10">
                  <c:v>39391</c:v>
                </c:pt>
                <c:pt idx="11">
                  <c:v>39388</c:v>
                </c:pt>
                <c:pt idx="12">
                  <c:v>39387</c:v>
                </c:pt>
                <c:pt idx="13">
                  <c:v>39386</c:v>
                </c:pt>
                <c:pt idx="14">
                  <c:v>39385</c:v>
                </c:pt>
                <c:pt idx="15">
                  <c:v>39384</c:v>
                </c:pt>
                <c:pt idx="16">
                  <c:v>39381</c:v>
                </c:pt>
                <c:pt idx="17">
                  <c:v>39380</c:v>
                </c:pt>
                <c:pt idx="18">
                  <c:v>39379</c:v>
                </c:pt>
                <c:pt idx="19">
                  <c:v>39378</c:v>
                </c:pt>
                <c:pt idx="20">
                  <c:v>39377</c:v>
                </c:pt>
                <c:pt idx="21">
                  <c:v>39374</c:v>
                </c:pt>
                <c:pt idx="22">
                  <c:v>39373</c:v>
                </c:pt>
                <c:pt idx="23">
                  <c:v>39372</c:v>
                </c:pt>
                <c:pt idx="24">
                  <c:v>39371</c:v>
                </c:pt>
                <c:pt idx="25">
                  <c:v>39370</c:v>
                </c:pt>
                <c:pt idx="26">
                  <c:v>39367</c:v>
                </c:pt>
                <c:pt idx="27">
                  <c:v>39366</c:v>
                </c:pt>
                <c:pt idx="28">
                  <c:v>39365</c:v>
                </c:pt>
                <c:pt idx="29">
                  <c:v>39364</c:v>
                </c:pt>
                <c:pt idx="30">
                  <c:v>39363</c:v>
                </c:pt>
                <c:pt idx="31">
                  <c:v>39360</c:v>
                </c:pt>
                <c:pt idx="32">
                  <c:v>39359</c:v>
                </c:pt>
                <c:pt idx="33">
                  <c:v>39357</c:v>
                </c:pt>
                <c:pt idx="34">
                  <c:v>39356</c:v>
                </c:pt>
                <c:pt idx="35">
                  <c:v>39353</c:v>
                </c:pt>
                <c:pt idx="36">
                  <c:v>39352</c:v>
                </c:pt>
                <c:pt idx="37">
                  <c:v>39346</c:v>
                </c:pt>
                <c:pt idx="38">
                  <c:v>39345</c:v>
                </c:pt>
                <c:pt idx="39">
                  <c:v>39344</c:v>
                </c:pt>
                <c:pt idx="40">
                  <c:v>39343</c:v>
                </c:pt>
                <c:pt idx="41">
                  <c:v>39342</c:v>
                </c:pt>
                <c:pt idx="42">
                  <c:v>39339</c:v>
                </c:pt>
                <c:pt idx="43">
                  <c:v>39338</c:v>
                </c:pt>
                <c:pt idx="44">
                  <c:v>39337</c:v>
                </c:pt>
                <c:pt idx="45">
                  <c:v>39336</c:v>
                </c:pt>
                <c:pt idx="46">
                  <c:v>39335</c:v>
                </c:pt>
                <c:pt idx="47">
                  <c:v>39332</c:v>
                </c:pt>
                <c:pt idx="48">
                  <c:v>39331</c:v>
                </c:pt>
                <c:pt idx="49">
                  <c:v>39330</c:v>
                </c:pt>
                <c:pt idx="50">
                  <c:v>39329</c:v>
                </c:pt>
                <c:pt idx="51">
                  <c:v>39328</c:v>
                </c:pt>
                <c:pt idx="52">
                  <c:v>39325</c:v>
                </c:pt>
                <c:pt idx="53">
                  <c:v>39324</c:v>
                </c:pt>
                <c:pt idx="54">
                  <c:v>39323</c:v>
                </c:pt>
                <c:pt idx="55">
                  <c:v>39322</c:v>
                </c:pt>
                <c:pt idx="56">
                  <c:v>39321</c:v>
                </c:pt>
                <c:pt idx="57">
                  <c:v>39318</c:v>
                </c:pt>
                <c:pt idx="58">
                  <c:v>39317</c:v>
                </c:pt>
                <c:pt idx="59">
                  <c:v>39316</c:v>
                </c:pt>
              </c:numCache>
            </c:numRef>
          </c:cat>
          <c:val>
            <c:numRef>
              <c:f>s!$Q$15:$Q$74</c:f>
              <c:numCache>
                <c:formatCode>#,##0</c:formatCode>
                <c:ptCount val="60"/>
                <c:pt idx="0">
                  <c:v>23708</c:v>
                </c:pt>
                <c:pt idx="1">
                  <c:v>23682</c:v>
                </c:pt>
                <c:pt idx="2">
                  <c:v>23653</c:v>
                </c:pt>
                <c:pt idx="3">
                  <c:v>23620</c:v>
                </c:pt>
                <c:pt idx="4">
                  <c:v>23583</c:v>
                </c:pt>
                <c:pt idx="5">
                  <c:v>23550</c:v>
                </c:pt>
                <c:pt idx="6">
                  <c:v>23517</c:v>
                </c:pt>
                <c:pt idx="7">
                  <c:v>23476</c:v>
                </c:pt>
                <c:pt idx="8">
                  <c:v>23439</c:v>
                </c:pt>
                <c:pt idx="9">
                  <c:v>23395</c:v>
                </c:pt>
                <c:pt idx="10">
                  <c:v>23350</c:v>
                </c:pt>
                <c:pt idx="11">
                  <c:v>23308</c:v>
                </c:pt>
                <c:pt idx="12">
                  <c:v>23264</c:v>
                </c:pt>
                <c:pt idx="13">
                  <c:v>23216</c:v>
                </c:pt>
                <c:pt idx="14">
                  <c:v>23165</c:v>
                </c:pt>
                <c:pt idx="15">
                  <c:v>23115</c:v>
                </c:pt>
                <c:pt idx="16">
                  <c:v>23066</c:v>
                </c:pt>
                <c:pt idx="17">
                  <c:v>23019</c:v>
                </c:pt>
                <c:pt idx="18">
                  <c:v>22976</c:v>
                </c:pt>
                <c:pt idx="19">
                  <c:v>22940</c:v>
                </c:pt>
                <c:pt idx="20">
                  <c:v>22901</c:v>
                </c:pt>
                <c:pt idx="21">
                  <c:v>22867</c:v>
                </c:pt>
                <c:pt idx="22">
                  <c:v>22825</c:v>
                </c:pt>
                <c:pt idx="23">
                  <c:v>22779</c:v>
                </c:pt>
                <c:pt idx="24">
                  <c:v>22733</c:v>
                </c:pt>
                <c:pt idx="25">
                  <c:v>22686</c:v>
                </c:pt>
                <c:pt idx="26">
                  <c:v>22635</c:v>
                </c:pt>
                <c:pt idx="27">
                  <c:v>22584</c:v>
                </c:pt>
                <c:pt idx="28">
                  <c:v>22528</c:v>
                </c:pt>
                <c:pt idx="29">
                  <c:v>22475</c:v>
                </c:pt>
                <c:pt idx="30">
                  <c:v>22424</c:v>
                </c:pt>
                <c:pt idx="31">
                  <c:v>22371</c:v>
                </c:pt>
                <c:pt idx="32">
                  <c:v>22319</c:v>
                </c:pt>
                <c:pt idx="33">
                  <c:v>22265</c:v>
                </c:pt>
                <c:pt idx="34">
                  <c:v>22211</c:v>
                </c:pt>
                <c:pt idx="35">
                  <c:v>22162</c:v>
                </c:pt>
                <c:pt idx="36">
                  <c:v>22113</c:v>
                </c:pt>
                <c:pt idx="37">
                  <c:v>22064</c:v>
                </c:pt>
                <c:pt idx="38">
                  <c:v>22018</c:v>
                </c:pt>
                <c:pt idx="39">
                  <c:v>21973</c:v>
                </c:pt>
                <c:pt idx="40">
                  <c:v>21924</c:v>
                </c:pt>
                <c:pt idx="41">
                  <c:v>21887</c:v>
                </c:pt>
                <c:pt idx="42">
                  <c:v>21845</c:v>
                </c:pt>
                <c:pt idx="43">
                  <c:v>21802</c:v>
                </c:pt>
                <c:pt idx="44">
                  <c:v>21762</c:v>
                </c:pt>
                <c:pt idx="45">
                  <c:v>21725</c:v>
                </c:pt>
                <c:pt idx="46">
                  <c:v>21684</c:v>
                </c:pt>
                <c:pt idx="47">
                  <c:v>21643</c:v>
                </c:pt>
                <c:pt idx="48">
                  <c:v>21596</c:v>
                </c:pt>
                <c:pt idx="49">
                  <c:v>21549</c:v>
                </c:pt>
                <c:pt idx="50">
                  <c:v>21501</c:v>
                </c:pt>
                <c:pt idx="51">
                  <c:v>21455</c:v>
                </c:pt>
                <c:pt idx="52">
                  <c:v>21409</c:v>
                </c:pt>
                <c:pt idx="53">
                  <c:v>21362</c:v>
                </c:pt>
                <c:pt idx="54">
                  <c:v>21318</c:v>
                </c:pt>
                <c:pt idx="55">
                  <c:v>21275</c:v>
                </c:pt>
                <c:pt idx="56">
                  <c:v>21232</c:v>
                </c:pt>
                <c:pt idx="57">
                  <c:v>21188</c:v>
                </c:pt>
                <c:pt idx="58">
                  <c:v>21150</c:v>
                </c:pt>
                <c:pt idx="59">
                  <c:v>21112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68A-4752-93BE-8697F9222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943704"/>
        <c:axId val="1"/>
      </c:lineChart>
      <c:dateAx>
        <c:axId val="41594370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mm&quot;.&quot;dd" sourceLinked="0"/>
        <c:majorTickMark val="in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808080"/>
                </a:solidFill>
                <a:latin typeface="굴림체"/>
                <a:ea typeface="굴림체"/>
                <a:cs typeface="굴림체"/>
              </a:defRPr>
            </a:pPr>
            <a:endParaRPr lang="ko-KR"/>
          </a:p>
        </c:txPr>
        <c:crossAx val="1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"/>
        <c:scaling>
          <c:orientation val="minMax"/>
          <c:min val="200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#,##0" sourceLinked="1"/>
        <c:majorTickMark val="in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8080"/>
                </a:solidFill>
                <a:latin typeface="굴림체"/>
                <a:ea typeface="굴림체"/>
                <a:cs typeface="굴림체"/>
              </a:defRPr>
            </a:pPr>
            <a:endParaRPr lang="ko-KR"/>
          </a:p>
        </c:txPr>
        <c:crossAx val="415943704"/>
        <c:crosses val="autoZero"/>
        <c:crossBetween val="between"/>
      </c:valAx>
      <c:spPr>
        <a:blipFill dpi="0" rotWithShape="0">
          <a:blip xmlns:r="http://schemas.openxmlformats.org/officeDocument/2006/relationships" r:embed="rId1"/>
          <a:srcRect/>
          <a:stretch>
            <a:fillRect/>
          </a:stretch>
        </a:blipFill>
        <a:ln w="25400">
          <a:noFill/>
        </a:ln>
      </c:spPr>
    </c:plotArea>
    <c:legend>
      <c:legendPos val="r"/>
      <c:layout>
        <c:manualLayout>
          <c:xMode val="edge"/>
          <c:yMode val="edge"/>
          <c:x val="0.73387138057100809"/>
          <c:y val="0.69450549450549448"/>
          <c:w val="0.2281107273988377"/>
          <c:h val="0.17802197802197803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굴림체"/>
              <a:ea typeface="굴림체"/>
              <a:cs typeface="굴림체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굴림체"/>
          <a:ea typeface="굴림체"/>
          <a:cs typeface="굴림체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291139240506333E-2"/>
          <c:y val="5.2631691662579798E-2"/>
          <c:w val="0.90563866513233604"/>
          <c:h val="0.82894914368563188"/>
        </c:manualLayout>
      </c:layout>
      <c:lineChart>
        <c:grouping val="standard"/>
        <c:varyColors val="0"/>
        <c:ser>
          <c:idx val="0"/>
          <c:order val="0"/>
          <c:tx>
            <c:strRef>
              <c:f>s!$C$10</c:f>
              <c:strCache>
                <c:ptCount val="1"/>
                <c:pt idx="0">
                  <c:v>KOSPI  200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FF0000"/>
              </a:solidFill>
              <a:ln w="6350">
                <a:noFill/>
              </a:ln>
            </c:spPr>
          </c:marker>
          <c:cat>
            <c:numRef>
              <c:f>s!$A$15:$A$74</c:f>
              <c:numCache>
                <c:formatCode>m/d/yyyy</c:formatCode>
                <c:ptCount val="60"/>
                <c:pt idx="0">
                  <c:v>39405</c:v>
                </c:pt>
                <c:pt idx="1">
                  <c:v>39402</c:v>
                </c:pt>
                <c:pt idx="2">
                  <c:v>39401</c:v>
                </c:pt>
                <c:pt idx="3">
                  <c:v>39400</c:v>
                </c:pt>
                <c:pt idx="4">
                  <c:v>39399</c:v>
                </c:pt>
                <c:pt idx="5">
                  <c:v>39398</c:v>
                </c:pt>
                <c:pt idx="6">
                  <c:v>39395</c:v>
                </c:pt>
                <c:pt idx="7">
                  <c:v>39394</c:v>
                </c:pt>
                <c:pt idx="8">
                  <c:v>39393</c:v>
                </c:pt>
                <c:pt idx="9">
                  <c:v>39392</c:v>
                </c:pt>
                <c:pt idx="10">
                  <c:v>39391</c:v>
                </c:pt>
                <c:pt idx="11">
                  <c:v>39388</c:v>
                </c:pt>
                <c:pt idx="12">
                  <c:v>39387</c:v>
                </c:pt>
                <c:pt idx="13">
                  <c:v>39386</c:v>
                </c:pt>
                <c:pt idx="14">
                  <c:v>39385</c:v>
                </c:pt>
                <c:pt idx="15">
                  <c:v>39384</c:v>
                </c:pt>
                <c:pt idx="16">
                  <c:v>39381</c:v>
                </c:pt>
                <c:pt idx="17">
                  <c:v>39380</c:v>
                </c:pt>
                <c:pt idx="18">
                  <c:v>39379</c:v>
                </c:pt>
                <c:pt idx="19">
                  <c:v>39378</c:v>
                </c:pt>
                <c:pt idx="20">
                  <c:v>39377</c:v>
                </c:pt>
                <c:pt idx="21">
                  <c:v>39374</c:v>
                </c:pt>
                <c:pt idx="22">
                  <c:v>39373</c:v>
                </c:pt>
                <c:pt idx="23">
                  <c:v>39372</c:v>
                </c:pt>
                <c:pt idx="24">
                  <c:v>39371</c:v>
                </c:pt>
                <c:pt idx="25">
                  <c:v>39370</c:v>
                </c:pt>
                <c:pt idx="26">
                  <c:v>39367</c:v>
                </c:pt>
                <c:pt idx="27">
                  <c:v>39366</c:v>
                </c:pt>
                <c:pt idx="28">
                  <c:v>39365</c:v>
                </c:pt>
                <c:pt idx="29">
                  <c:v>39364</c:v>
                </c:pt>
                <c:pt idx="30">
                  <c:v>39363</c:v>
                </c:pt>
                <c:pt idx="31">
                  <c:v>39360</c:v>
                </c:pt>
                <c:pt idx="32">
                  <c:v>39359</c:v>
                </c:pt>
                <c:pt idx="33">
                  <c:v>39357</c:v>
                </c:pt>
                <c:pt idx="34">
                  <c:v>39356</c:v>
                </c:pt>
                <c:pt idx="35">
                  <c:v>39353</c:v>
                </c:pt>
                <c:pt idx="36">
                  <c:v>39352</c:v>
                </c:pt>
                <c:pt idx="37">
                  <c:v>39346</c:v>
                </c:pt>
                <c:pt idx="38">
                  <c:v>39345</c:v>
                </c:pt>
                <c:pt idx="39">
                  <c:v>39344</c:v>
                </c:pt>
                <c:pt idx="40">
                  <c:v>39343</c:v>
                </c:pt>
                <c:pt idx="41">
                  <c:v>39342</c:v>
                </c:pt>
                <c:pt idx="42">
                  <c:v>39339</c:v>
                </c:pt>
                <c:pt idx="43">
                  <c:v>39338</c:v>
                </c:pt>
                <c:pt idx="44">
                  <c:v>39337</c:v>
                </c:pt>
                <c:pt idx="45">
                  <c:v>39336</c:v>
                </c:pt>
                <c:pt idx="46">
                  <c:v>39335</c:v>
                </c:pt>
                <c:pt idx="47">
                  <c:v>39332</c:v>
                </c:pt>
                <c:pt idx="48">
                  <c:v>39331</c:v>
                </c:pt>
                <c:pt idx="49">
                  <c:v>39330</c:v>
                </c:pt>
                <c:pt idx="50">
                  <c:v>39329</c:v>
                </c:pt>
                <c:pt idx="51">
                  <c:v>39328</c:v>
                </c:pt>
                <c:pt idx="52">
                  <c:v>39325</c:v>
                </c:pt>
                <c:pt idx="53">
                  <c:v>39324</c:v>
                </c:pt>
                <c:pt idx="54">
                  <c:v>39323</c:v>
                </c:pt>
                <c:pt idx="55">
                  <c:v>39322</c:v>
                </c:pt>
                <c:pt idx="56">
                  <c:v>39321</c:v>
                </c:pt>
                <c:pt idx="57">
                  <c:v>39318</c:v>
                </c:pt>
                <c:pt idx="58">
                  <c:v>39317</c:v>
                </c:pt>
                <c:pt idx="59">
                  <c:v>39316</c:v>
                </c:pt>
              </c:numCache>
            </c:numRef>
          </c:cat>
          <c:val>
            <c:numRef>
              <c:f>s!$C$15:$C$74</c:f>
              <c:numCache>
                <c:formatCode>#,##0.0</c:formatCode>
                <c:ptCount val="60"/>
                <c:pt idx="0">
                  <c:v>239.78</c:v>
                </c:pt>
                <c:pt idx="1">
                  <c:v>244.13</c:v>
                </c:pt>
                <c:pt idx="2">
                  <c:v>247.39</c:v>
                </c:pt>
                <c:pt idx="3">
                  <c:v>250.21</c:v>
                </c:pt>
                <c:pt idx="4">
                  <c:v>244.73</c:v>
                </c:pt>
                <c:pt idx="5">
                  <c:v>243.89</c:v>
                </c:pt>
                <c:pt idx="6">
                  <c:v>252.21</c:v>
                </c:pt>
                <c:pt idx="7">
                  <c:v>249.97</c:v>
                </c:pt>
                <c:pt idx="8">
                  <c:v>258.74</c:v>
                </c:pt>
                <c:pt idx="9">
                  <c:v>259.24</c:v>
                </c:pt>
                <c:pt idx="10">
                  <c:v>253.91</c:v>
                </c:pt>
                <c:pt idx="11">
                  <c:v>254.74</c:v>
                </c:pt>
                <c:pt idx="12">
                  <c:v>260.76</c:v>
                </c:pt>
                <c:pt idx="13">
                  <c:v>260.42</c:v>
                </c:pt>
                <c:pt idx="14">
                  <c:v>258.87</c:v>
                </c:pt>
                <c:pt idx="15">
                  <c:v>260.39999999999998</c:v>
                </c:pt>
                <c:pt idx="16">
                  <c:v>255.65</c:v>
                </c:pt>
                <c:pt idx="17">
                  <c:v>248.8</c:v>
                </c:pt>
                <c:pt idx="18">
                  <c:v>243.31</c:v>
                </c:pt>
                <c:pt idx="19">
                  <c:v>244.9</c:v>
                </c:pt>
                <c:pt idx="20">
                  <c:v>239.94</c:v>
                </c:pt>
                <c:pt idx="21">
                  <c:v>248.35</c:v>
                </c:pt>
                <c:pt idx="22">
                  <c:v>252.6</c:v>
                </c:pt>
                <c:pt idx="23">
                  <c:v>250.48</c:v>
                </c:pt>
                <c:pt idx="24">
                  <c:v>253.43</c:v>
                </c:pt>
                <c:pt idx="25">
                  <c:v>257.68</c:v>
                </c:pt>
                <c:pt idx="26">
                  <c:v>257.31</c:v>
                </c:pt>
                <c:pt idx="27">
                  <c:v>261.82</c:v>
                </c:pt>
                <c:pt idx="28">
                  <c:v>259.79000000000002</c:v>
                </c:pt>
                <c:pt idx="29">
                  <c:v>256.19</c:v>
                </c:pt>
                <c:pt idx="30">
                  <c:v>255.87</c:v>
                </c:pt>
                <c:pt idx="31">
                  <c:v>253.63</c:v>
                </c:pt>
                <c:pt idx="32">
                  <c:v>254.92</c:v>
                </c:pt>
                <c:pt idx="33">
                  <c:v>256.8</c:v>
                </c:pt>
                <c:pt idx="34">
                  <c:v>249.3</c:v>
                </c:pt>
                <c:pt idx="35">
                  <c:v>247.2</c:v>
                </c:pt>
                <c:pt idx="36">
                  <c:v>247.1</c:v>
                </c:pt>
                <c:pt idx="37">
                  <c:v>243.45</c:v>
                </c:pt>
                <c:pt idx="38">
                  <c:v>242.42</c:v>
                </c:pt>
                <c:pt idx="39">
                  <c:v>241.08</c:v>
                </c:pt>
                <c:pt idx="40">
                  <c:v>232.42</c:v>
                </c:pt>
                <c:pt idx="41">
                  <c:v>236.72</c:v>
                </c:pt>
                <c:pt idx="42">
                  <c:v>236.54</c:v>
                </c:pt>
                <c:pt idx="43">
                  <c:v>233.86</c:v>
                </c:pt>
                <c:pt idx="44">
                  <c:v>229.44</c:v>
                </c:pt>
                <c:pt idx="45">
                  <c:v>234.12</c:v>
                </c:pt>
                <c:pt idx="46">
                  <c:v>232.44</c:v>
                </c:pt>
                <c:pt idx="47">
                  <c:v>238.92</c:v>
                </c:pt>
                <c:pt idx="48">
                  <c:v>239.61</c:v>
                </c:pt>
                <c:pt idx="49">
                  <c:v>236.61</c:v>
                </c:pt>
                <c:pt idx="50">
                  <c:v>237.91</c:v>
                </c:pt>
                <c:pt idx="51">
                  <c:v>238.72</c:v>
                </c:pt>
                <c:pt idx="52">
                  <c:v>238.28</c:v>
                </c:pt>
                <c:pt idx="53">
                  <c:v>234.22</c:v>
                </c:pt>
                <c:pt idx="54">
                  <c:v>232.32</c:v>
                </c:pt>
                <c:pt idx="55">
                  <c:v>232.38</c:v>
                </c:pt>
                <c:pt idx="56">
                  <c:v>228.65</c:v>
                </c:pt>
                <c:pt idx="57">
                  <c:v>227.18</c:v>
                </c:pt>
                <c:pt idx="58">
                  <c:v>228.6</c:v>
                </c:pt>
                <c:pt idx="59">
                  <c:v>223.24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69-425F-B7C3-1DC8719D5030}"/>
            </c:ext>
          </c:extLst>
        </c:ser>
        <c:ser>
          <c:idx val="1"/>
          <c:order val="1"/>
          <c:tx>
            <c:strRef>
              <c:f>s!$F$14</c:f>
              <c:strCache>
                <c:ptCount val="1"/>
                <c:pt idx="0">
                  <c:v>Lower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s!$A$15:$A$74</c:f>
              <c:numCache>
                <c:formatCode>m/d/yyyy</c:formatCode>
                <c:ptCount val="60"/>
                <c:pt idx="0">
                  <c:v>39405</c:v>
                </c:pt>
                <c:pt idx="1">
                  <c:v>39402</c:v>
                </c:pt>
                <c:pt idx="2">
                  <c:v>39401</c:v>
                </c:pt>
                <c:pt idx="3">
                  <c:v>39400</c:v>
                </c:pt>
                <c:pt idx="4">
                  <c:v>39399</c:v>
                </c:pt>
                <c:pt idx="5">
                  <c:v>39398</c:v>
                </c:pt>
                <c:pt idx="6">
                  <c:v>39395</c:v>
                </c:pt>
                <c:pt idx="7">
                  <c:v>39394</c:v>
                </c:pt>
                <c:pt idx="8">
                  <c:v>39393</c:v>
                </c:pt>
                <c:pt idx="9">
                  <c:v>39392</c:v>
                </c:pt>
                <c:pt idx="10">
                  <c:v>39391</c:v>
                </c:pt>
                <c:pt idx="11">
                  <c:v>39388</c:v>
                </c:pt>
                <c:pt idx="12">
                  <c:v>39387</c:v>
                </c:pt>
                <c:pt idx="13">
                  <c:v>39386</c:v>
                </c:pt>
                <c:pt idx="14">
                  <c:v>39385</c:v>
                </c:pt>
                <c:pt idx="15">
                  <c:v>39384</c:v>
                </c:pt>
                <c:pt idx="16">
                  <c:v>39381</c:v>
                </c:pt>
                <c:pt idx="17">
                  <c:v>39380</c:v>
                </c:pt>
                <c:pt idx="18">
                  <c:v>39379</c:v>
                </c:pt>
                <c:pt idx="19">
                  <c:v>39378</c:v>
                </c:pt>
                <c:pt idx="20">
                  <c:v>39377</c:v>
                </c:pt>
                <c:pt idx="21">
                  <c:v>39374</c:v>
                </c:pt>
                <c:pt idx="22">
                  <c:v>39373</c:v>
                </c:pt>
                <c:pt idx="23">
                  <c:v>39372</c:v>
                </c:pt>
                <c:pt idx="24">
                  <c:v>39371</c:v>
                </c:pt>
                <c:pt idx="25">
                  <c:v>39370</c:v>
                </c:pt>
                <c:pt idx="26">
                  <c:v>39367</c:v>
                </c:pt>
                <c:pt idx="27">
                  <c:v>39366</c:v>
                </c:pt>
                <c:pt idx="28">
                  <c:v>39365</c:v>
                </c:pt>
                <c:pt idx="29">
                  <c:v>39364</c:v>
                </c:pt>
                <c:pt idx="30">
                  <c:v>39363</c:v>
                </c:pt>
                <c:pt idx="31">
                  <c:v>39360</c:v>
                </c:pt>
                <c:pt idx="32">
                  <c:v>39359</c:v>
                </c:pt>
                <c:pt idx="33">
                  <c:v>39357</c:v>
                </c:pt>
                <c:pt idx="34">
                  <c:v>39356</c:v>
                </c:pt>
                <c:pt idx="35">
                  <c:v>39353</c:v>
                </c:pt>
                <c:pt idx="36">
                  <c:v>39352</c:v>
                </c:pt>
                <c:pt idx="37">
                  <c:v>39346</c:v>
                </c:pt>
                <c:pt idx="38">
                  <c:v>39345</c:v>
                </c:pt>
                <c:pt idx="39">
                  <c:v>39344</c:v>
                </c:pt>
                <c:pt idx="40">
                  <c:v>39343</c:v>
                </c:pt>
                <c:pt idx="41">
                  <c:v>39342</c:v>
                </c:pt>
                <c:pt idx="42">
                  <c:v>39339</c:v>
                </c:pt>
                <c:pt idx="43">
                  <c:v>39338</c:v>
                </c:pt>
                <c:pt idx="44">
                  <c:v>39337</c:v>
                </c:pt>
                <c:pt idx="45">
                  <c:v>39336</c:v>
                </c:pt>
                <c:pt idx="46">
                  <c:v>39335</c:v>
                </c:pt>
                <c:pt idx="47">
                  <c:v>39332</c:v>
                </c:pt>
                <c:pt idx="48">
                  <c:v>39331</c:v>
                </c:pt>
                <c:pt idx="49">
                  <c:v>39330</c:v>
                </c:pt>
                <c:pt idx="50">
                  <c:v>39329</c:v>
                </c:pt>
                <c:pt idx="51">
                  <c:v>39328</c:v>
                </c:pt>
                <c:pt idx="52">
                  <c:v>39325</c:v>
                </c:pt>
                <c:pt idx="53">
                  <c:v>39324</c:v>
                </c:pt>
                <c:pt idx="54">
                  <c:v>39323</c:v>
                </c:pt>
                <c:pt idx="55">
                  <c:v>39322</c:v>
                </c:pt>
                <c:pt idx="56">
                  <c:v>39321</c:v>
                </c:pt>
                <c:pt idx="57">
                  <c:v>39318</c:v>
                </c:pt>
                <c:pt idx="58">
                  <c:v>39317</c:v>
                </c:pt>
                <c:pt idx="59">
                  <c:v>39316</c:v>
                </c:pt>
              </c:numCache>
            </c:numRef>
          </c:cat>
          <c:val>
            <c:numRef>
              <c:f>s!$F$15:$F$74</c:f>
              <c:numCache>
                <c:formatCode>0.00_ </c:formatCode>
                <c:ptCount val="60"/>
                <c:pt idx="0">
                  <c:v>238.27</c:v>
                </c:pt>
                <c:pt idx="1">
                  <c:v>241.24</c:v>
                </c:pt>
                <c:pt idx="2">
                  <c:v>243.69</c:v>
                </c:pt>
                <c:pt idx="3">
                  <c:v>237.31</c:v>
                </c:pt>
                <c:pt idx="4">
                  <c:v>236.38</c:v>
                </c:pt>
                <c:pt idx="5">
                  <c:v>244.81</c:v>
                </c:pt>
                <c:pt idx="6">
                  <c:v>242.11</c:v>
                </c:pt>
                <c:pt idx="7">
                  <c:v>250.97</c:v>
                </c:pt>
                <c:pt idx="8">
                  <c:v>251.48</c:v>
                </c:pt>
                <c:pt idx="9">
                  <c:v>246.3</c:v>
                </c:pt>
                <c:pt idx="10">
                  <c:v>247.04</c:v>
                </c:pt>
                <c:pt idx="11">
                  <c:v>253.11</c:v>
                </c:pt>
                <c:pt idx="12">
                  <c:v>252.77</c:v>
                </c:pt>
                <c:pt idx="13">
                  <c:v>250.75</c:v>
                </c:pt>
                <c:pt idx="14">
                  <c:v>252.3</c:v>
                </c:pt>
                <c:pt idx="15">
                  <c:v>247.7</c:v>
                </c:pt>
                <c:pt idx="16">
                  <c:v>240.6</c:v>
                </c:pt>
                <c:pt idx="17">
                  <c:v>235.14</c:v>
                </c:pt>
                <c:pt idx="18">
                  <c:v>236.72</c:v>
                </c:pt>
                <c:pt idx="19">
                  <c:v>231.93</c:v>
                </c:pt>
                <c:pt idx="20">
                  <c:v>240.39</c:v>
                </c:pt>
                <c:pt idx="21">
                  <c:v>244.63</c:v>
                </c:pt>
                <c:pt idx="22">
                  <c:v>242.56</c:v>
                </c:pt>
                <c:pt idx="23">
                  <c:v>245.41</c:v>
                </c:pt>
                <c:pt idx="24">
                  <c:v>249.6</c:v>
                </c:pt>
                <c:pt idx="25">
                  <c:v>249.21</c:v>
                </c:pt>
                <c:pt idx="26">
                  <c:v>253.74</c:v>
                </c:pt>
                <c:pt idx="27">
                  <c:v>251.73</c:v>
                </c:pt>
                <c:pt idx="28">
                  <c:v>248.24</c:v>
                </c:pt>
                <c:pt idx="29">
                  <c:v>247.95</c:v>
                </c:pt>
                <c:pt idx="30">
                  <c:v>245.78</c:v>
                </c:pt>
                <c:pt idx="31">
                  <c:v>247.08</c:v>
                </c:pt>
                <c:pt idx="32">
                  <c:v>248.97</c:v>
                </c:pt>
                <c:pt idx="33">
                  <c:v>241.74</c:v>
                </c:pt>
                <c:pt idx="34">
                  <c:v>239.71</c:v>
                </c:pt>
                <c:pt idx="35">
                  <c:v>239.58</c:v>
                </c:pt>
                <c:pt idx="36">
                  <c:v>236.03</c:v>
                </c:pt>
                <c:pt idx="37">
                  <c:v>234.96</c:v>
                </c:pt>
                <c:pt idx="38">
                  <c:v>233.62</c:v>
                </c:pt>
                <c:pt idx="39">
                  <c:v>225.26</c:v>
                </c:pt>
                <c:pt idx="40">
                  <c:v>229.48</c:v>
                </c:pt>
                <c:pt idx="41">
                  <c:v>229.32</c:v>
                </c:pt>
                <c:pt idx="42">
                  <c:v>226.64</c:v>
                </c:pt>
                <c:pt idx="43">
                  <c:v>222.34</c:v>
                </c:pt>
                <c:pt idx="44">
                  <c:v>227.04</c:v>
                </c:pt>
                <c:pt idx="45">
                  <c:v>225.39</c:v>
                </c:pt>
                <c:pt idx="46">
                  <c:v>231.91</c:v>
                </c:pt>
                <c:pt idx="47">
                  <c:v>232.56</c:v>
                </c:pt>
                <c:pt idx="48">
                  <c:v>229.64</c:v>
                </c:pt>
                <c:pt idx="49">
                  <c:v>230.9</c:v>
                </c:pt>
                <c:pt idx="50">
                  <c:v>231.6</c:v>
                </c:pt>
                <c:pt idx="51">
                  <c:v>231.18</c:v>
                </c:pt>
                <c:pt idx="52">
                  <c:v>227.22</c:v>
                </c:pt>
                <c:pt idx="53">
                  <c:v>225.38</c:v>
                </c:pt>
                <c:pt idx="54">
                  <c:v>225.47</c:v>
                </c:pt>
                <c:pt idx="55">
                  <c:v>221.84</c:v>
                </c:pt>
                <c:pt idx="56">
                  <c:v>220.39</c:v>
                </c:pt>
                <c:pt idx="57">
                  <c:v>221.8</c:v>
                </c:pt>
                <c:pt idx="58">
                  <c:v>216.61</c:v>
                </c:pt>
                <c:pt idx="59">
                  <c:v>213.61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69-425F-B7C3-1DC8719D5030}"/>
            </c:ext>
          </c:extLst>
        </c:ser>
        <c:ser>
          <c:idx val="2"/>
          <c:order val="2"/>
          <c:tx>
            <c:strRef>
              <c:f>s!$G$14</c:f>
              <c:strCache>
                <c:ptCount val="1"/>
                <c:pt idx="0">
                  <c:v>Upper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s!$A$15:$A$74</c:f>
              <c:numCache>
                <c:formatCode>m/d/yyyy</c:formatCode>
                <c:ptCount val="60"/>
                <c:pt idx="0">
                  <c:v>39405</c:v>
                </c:pt>
                <c:pt idx="1">
                  <c:v>39402</c:v>
                </c:pt>
                <c:pt idx="2">
                  <c:v>39401</c:v>
                </c:pt>
                <c:pt idx="3">
                  <c:v>39400</c:v>
                </c:pt>
                <c:pt idx="4">
                  <c:v>39399</c:v>
                </c:pt>
                <c:pt idx="5">
                  <c:v>39398</c:v>
                </c:pt>
                <c:pt idx="6">
                  <c:v>39395</c:v>
                </c:pt>
                <c:pt idx="7">
                  <c:v>39394</c:v>
                </c:pt>
                <c:pt idx="8">
                  <c:v>39393</c:v>
                </c:pt>
                <c:pt idx="9">
                  <c:v>39392</c:v>
                </c:pt>
                <c:pt idx="10">
                  <c:v>39391</c:v>
                </c:pt>
                <c:pt idx="11">
                  <c:v>39388</c:v>
                </c:pt>
                <c:pt idx="12">
                  <c:v>39387</c:v>
                </c:pt>
                <c:pt idx="13">
                  <c:v>39386</c:v>
                </c:pt>
                <c:pt idx="14">
                  <c:v>39385</c:v>
                </c:pt>
                <c:pt idx="15">
                  <c:v>39384</c:v>
                </c:pt>
                <c:pt idx="16">
                  <c:v>39381</c:v>
                </c:pt>
                <c:pt idx="17">
                  <c:v>39380</c:v>
                </c:pt>
                <c:pt idx="18">
                  <c:v>39379</c:v>
                </c:pt>
                <c:pt idx="19">
                  <c:v>39378</c:v>
                </c:pt>
                <c:pt idx="20">
                  <c:v>39377</c:v>
                </c:pt>
                <c:pt idx="21">
                  <c:v>39374</c:v>
                </c:pt>
                <c:pt idx="22">
                  <c:v>39373</c:v>
                </c:pt>
                <c:pt idx="23">
                  <c:v>39372</c:v>
                </c:pt>
                <c:pt idx="24">
                  <c:v>39371</c:v>
                </c:pt>
                <c:pt idx="25">
                  <c:v>39370</c:v>
                </c:pt>
                <c:pt idx="26">
                  <c:v>39367</c:v>
                </c:pt>
                <c:pt idx="27">
                  <c:v>39366</c:v>
                </c:pt>
                <c:pt idx="28">
                  <c:v>39365</c:v>
                </c:pt>
                <c:pt idx="29">
                  <c:v>39364</c:v>
                </c:pt>
                <c:pt idx="30">
                  <c:v>39363</c:v>
                </c:pt>
                <c:pt idx="31">
                  <c:v>39360</c:v>
                </c:pt>
                <c:pt idx="32">
                  <c:v>39359</c:v>
                </c:pt>
                <c:pt idx="33">
                  <c:v>39357</c:v>
                </c:pt>
                <c:pt idx="34">
                  <c:v>39356</c:v>
                </c:pt>
                <c:pt idx="35">
                  <c:v>39353</c:v>
                </c:pt>
                <c:pt idx="36">
                  <c:v>39352</c:v>
                </c:pt>
                <c:pt idx="37">
                  <c:v>39346</c:v>
                </c:pt>
                <c:pt idx="38">
                  <c:v>39345</c:v>
                </c:pt>
                <c:pt idx="39">
                  <c:v>39344</c:v>
                </c:pt>
                <c:pt idx="40">
                  <c:v>39343</c:v>
                </c:pt>
                <c:pt idx="41">
                  <c:v>39342</c:v>
                </c:pt>
                <c:pt idx="42">
                  <c:v>39339</c:v>
                </c:pt>
                <c:pt idx="43">
                  <c:v>39338</c:v>
                </c:pt>
                <c:pt idx="44">
                  <c:v>39337</c:v>
                </c:pt>
                <c:pt idx="45">
                  <c:v>39336</c:v>
                </c:pt>
                <c:pt idx="46">
                  <c:v>39335</c:v>
                </c:pt>
                <c:pt idx="47">
                  <c:v>39332</c:v>
                </c:pt>
                <c:pt idx="48">
                  <c:v>39331</c:v>
                </c:pt>
                <c:pt idx="49">
                  <c:v>39330</c:v>
                </c:pt>
                <c:pt idx="50">
                  <c:v>39329</c:v>
                </c:pt>
                <c:pt idx="51">
                  <c:v>39328</c:v>
                </c:pt>
                <c:pt idx="52">
                  <c:v>39325</c:v>
                </c:pt>
                <c:pt idx="53">
                  <c:v>39324</c:v>
                </c:pt>
                <c:pt idx="54">
                  <c:v>39323</c:v>
                </c:pt>
                <c:pt idx="55">
                  <c:v>39322</c:v>
                </c:pt>
                <c:pt idx="56">
                  <c:v>39321</c:v>
                </c:pt>
                <c:pt idx="57">
                  <c:v>39318</c:v>
                </c:pt>
                <c:pt idx="58">
                  <c:v>39317</c:v>
                </c:pt>
                <c:pt idx="59">
                  <c:v>39316</c:v>
                </c:pt>
              </c:numCache>
            </c:numRef>
          </c:cat>
          <c:val>
            <c:numRef>
              <c:f>s!$G$15:$G$74</c:f>
              <c:numCache>
                <c:formatCode>0.00_ </c:formatCode>
                <c:ptCount val="60"/>
                <c:pt idx="0">
                  <c:v>251.02</c:v>
                </c:pt>
                <c:pt idx="1">
                  <c:v>255.15</c:v>
                </c:pt>
                <c:pt idx="2">
                  <c:v>258.18</c:v>
                </c:pt>
                <c:pt idx="3">
                  <c:v>252.89</c:v>
                </c:pt>
                <c:pt idx="4">
                  <c:v>251.99</c:v>
                </c:pt>
                <c:pt idx="5">
                  <c:v>260.61</c:v>
                </c:pt>
                <c:pt idx="6">
                  <c:v>258.41000000000003</c:v>
                </c:pt>
                <c:pt idx="7">
                  <c:v>267.42</c:v>
                </c:pt>
                <c:pt idx="8">
                  <c:v>268.14</c:v>
                </c:pt>
                <c:pt idx="9">
                  <c:v>262.48</c:v>
                </c:pt>
                <c:pt idx="10">
                  <c:v>263.32</c:v>
                </c:pt>
                <c:pt idx="11">
                  <c:v>269.62</c:v>
                </c:pt>
                <c:pt idx="12">
                  <c:v>269.25</c:v>
                </c:pt>
                <c:pt idx="13">
                  <c:v>267.77</c:v>
                </c:pt>
                <c:pt idx="14">
                  <c:v>269.45</c:v>
                </c:pt>
                <c:pt idx="15">
                  <c:v>264.48</c:v>
                </c:pt>
                <c:pt idx="16">
                  <c:v>257.27999999999997</c:v>
                </c:pt>
                <c:pt idx="17">
                  <c:v>251.41</c:v>
                </c:pt>
                <c:pt idx="18">
                  <c:v>253.1</c:v>
                </c:pt>
                <c:pt idx="19">
                  <c:v>247.82</c:v>
                </c:pt>
                <c:pt idx="20">
                  <c:v>256.47000000000003</c:v>
                </c:pt>
                <c:pt idx="21">
                  <c:v>261.08</c:v>
                </c:pt>
                <c:pt idx="22">
                  <c:v>258.85000000000002</c:v>
                </c:pt>
                <c:pt idx="23">
                  <c:v>261.89999999999998</c:v>
                </c:pt>
                <c:pt idx="24">
                  <c:v>266.29000000000002</c:v>
                </c:pt>
                <c:pt idx="25">
                  <c:v>266.19</c:v>
                </c:pt>
                <c:pt idx="26">
                  <c:v>270.93</c:v>
                </c:pt>
                <c:pt idx="27">
                  <c:v>268.77999999999997</c:v>
                </c:pt>
                <c:pt idx="28">
                  <c:v>264.99</c:v>
                </c:pt>
                <c:pt idx="29">
                  <c:v>264.74</c:v>
                </c:pt>
                <c:pt idx="30">
                  <c:v>262.41000000000003</c:v>
                </c:pt>
                <c:pt idx="31">
                  <c:v>263.79000000000002</c:v>
                </c:pt>
                <c:pt idx="32">
                  <c:v>265.88</c:v>
                </c:pt>
                <c:pt idx="33">
                  <c:v>257.99</c:v>
                </c:pt>
                <c:pt idx="34">
                  <c:v>255.87</c:v>
                </c:pt>
                <c:pt idx="35">
                  <c:v>255.75</c:v>
                </c:pt>
                <c:pt idx="36">
                  <c:v>251.94</c:v>
                </c:pt>
                <c:pt idx="37">
                  <c:v>250.83</c:v>
                </c:pt>
                <c:pt idx="38">
                  <c:v>249.41</c:v>
                </c:pt>
                <c:pt idx="39">
                  <c:v>240.07</c:v>
                </c:pt>
                <c:pt idx="40">
                  <c:v>244.5</c:v>
                </c:pt>
                <c:pt idx="41">
                  <c:v>244.34</c:v>
                </c:pt>
                <c:pt idx="42">
                  <c:v>241.48</c:v>
                </c:pt>
                <c:pt idx="43">
                  <c:v>236.79</c:v>
                </c:pt>
                <c:pt idx="44">
                  <c:v>241.76</c:v>
                </c:pt>
                <c:pt idx="45">
                  <c:v>239.99</c:v>
                </c:pt>
                <c:pt idx="46">
                  <c:v>246.88</c:v>
                </c:pt>
                <c:pt idx="47">
                  <c:v>247.58</c:v>
                </c:pt>
                <c:pt idx="48">
                  <c:v>244.44</c:v>
                </c:pt>
                <c:pt idx="49">
                  <c:v>245.78</c:v>
                </c:pt>
                <c:pt idx="50">
                  <c:v>246.62</c:v>
                </c:pt>
                <c:pt idx="51">
                  <c:v>246.17</c:v>
                </c:pt>
                <c:pt idx="52">
                  <c:v>241.87</c:v>
                </c:pt>
                <c:pt idx="53">
                  <c:v>239.95</c:v>
                </c:pt>
                <c:pt idx="54">
                  <c:v>240.07</c:v>
                </c:pt>
                <c:pt idx="55">
                  <c:v>236.28</c:v>
                </c:pt>
                <c:pt idx="56">
                  <c:v>234.73</c:v>
                </c:pt>
                <c:pt idx="57">
                  <c:v>236.21</c:v>
                </c:pt>
                <c:pt idx="58">
                  <c:v>230.52</c:v>
                </c:pt>
                <c:pt idx="59">
                  <c:v>227.28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69-425F-B7C3-1DC8719D5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076704"/>
        <c:axId val="1"/>
      </c:lineChart>
      <c:dateAx>
        <c:axId val="33207670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mm&quot;.&quot;dd" sourceLinked="0"/>
        <c:majorTickMark val="in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808080"/>
                </a:solidFill>
                <a:latin typeface="굴림체"/>
                <a:ea typeface="굴림체"/>
                <a:cs typeface="굴림체"/>
              </a:defRPr>
            </a:pPr>
            <a:endParaRPr lang="ko-KR"/>
          </a:p>
        </c:txPr>
        <c:crossAx val="1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"/>
        <c:scaling>
          <c:orientation val="minMax"/>
          <c:max val="280"/>
          <c:min val="21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#,##0.0" sourceLinked="1"/>
        <c:majorTickMark val="in"/>
        <c:minorTickMark val="none"/>
        <c:tickLblPos val="nextTo"/>
        <c:spPr>
          <a:ln w="3175">
            <a:solidFill>
              <a:srgbClr val="C0C0C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8080"/>
                </a:solidFill>
                <a:latin typeface="굴림체"/>
                <a:ea typeface="굴림체"/>
                <a:cs typeface="굴림체"/>
              </a:defRPr>
            </a:pPr>
            <a:endParaRPr lang="ko-KR"/>
          </a:p>
        </c:txPr>
        <c:crossAx val="332076704"/>
        <c:crosses val="autoZero"/>
        <c:crossBetween val="between"/>
        <c:majorUnit val="10"/>
      </c:valAx>
      <c:spPr>
        <a:blipFill dpi="0" rotWithShape="0">
          <a:blip xmlns:r="http://schemas.openxmlformats.org/officeDocument/2006/relationships" r:embed="rId1"/>
          <a:srcRect/>
          <a:stretch>
            <a:fillRect/>
          </a:stretch>
        </a:blipFill>
        <a:ln w="25400">
          <a:noFill/>
        </a:ln>
      </c:spPr>
    </c:plotArea>
    <c:legend>
      <c:legendPos val="r"/>
      <c:layout>
        <c:manualLayout>
          <c:xMode val="edge"/>
          <c:yMode val="edge"/>
          <c:x val="0.79286536248561568"/>
          <c:y val="0.73026472181829472"/>
          <c:w val="0.1093210586881473"/>
          <c:h val="0.1074563704777671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굴림체"/>
              <a:ea typeface="굴림체"/>
              <a:cs typeface="굴림체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굴림체"/>
          <a:ea typeface="굴림체"/>
          <a:cs typeface="굴림체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581025</xdr:colOff>
          <xdr:row>0</xdr:row>
          <xdr:rowOff>152400</xdr:rowOff>
        </xdr:to>
        <xdr:sp macro="" textlink="">
          <xdr:nvSpPr>
            <xdr:cNvPr id="1027" name="ctlDGR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3A0AE77C-8B16-426F-912C-0B91C6630A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11</xdr:col>
          <xdr:colOff>581025</xdr:colOff>
          <xdr:row>0</xdr:row>
          <xdr:rowOff>152400</xdr:rowOff>
        </xdr:to>
        <xdr:sp macro="" textlink="">
          <xdr:nvSpPr>
            <xdr:cNvPr id="1034" name="ctlDGR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626F886C-43A7-41F5-B9FF-93147C0207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0</xdr:colOff>
      <xdr:row>2</xdr:row>
      <xdr:rowOff>0</xdr:rowOff>
    </xdr:from>
    <xdr:to>
      <xdr:col>21</xdr:col>
      <xdr:colOff>590550</xdr:colOff>
      <xdr:row>25</xdr:row>
      <xdr:rowOff>123825</xdr:rowOff>
    </xdr:to>
    <xdr:graphicFrame macro="">
      <xdr:nvGraphicFramePr>
        <xdr:cNvPr id="1035" name="차트 11">
          <a:extLst>
            <a:ext uri="{FF2B5EF4-FFF2-40B4-BE49-F238E27FC236}">
              <a16:creationId xmlns:a16="http://schemas.microsoft.com/office/drawing/2014/main" id="{FE8C00A8-8E11-4E1C-A8B8-9455C83081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390525</xdr:colOff>
      <xdr:row>17</xdr:row>
      <xdr:rowOff>76200</xdr:rowOff>
    </xdr:from>
    <xdr:to>
      <xdr:col>14</xdr:col>
      <xdr:colOff>85725</xdr:colOff>
      <xdr:row>41</xdr:row>
      <xdr:rowOff>19050</xdr:rowOff>
    </xdr:to>
    <xdr:graphicFrame macro="">
      <xdr:nvGraphicFramePr>
        <xdr:cNvPr id="1042" name="차트 18">
          <a:extLst>
            <a:ext uri="{FF2B5EF4-FFF2-40B4-BE49-F238E27FC236}">
              <a16:creationId xmlns:a16="http://schemas.microsoft.com/office/drawing/2014/main" id="{959959A6-B64A-4740-A761-B50BAAD9E9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7</xdr:row>
          <xdr:rowOff>19050</xdr:rowOff>
        </xdr:from>
        <xdr:to>
          <xdr:col>6</xdr:col>
          <xdr:colOff>657225</xdr:colOff>
          <xdr:row>9</xdr:row>
          <xdr:rowOff>57150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34EC528A-5600-4871-AD25-FA1D265054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run forecasting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234"/>
  <sheetViews>
    <sheetView showGridLines="0" tabSelected="1" workbookViewId="0">
      <selection activeCell="I15" sqref="I15"/>
    </sheetView>
  </sheetViews>
  <sheetFormatPr defaultRowHeight="14.25" x14ac:dyDescent="0.2"/>
  <cols>
    <col min="1" max="1" width="9.5546875" bestFit="1" customWidth="1"/>
    <col min="4" max="5" width="1.44140625" customWidth="1"/>
    <col min="6" max="7" width="8.88671875" style="28" customWidth="1"/>
    <col min="8" max="8" width="1.44140625" customWidth="1"/>
    <col min="9" max="9" width="15.6640625" style="13" bestFit="1" customWidth="1"/>
    <col min="10" max="10" width="6.21875" style="12" bestFit="1" customWidth="1"/>
    <col min="11" max="11" width="1.44140625" customWidth="1"/>
    <col min="12" max="12" width="9.5546875" bestFit="1" customWidth="1"/>
  </cols>
  <sheetData>
    <row r="1" spans="1:22" x14ac:dyDescent="0.2">
      <c r="F1"/>
      <c r="G1"/>
    </row>
    <row r="2" spans="1:22" x14ac:dyDescent="0.2">
      <c r="A2" s="1" t="s">
        <v>13</v>
      </c>
      <c r="B2" s="1"/>
      <c r="C2" s="1"/>
      <c r="D2" s="1"/>
      <c r="F2"/>
      <c r="G2"/>
      <c r="L2" s="1" t="s">
        <v>13</v>
      </c>
      <c r="M2" s="1"/>
      <c r="N2" s="1"/>
    </row>
    <row r="3" spans="1:22" x14ac:dyDescent="0.2">
      <c r="A3" s="2" t="s">
        <v>48</v>
      </c>
      <c r="B3" s="2"/>
      <c r="C3" s="2"/>
      <c r="D3" s="2"/>
      <c r="F3"/>
      <c r="G3"/>
      <c r="L3" s="2" t="s">
        <v>48</v>
      </c>
      <c r="M3" s="2"/>
      <c r="N3" s="2"/>
    </row>
    <row r="4" spans="1:22" x14ac:dyDescent="0.2">
      <c r="A4" s="2" t="s">
        <v>49</v>
      </c>
      <c r="B4" s="2"/>
      <c r="C4" s="2"/>
      <c r="D4" s="2"/>
      <c r="F4"/>
      <c r="G4"/>
      <c r="L4" s="2" t="s">
        <v>49</v>
      </c>
      <c r="M4" s="2"/>
      <c r="N4" s="2"/>
    </row>
    <row r="5" spans="1:22" x14ac:dyDescent="0.2">
      <c r="A5" s="2" t="s">
        <v>50</v>
      </c>
      <c r="B5" s="2" t="s">
        <v>51</v>
      </c>
      <c r="C5" s="2" t="s">
        <v>52</v>
      </c>
      <c r="D5" s="2"/>
      <c r="F5"/>
      <c r="G5"/>
      <c r="L5" s="2" t="s">
        <v>50</v>
      </c>
      <c r="M5" s="2" t="s">
        <v>51</v>
      </c>
      <c r="N5" s="2" t="s">
        <v>52</v>
      </c>
    </row>
    <row r="6" spans="1:22" x14ac:dyDescent="0.2">
      <c r="A6" s="2" t="s">
        <v>53</v>
      </c>
      <c r="B6" s="2" t="s">
        <v>54</v>
      </c>
      <c r="C6" s="2" t="s">
        <v>55</v>
      </c>
      <c r="D6" s="2"/>
      <c r="F6"/>
      <c r="G6"/>
      <c r="L6" s="2" t="s">
        <v>53</v>
      </c>
      <c r="M6" s="2" t="s">
        <v>54</v>
      </c>
      <c r="N6" s="2" t="s">
        <v>55</v>
      </c>
    </row>
    <row r="7" spans="1:22" x14ac:dyDescent="0.2">
      <c r="A7" s="2" t="s">
        <v>56</v>
      </c>
      <c r="B7" s="2" t="s">
        <v>57</v>
      </c>
      <c r="C7" s="2"/>
      <c r="D7" s="2"/>
      <c r="F7"/>
      <c r="G7"/>
      <c r="I7" s="29" t="s">
        <v>59</v>
      </c>
      <c r="J7" s="29"/>
      <c r="L7" s="2" t="s">
        <v>56</v>
      </c>
      <c r="M7" s="2" t="s">
        <v>57</v>
      </c>
      <c r="N7" s="2"/>
    </row>
    <row r="8" spans="1:22" x14ac:dyDescent="0.2">
      <c r="A8" s="2" t="s">
        <v>24</v>
      </c>
      <c r="B8" s="2">
        <v>20070102</v>
      </c>
      <c r="C8" s="2" t="s">
        <v>58</v>
      </c>
      <c r="D8" s="2"/>
      <c r="F8"/>
      <c r="G8"/>
      <c r="I8" s="29"/>
      <c r="J8" s="29"/>
      <c r="L8" s="2" t="s">
        <v>24</v>
      </c>
      <c r="M8" s="2">
        <v>20070102</v>
      </c>
      <c r="N8" s="2" t="s">
        <v>58</v>
      </c>
    </row>
    <row r="9" spans="1:22" x14ac:dyDescent="0.2">
      <c r="A9" s="4" t="s">
        <v>4</v>
      </c>
      <c r="B9" s="8" t="s">
        <v>8</v>
      </c>
      <c r="C9" s="8" t="s">
        <v>8</v>
      </c>
      <c r="D9" s="8"/>
      <c r="F9"/>
      <c r="G9"/>
      <c r="I9" s="21" t="s">
        <v>22</v>
      </c>
      <c r="J9" s="20">
        <f ca="1">AVERAGE(OFFSET($B$15,0,0,60,1))/100</f>
        <v>1.5516666666666667E-3</v>
      </c>
      <c r="L9" s="4" t="s">
        <v>4</v>
      </c>
      <c r="M9" s="8" t="s">
        <v>25</v>
      </c>
      <c r="N9" s="8" t="s">
        <v>25</v>
      </c>
      <c r="O9" s="8" t="s">
        <v>25</v>
      </c>
      <c r="P9" s="8" t="s">
        <v>25</v>
      </c>
      <c r="Q9" s="8" t="s">
        <v>25</v>
      </c>
      <c r="R9" s="8" t="s">
        <v>25</v>
      </c>
      <c r="S9" s="8" t="s">
        <v>25</v>
      </c>
      <c r="T9" s="8" t="s">
        <v>25</v>
      </c>
      <c r="U9" s="8" t="s">
        <v>25</v>
      </c>
      <c r="V9" s="8" t="s">
        <v>25</v>
      </c>
    </row>
    <row r="10" spans="1:22" x14ac:dyDescent="0.2">
      <c r="A10" s="5" t="s">
        <v>5</v>
      </c>
      <c r="B10" s="9" t="s">
        <v>9</v>
      </c>
      <c r="C10" s="9" t="s">
        <v>9</v>
      </c>
      <c r="D10" s="9"/>
      <c r="F10"/>
      <c r="G10"/>
      <c r="I10" s="21" t="s">
        <v>23</v>
      </c>
      <c r="J10" s="20">
        <f ca="1">STDEVP(OFFSET($B$15,0,0,60,1))/100</f>
        <v>1.6042698148655946E-2</v>
      </c>
      <c r="L10" s="5" t="s">
        <v>5</v>
      </c>
      <c r="M10" s="9" t="s">
        <v>26</v>
      </c>
      <c r="N10" s="9" t="s">
        <v>26</v>
      </c>
      <c r="O10" s="9" t="s">
        <v>26</v>
      </c>
      <c r="P10" s="9" t="s">
        <v>26</v>
      </c>
      <c r="Q10" s="9" t="s">
        <v>26</v>
      </c>
      <c r="R10" s="9" t="s">
        <v>26</v>
      </c>
      <c r="S10" s="9" t="s">
        <v>26</v>
      </c>
      <c r="T10" s="9" t="s">
        <v>26</v>
      </c>
      <c r="U10" s="9" t="s">
        <v>26</v>
      </c>
      <c r="V10" s="9" t="s">
        <v>26</v>
      </c>
    </row>
    <row r="11" spans="1:22" x14ac:dyDescent="0.2">
      <c r="A11" s="5" t="s">
        <v>6</v>
      </c>
      <c r="B11" s="9" t="s">
        <v>10</v>
      </c>
      <c r="C11" s="9" t="s">
        <v>10</v>
      </c>
      <c r="D11" s="9"/>
      <c r="F11"/>
      <c r="G11"/>
      <c r="I11" s="23"/>
      <c r="J11" s="24"/>
      <c r="L11" s="5" t="s">
        <v>6</v>
      </c>
      <c r="M11" s="9" t="s">
        <v>27</v>
      </c>
      <c r="N11" s="9" t="s">
        <v>27</v>
      </c>
      <c r="O11" s="9" t="s">
        <v>27</v>
      </c>
      <c r="P11" s="9" t="s">
        <v>27</v>
      </c>
      <c r="Q11" s="9" t="s">
        <v>27</v>
      </c>
      <c r="R11" s="9" t="s">
        <v>27</v>
      </c>
      <c r="S11" s="9" t="s">
        <v>27</v>
      </c>
      <c r="T11" s="9" t="s">
        <v>27</v>
      </c>
      <c r="U11" s="9" t="s">
        <v>27</v>
      </c>
      <c r="V11" s="9" t="s">
        <v>27</v>
      </c>
    </row>
    <row r="12" spans="1:22" x14ac:dyDescent="0.2">
      <c r="A12" s="5" t="s">
        <v>2</v>
      </c>
      <c r="B12" s="9" t="s">
        <v>11</v>
      </c>
      <c r="C12" s="9" t="s">
        <v>15</v>
      </c>
      <c r="D12" s="9"/>
      <c r="F12" s="26"/>
      <c r="G12" s="2"/>
      <c r="I12" s="21" t="s">
        <v>17</v>
      </c>
      <c r="J12" s="20">
        <f ca="1">J9*250</f>
        <v>0.38791666666666669</v>
      </c>
      <c r="L12" s="5" t="s">
        <v>2</v>
      </c>
      <c r="M12" s="9" t="s">
        <v>28</v>
      </c>
      <c r="N12" s="9" t="s">
        <v>30</v>
      </c>
      <c r="O12" s="9" t="s">
        <v>32</v>
      </c>
      <c r="P12" s="9" t="s">
        <v>34</v>
      </c>
      <c r="Q12" s="9" t="s">
        <v>36</v>
      </c>
      <c r="R12" s="9" t="s">
        <v>38</v>
      </c>
      <c r="S12" s="9" t="s">
        <v>40</v>
      </c>
      <c r="T12" s="9" t="s">
        <v>42</v>
      </c>
      <c r="U12" s="9" t="s">
        <v>44</v>
      </c>
      <c r="V12" s="9" t="s">
        <v>46</v>
      </c>
    </row>
    <row r="13" spans="1:22" x14ac:dyDescent="0.2">
      <c r="A13" s="5" t="s">
        <v>7</v>
      </c>
      <c r="B13" s="10" t="s">
        <v>12</v>
      </c>
      <c r="C13" s="10" t="s">
        <v>16</v>
      </c>
      <c r="D13" s="10"/>
      <c r="F13" s="26" t="s">
        <v>69</v>
      </c>
      <c r="G13" s="27">
        <v>0.9</v>
      </c>
      <c r="I13" s="21" t="s">
        <v>18</v>
      </c>
      <c r="J13" s="20">
        <f ca="1">J10*SQRT(250)</f>
        <v>0.25365732982159656</v>
      </c>
      <c r="L13" s="5" t="s">
        <v>7</v>
      </c>
      <c r="M13" s="10" t="s">
        <v>29</v>
      </c>
      <c r="N13" s="10" t="s">
        <v>31</v>
      </c>
      <c r="O13" s="10" t="s">
        <v>33</v>
      </c>
      <c r="P13" s="10" t="s">
        <v>35</v>
      </c>
      <c r="Q13" s="10" t="s">
        <v>37</v>
      </c>
      <c r="R13" s="10" t="s">
        <v>39</v>
      </c>
      <c r="S13" s="10" t="s">
        <v>41</v>
      </c>
      <c r="T13" s="10" t="s">
        <v>43</v>
      </c>
      <c r="U13" s="10" t="s">
        <v>45</v>
      </c>
      <c r="V13" s="10" t="s">
        <v>47</v>
      </c>
    </row>
    <row r="14" spans="1:22" ht="15" thickBot="1" x14ac:dyDescent="0.25">
      <c r="A14" s="6" t="s">
        <v>3</v>
      </c>
      <c r="B14" s="11" t="s">
        <v>14</v>
      </c>
      <c r="C14" s="11" t="s">
        <v>14</v>
      </c>
      <c r="D14" s="11"/>
      <c r="F14" s="11" t="s">
        <v>67</v>
      </c>
      <c r="G14" s="11" t="s">
        <v>68</v>
      </c>
      <c r="I14" s="23"/>
      <c r="J14" s="24"/>
      <c r="L14" s="6" t="s">
        <v>3</v>
      </c>
      <c r="M14" s="11" t="s">
        <v>14</v>
      </c>
      <c r="N14" s="11" t="s">
        <v>14</v>
      </c>
      <c r="O14" s="11" t="s">
        <v>14</v>
      </c>
      <c r="P14" s="11" t="s">
        <v>14</v>
      </c>
      <c r="Q14" s="11" t="s">
        <v>14</v>
      </c>
      <c r="R14" s="11" t="s">
        <v>14</v>
      </c>
      <c r="S14" s="11" t="s">
        <v>14</v>
      </c>
      <c r="T14" s="11" t="s">
        <v>14</v>
      </c>
      <c r="U14" s="11" t="s">
        <v>14</v>
      </c>
      <c r="V14" s="11" t="s">
        <v>14</v>
      </c>
    </row>
    <row r="15" spans="1:22" ht="15" x14ac:dyDescent="0.25">
      <c r="A15" s="3">
        <v>39405</v>
      </c>
      <c r="B15" s="7">
        <v>-1.78</v>
      </c>
      <c r="C15" s="7">
        <v>239.78</v>
      </c>
      <c r="D15" s="7"/>
      <c r="F15" s="28">
        <v>238.27</v>
      </c>
      <c r="G15" s="28">
        <v>251.02</v>
      </c>
      <c r="I15" s="21" t="s">
        <v>60</v>
      </c>
      <c r="J15" s="18">
        <f>C15</f>
        <v>239.78</v>
      </c>
      <c r="L15" s="3">
        <v>39405</v>
      </c>
      <c r="M15" s="19">
        <v>23975</v>
      </c>
      <c r="N15" s="19">
        <v>24471</v>
      </c>
      <c r="O15" s="19">
        <v>25097</v>
      </c>
      <c r="P15" s="19">
        <v>24522</v>
      </c>
      <c r="Q15" s="19">
        <v>23708</v>
      </c>
      <c r="R15" s="19">
        <v>364487</v>
      </c>
      <c r="S15" s="19">
        <v>1020045</v>
      </c>
      <c r="T15" s="19">
        <v>2342472</v>
      </c>
      <c r="U15" s="19">
        <v>1902971</v>
      </c>
      <c r="V15" s="19">
        <v>1420017</v>
      </c>
    </row>
    <row r="16" spans="1:22" x14ac:dyDescent="0.2">
      <c r="A16" s="3">
        <v>39402</v>
      </c>
      <c r="B16" s="7">
        <v>-1.32</v>
      </c>
      <c r="C16" s="7">
        <v>244.13</v>
      </c>
      <c r="D16" s="7"/>
      <c r="F16" s="28">
        <v>241.24</v>
      </c>
      <c r="G16" s="28">
        <v>255.15</v>
      </c>
      <c r="I16" s="21" t="s">
        <v>19</v>
      </c>
      <c r="J16" s="14">
        <v>1</v>
      </c>
      <c r="L16" s="3">
        <v>39402</v>
      </c>
      <c r="M16" s="19">
        <v>24390</v>
      </c>
      <c r="N16" s="19">
        <v>24556</v>
      </c>
      <c r="O16" s="19">
        <v>25095</v>
      </c>
      <c r="P16" s="19">
        <v>24489</v>
      </c>
      <c r="Q16" s="19">
        <v>23682</v>
      </c>
      <c r="R16" s="19">
        <v>761687</v>
      </c>
      <c r="S16" s="19">
        <v>1923264</v>
      </c>
      <c r="T16" s="19">
        <v>2588873</v>
      </c>
      <c r="U16" s="19">
        <v>1915167</v>
      </c>
      <c r="V16" s="19">
        <v>1428021</v>
      </c>
    </row>
    <row r="17" spans="1:22" x14ac:dyDescent="0.2">
      <c r="A17" s="3">
        <v>39401</v>
      </c>
      <c r="B17" s="7">
        <v>-1.1299999999999999</v>
      </c>
      <c r="C17" s="7">
        <v>247.39</v>
      </c>
      <c r="D17" s="7"/>
      <c r="F17" s="28">
        <v>243.69</v>
      </c>
      <c r="G17" s="28">
        <v>258.18</v>
      </c>
      <c r="I17" s="21" t="s">
        <v>20</v>
      </c>
      <c r="J17" s="18">
        <f>J16/250</f>
        <v>4.0000000000000001E-3</v>
      </c>
      <c r="L17" s="3">
        <v>39401</v>
      </c>
      <c r="M17" s="19">
        <v>24600</v>
      </c>
      <c r="N17" s="19">
        <v>24702</v>
      </c>
      <c r="O17" s="19">
        <v>25115</v>
      </c>
      <c r="P17" s="19">
        <v>24450</v>
      </c>
      <c r="Q17" s="19">
        <v>23653</v>
      </c>
      <c r="R17" s="19">
        <v>935830</v>
      </c>
      <c r="S17" s="19">
        <v>1973945</v>
      </c>
      <c r="T17" s="19">
        <v>2731702</v>
      </c>
      <c r="U17" s="19">
        <v>1917569</v>
      </c>
      <c r="V17" s="19">
        <v>1427850</v>
      </c>
    </row>
    <row r="18" spans="1:22" x14ac:dyDescent="0.2">
      <c r="A18" s="3">
        <v>39400</v>
      </c>
      <c r="B18" s="7">
        <v>2.2400000000000002</v>
      </c>
      <c r="C18" s="7">
        <v>250.21</v>
      </c>
      <c r="D18" s="7"/>
      <c r="F18" s="28">
        <v>237.31</v>
      </c>
      <c r="G18" s="28">
        <v>252.89</v>
      </c>
      <c r="I18" s="21" t="s">
        <v>21</v>
      </c>
      <c r="J18" s="20">
        <f ca="1">J12</f>
        <v>0.38791666666666669</v>
      </c>
      <c r="L18" s="3">
        <v>39400</v>
      </c>
      <c r="M18" s="19">
        <v>24890</v>
      </c>
      <c r="N18" s="19">
        <v>24779</v>
      </c>
      <c r="O18" s="19">
        <v>25143</v>
      </c>
      <c r="P18" s="19">
        <v>24389</v>
      </c>
      <c r="Q18" s="19">
        <v>23620</v>
      </c>
      <c r="R18" s="19">
        <v>1694842</v>
      </c>
      <c r="S18" s="19">
        <v>2885720</v>
      </c>
      <c r="T18" s="19">
        <v>2838157</v>
      </c>
      <c r="U18" s="19">
        <v>1953648</v>
      </c>
      <c r="V18" s="19">
        <v>1422674</v>
      </c>
    </row>
    <row r="19" spans="1:22" x14ac:dyDescent="0.2">
      <c r="A19" s="3">
        <v>39399</v>
      </c>
      <c r="B19" s="7">
        <v>0.34</v>
      </c>
      <c r="C19" s="7">
        <v>244.73</v>
      </c>
      <c r="D19" s="7"/>
      <c r="F19" s="28">
        <v>236.38</v>
      </c>
      <c r="G19" s="28">
        <v>251.99</v>
      </c>
      <c r="I19" s="21" t="s">
        <v>0</v>
      </c>
      <c r="J19" s="20">
        <f ca="1">J13</f>
        <v>0.25365732982159656</v>
      </c>
      <c r="L19" s="3">
        <v>39399</v>
      </c>
      <c r="M19" s="19">
        <v>24500</v>
      </c>
      <c r="N19" s="19">
        <v>24943</v>
      </c>
      <c r="O19" s="19">
        <v>25141</v>
      </c>
      <c r="P19" s="19">
        <v>24335</v>
      </c>
      <c r="Q19" s="19">
        <v>23583</v>
      </c>
      <c r="R19" s="19">
        <v>1343381</v>
      </c>
      <c r="S19" s="19">
        <v>2726139</v>
      </c>
      <c r="T19" s="19">
        <v>2940962</v>
      </c>
      <c r="U19" s="19">
        <v>1941222</v>
      </c>
      <c r="V19" s="19">
        <v>1410475</v>
      </c>
    </row>
    <row r="20" spans="1:22" x14ac:dyDescent="0.2">
      <c r="A20" s="3">
        <v>39398</v>
      </c>
      <c r="B20" s="7">
        <v>-3.3</v>
      </c>
      <c r="C20" s="7">
        <v>243.89</v>
      </c>
      <c r="D20" s="7"/>
      <c r="F20" s="28">
        <v>244.81</v>
      </c>
      <c r="G20" s="28">
        <v>260.61</v>
      </c>
      <c r="I20" s="21" t="s">
        <v>1</v>
      </c>
      <c r="J20" s="15">
        <v>0.9</v>
      </c>
      <c r="L20" s="3">
        <v>39398</v>
      </c>
      <c r="M20" s="19">
        <v>24400</v>
      </c>
      <c r="N20" s="19">
        <v>25219</v>
      </c>
      <c r="O20" s="19">
        <v>25181</v>
      </c>
      <c r="P20" s="19">
        <v>24311</v>
      </c>
      <c r="Q20" s="19">
        <v>23550</v>
      </c>
      <c r="R20" s="19">
        <v>4880579</v>
      </c>
      <c r="S20" s="19">
        <v>2679403</v>
      </c>
      <c r="T20" s="19">
        <v>2932908</v>
      </c>
      <c r="U20" s="19">
        <v>1931913</v>
      </c>
      <c r="V20" s="19">
        <v>1421218</v>
      </c>
    </row>
    <row r="21" spans="1:22" x14ac:dyDescent="0.2">
      <c r="A21" s="3">
        <v>39395</v>
      </c>
      <c r="B21" s="7">
        <v>0.9</v>
      </c>
      <c r="C21" s="7">
        <v>252.21</v>
      </c>
      <c r="D21" s="7"/>
      <c r="F21" s="28">
        <v>242.11</v>
      </c>
      <c r="G21" s="28">
        <v>258.41000000000003</v>
      </c>
      <c r="I21" s="23"/>
      <c r="J21" s="24"/>
      <c r="L21" s="3">
        <v>39395</v>
      </c>
      <c r="M21" s="19">
        <v>25120</v>
      </c>
      <c r="N21" s="19">
        <v>25405</v>
      </c>
      <c r="O21" s="19">
        <v>25247</v>
      </c>
      <c r="P21" s="19">
        <v>24293</v>
      </c>
      <c r="Q21" s="19">
        <v>23517</v>
      </c>
      <c r="R21" s="19">
        <v>1015092</v>
      </c>
      <c r="S21" s="19">
        <v>2566944</v>
      </c>
      <c r="T21" s="19">
        <v>2745566</v>
      </c>
      <c r="U21" s="19">
        <v>1863544</v>
      </c>
      <c r="V21" s="19">
        <v>1385117</v>
      </c>
    </row>
    <row r="22" spans="1:22" ht="15" x14ac:dyDescent="0.25">
      <c r="A22" s="3">
        <v>39394</v>
      </c>
      <c r="B22" s="7">
        <v>-3.39</v>
      </c>
      <c r="C22" s="7">
        <v>249.97</v>
      </c>
      <c r="D22" s="7"/>
      <c r="F22" s="28">
        <v>250.97</v>
      </c>
      <c r="G22" s="28">
        <v>267.42</v>
      </c>
      <c r="I22" s="22" t="s">
        <v>61</v>
      </c>
      <c r="J22" s="17">
        <f ca="1">LN(J15)+(J18-0.5*J19^2)*J17</f>
        <v>5.4811448188642293</v>
      </c>
      <c r="L22" s="3">
        <v>39394</v>
      </c>
      <c r="M22" s="19">
        <v>24985</v>
      </c>
      <c r="N22" s="19">
        <v>25460</v>
      </c>
      <c r="O22" s="19">
        <v>25275</v>
      </c>
      <c r="P22" s="19">
        <v>24258</v>
      </c>
      <c r="Q22" s="19">
        <v>23476</v>
      </c>
      <c r="R22" s="19">
        <v>5494707</v>
      </c>
      <c r="S22" s="19">
        <v>3050853</v>
      </c>
      <c r="T22" s="19">
        <v>2774804</v>
      </c>
      <c r="U22" s="19">
        <v>1862132</v>
      </c>
      <c r="V22" s="19">
        <v>1390021</v>
      </c>
    </row>
    <row r="23" spans="1:22" ht="15" x14ac:dyDescent="0.25">
      <c r="A23" s="3">
        <v>39393</v>
      </c>
      <c r="B23" s="7">
        <v>-0.19</v>
      </c>
      <c r="C23" s="7">
        <v>258.74</v>
      </c>
      <c r="D23" s="7"/>
      <c r="F23" s="28">
        <v>251.48</v>
      </c>
      <c r="G23" s="28">
        <v>268.14</v>
      </c>
      <c r="I23" s="22" t="s">
        <v>62</v>
      </c>
      <c r="J23" s="17">
        <f ca="1">J19*SQRT(J17)</f>
        <v>1.6042698148655943E-2</v>
      </c>
      <c r="L23" s="3">
        <v>39393</v>
      </c>
      <c r="M23" s="19">
        <v>25710</v>
      </c>
      <c r="N23" s="19">
        <v>25663</v>
      </c>
      <c r="O23" s="19">
        <v>25333</v>
      </c>
      <c r="P23" s="19">
        <v>24243</v>
      </c>
      <c r="Q23" s="19">
        <v>23439</v>
      </c>
      <c r="R23" s="19">
        <v>896934</v>
      </c>
      <c r="S23" s="19">
        <v>2032685</v>
      </c>
      <c r="T23" s="19">
        <v>2791058</v>
      </c>
      <c r="U23" s="19">
        <v>1779394</v>
      </c>
      <c r="V23" s="19">
        <v>1348245</v>
      </c>
    </row>
    <row r="24" spans="1:22" x14ac:dyDescent="0.2">
      <c r="A24" s="3">
        <v>39392</v>
      </c>
      <c r="B24" s="7">
        <v>2.1</v>
      </c>
      <c r="C24" s="7">
        <v>259.24</v>
      </c>
      <c r="D24" s="7"/>
      <c r="F24" s="28">
        <v>246.3</v>
      </c>
      <c r="G24" s="28">
        <v>262.48</v>
      </c>
      <c r="I24" s="23"/>
      <c r="J24" s="24"/>
      <c r="L24" s="3">
        <v>39392</v>
      </c>
      <c r="M24" s="19">
        <v>25880</v>
      </c>
      <c r="N24" s="19">
        <v>25751</v>
      </c>
      <c r="O24" s="19">
        <v>25344</v>
      </c>
      <c r="P24" s="19">
        <v>24215</v>
      </c>
      <c r="Q24" s="19">
        <v>23395</v>
      </c>
      <c r="R24" s="19">
        <v>1109704</v>
      </c>
      <c r="S24" s="19">
        <v>2011923</v>
      </c>
      <c r="T24" s="19">
        <v>2773077</v>
      </c>
      <c r="U24" s="19">
        <v>1773408</v>
      </c>
      <c r="V24" s="19">
        <v>1347766</v>
      </c>
    </row>
    <row r="25" spans="1:22" ht="15" x14ac:dyDescent="0.25">
      <c r="A25" s="3">
        <v>39391</v>
      </c>
      <c r="B25" s="7">
        <v>-0.33</v>
      </c>
      <c r="C25" s="7">
        <v>253.91</v>
      </c>
      <c r="D25" s="7"/>
      <c r="F25" s="28">
        <v>247.04</v>
      </c>
      <c r="G25" s="28">
        <v>263.32</v>
      </c>
      <c r="I25" s="22" t="s">
        <v>63</v>
      </c>
      <c r="J25" s="16">
        <f ca="1">J22-NORMSINV(0.5*(1+J20))*J23</f>
        <v>5.4547569286283251</v>
      </c>
      <c r="L25" s="3">
        <v>39391</v>
      </c>
      <c r="M25" s="19">
        <v>25330</v>
      </c>
      <c r="N25" s="19">
        <v>25743</v>
      </c>
      <c r="O25" s="19">
        <v>25329</v>
      </c>
      <c r="P25" s="19">
        <v>24175</v>
      </c>
      <c r="Q25" s="19">
        <v>23350</v>
      </c>
      <c r="R25" s="19">
        <v>4318282</v>
      </c>
      <c r="S25" s="19">
        <v>2121978</v>
      </c>
      <c r="T25" s="19">
        <v>2760456</v>
      </c>
      <c r="U25" s="19">
        <v>1761299</v>
      </c>
      <c r="V25" s="19">
        <v>1343461</v>
      </c>
    </row>
    <row r="26" spans="1:22" ht="15" x14ac:dyDescent="0.25">
      <c r="A26" s="3">
        <v>39388</v>
      </c>
      <c r="B26" s="7">
        <v>-2.31</v>
      </c>
      <c r="C26" s="7">
        <v>254.74</v>
      </c>
      <c r="D26" s="7"/>
      <c r="F26" s="28">
        <v>253.11</v>
      </c>
      <c r="G26" s="28">
        <v>269.62</v>
      </c>
      <c r="I26" s="22" t="s">
        <v>64</v>
      </c>
      <c r="J26" s="16">
        <f ca="1">J22+NORMSINV(0.5*(1+J20))*J23</f>
        <v>5.5075327091001336</v>
      </c>
      <c r="L26" s="3">
        <v>39388</v>
      </c>
      <c r="M26" s="19">
        <v>25395</v>
      </c>
      <c r="N26" s="19">
        <v>25829</v>
      </c>
      <c r="O26" s="19">
        <v>25341</v>
      </c>
      <c r="P26" s="19">
        <v>24142</v>
      </c>
      <c r="Q26" s="19">
        <v>23308</v>
      </c>
      <c r="R26" s="19">
        <v>3434637</v>
      </c>
      <c r="S26" s="19">
        <v>1390105</v>
      </c>
      <c r="T26" s="19">
        <v>2662946</v>
      </c>
      <c r="U26" s="19">
        <v>1703721</v>
      </c>
      <c r="V26" s="19">
        <v>1310036</v>
      </c>
    </row>
    <row r="27" spans="1:22" x14ac:dyDescent="0.2">
      <c r="A27" s="3">
        <v>39387</v>
      </c>
      <c r="B27" s="7">
        <v>0.13</v>
      </c>
      <c r="C27" s="7">
        <v>260.76</v>
      </c>
      <c r="D27" s="7"/>
      <c r="F27" s="28">
        <v>252.77</v>
      </c>
      <c r="G27" s="28">
        <v>269.25</v>
      </c>
      <c r="I27" s="23"/>
      <c r="J27" s="24"/>
      <c r="L27" s="3">
        <v>39387</v>
      </c>
      <c r="M27" s="19">
        <v>26000</v>
      </c>
      <c r="N27" s="19">
        <v>25840</v>
      </c>
      <c r="O27" s="19">
        <v>25344</v>
      </c>
      <c r="P27" s="19">
        <v>24113</v>
      </c>
      <c r="Q27" s="19">
        <v>23264</v>
      </c>
      <c r="R27" s="19">
        <v>403868</v>
      </c>
      <c r="S27" s="19">
        <v>879348</v>
      </c>
      <c r="T27" s="19">
        <v>2562600</v>
      </c>
      <c r="U27" s="19">
        <v>1657506</v>
      </c>
      <c r="V27" s="19">
        <v>1283800</v>
      </c>
    </row>
    <row r="28" spans="1:22" ht="15" x14ac:dyDescent="0.25">
      <c r="A28" s="3">
        <v>39386</v>
      </c>
      <c r="B28" s="7">
        <v>0.6</v>
      </c>
      <c r="C28" s="7">
        <v>260.42</v>
      </c>
      <c r="D28" s="7"/>
      <c r="F28" s="28">
        <v>250.75</v>
      </c>
      <c r="G28" s="28">
        <v>267.77</v>
      </c>
      <c r="I28" s="22" t="s">
        <v>65</v>
      </c>
      <c r="J28" s="16">
        <f ca="1">EXP(J25)</f>
        <v>233.868017540203</v>
      </c>
      <c r="L28" s="3">
        <v>39386</v>
      </c>
      <c r="M28" s="19">
        <v>26150</v>
      </c>
      <c r="N28" s="19">
        <v>25605</v>
      </c>
      <c r="O28" s="19">
        <v>25321</v>
      </c>
      <c r="P28" s="19">
        <v>24069</v>
      </c>
      <c r="Q28" s="19">
        <v>23216</v>
      </c>
      <c r="R28" s="19">
        <v>793126</v>
      </c>
      <c r="S28" s="19">
        <v>1954893</v>
      </c>
      <c r="T28" s="19">
        <v>2587203</v>
      </c>
      <c r="U28" s="19">
        <v>1687579</v>
      </c>
      <c r="V28" s="19">
        <v>1282168</v>
      </c>
    </row>
    <row r="29" spans="1:22" ht="15" x14ac:dyDescent="0.25">
      <c r="A29" s="3">
        <v>39385</v>
      </c>
      <c r="B29" s="7">
        <v>-0.59</v>
      </c>
      <c r="C29" s="7">
        <v>258.87</v>
      </c>
      <c r="D29" s="7"/>
      <c r="F29" s="28">
        <v>252.3</v>
      </c>
      <c r="G29" s="28">
        <v>269.45</v>
      </c>
      <c r="I29" s="22" t="s">
        <v>66</v>
      </c>
      <c r="J29" s="16">
        <f ca="1">EXP(J26)</f>
        <v>246.5420849918668</v>
      </c>
      <c r="L29" s="3">
        <v>39385</v>
      </c>
      <c r="M29" s="19">
        <v>25840</v>
      </c>
      <c r="N29" s="19">
        <v>25236</v>
      </c>
      <c r="O29" s="19">
        <v>25287</v>
      </c>
      <c r="P29" s="19">
        <v>24024</v>
      </c>
      <c r="Q29" s="19">
        <v>23165</v>
      </c>
      <c r="R29" s="19">
        <v>1659975</v>
      </c>
      <c r="S29" s="19">
        <v>2938765</v>
      </c>
      <c r="T29" s="19">
        <v>2601515</v>
      </c>
      <c r="U29" s="19">
        <v>1713668</v>
      </c>
      <c r="V29" s="19">
        <v>1277453</v>
      </c>
    </row>
    <row r="30" spans="1:22" x14ac:dyDescent="0.2">
      <c r="A30" s="3">
        <v>39384</v>
      </c>
      <c r="B30" s="7">
        <v>1.86</v>
      </c>
      <c r="C30" s="7">
        <v>260.39999999999998</v>
      </c>
      <c r="D30" s="7"/>
      <c r="F30" s="28">
        <v>247.7</v>
      </c>
      <c r="G30" s="28">
        <v>264.48</v>
      </c>
      <c r="L30" s="3">
        <v>39384</v>
      </c>
      <c r="M30" s="19">
        <v>25760</v>
      </c>
      <c r="N30" s="19">
        <v>24956</v>
      </c>
      <c r="O30" s="19">
        <v>25241</v>
      </c>
      <c r="P30" s="19">
        <v>24000</v>
      </c>
      <c r="Q30" s="19">
        <v>23115</v>
      </c>
      <c r="R30" s="19">
        <v>658921</v>
      </c>
      <c r="S30" s="19">
        <v>3548460</v>
      </c>
      <c r="T30" s="19">
        <v>2538650</v>
      </c>
      <c r="U30" s="19">
        <v>1739334</v>
      </c>
      <c r="V30" s="19">
        <v>1264773</v>
      </c>
    </row>
    <row r="31" spans="1:22" x14ac:dyDescent="0.2">
      <c r="A31" s="3">
        <v>39381</v>
      </c>
      <c r="B31" s="7">
        <v>2.75</v>
      </c>
      <c r="C31" s="7">
        <v>255.65</v>
      </c>
      <c r="D31" s="7"/>
      <c r="F31" s="28">
        <v>240.6</v>
      </c>
      <c r="G31" s="28">
        <v>257.27999999999997</v>
      </c>
      <c r="L31" s="3">
        <v>39381</v>
      </c>
      <c r="M31" s="19">
        <v>25451</v>
      </c>
      <c r="N31" s="19">
        <v>24589</v>
      </c>
      <c r="O31" s="19">
        <v>25187</v>
      </c>
      <c r="P31" s="19">
        <v>23974</v>
      </c>
      <c r="Q31" s="19">
        <v>23066</v>
      </c>
      <c r="R31" s="19">
        <v>880850</v>
      </c>
      <c r="S31" s="19">
        <v>4475178</v>
      </c>
      <c r="T31" s="19">
        <v>2520544</v>
      </c>
      <c r="U31" s="19">
        <v>1763662</v>
      </c>
      <c r="V31" s="19">
        <v>1261461</v>
      </c>
    </row>
    <row r="32" spans="1:22" x14ac:dyDescent="0.2">
      <c r="A32" s="3">
        <v>39380</v>
      </c>
      <c r="B32" s="7">
        <v>2.2599999999999998</v>
      </c>
      <c r="C32" s="7">
        <v>248.8</v>
      </c>
      <c r="D32" s="7"/>
      <c r="F32" s="28">
        <v>235.14</v>
      </c>
      <c r="G32" s="28">
        <v>251.41</v>
      </c>
      <c r="J32" s="25"/>
      <c r="L32" s="3">
        <v>39380</v>
      </c>
      <c r="M32" s="19">
        <v>24827</v>
      </c>
      <c r="N32" s="19">
        <v>24457</v>
      </c>
      <c r="O32" s="19">
        <v>25148</v>
      </c>
      <c r="P32" s="19">
        <v>23945</v>
      </c>
      <c r="Q32" s="19">
        <v>23019</v>
      </c>
      <c r="R32" s="19">
        <v>5781595</v>
      </c>
      <c r="S32" s="19">
        <v>5022662</v>
      </c>
      <c r="T32" s="19">
        <v>2492257</v>
      </c>
      <c r="U32" s="19">
        <v>1764795</v>
      </c>
      <c r="V32" s="19">
        <v>1258962</v>
      </c>
    </row>
    <row r="33" spans="1:22" x14ac:dyDescent="0.2">
      <c r="A33" s="3">
        <v>39379</v>
      </c>
      <c r="B33" s="7">
        <v>-0.65</v>
      </c>
      <c r="C33" s="7">
        <v>243.31</v>
      </c>
      <c r="D33" s="7"/>
      <c r="F33" s="28">
        <v>236.72</v>
      </c>
      <c r="G33" s="28">
        <v>253.1</v>
      </c>
      <c r="J33" s="25"/>
      <c r="L33" s="3">
        <v>39379</v>
      </c>
      <c r="M33" s="19">
        <v>24303</v>
      </c>
      <c r="N33" s="19">
        <v>24525</v>
      </c>
      <c r="O33" s="19">
        <v>25123</v>
      </c>
      <c r="P33" s="19">
        <v>23946</v>
      </c>
      <c r="Q33" s="19">
        <v>22976</v>
      </c>
      <c r="R33" s="19">
        <v>5712483</v>
      </c>
      <c r="S33" s="19">
        <v>4479329</v>
      </c>
      <c r="T33" s="19">
        <v>2234739</v>
      </c>
      <c r="U33" s="19">
        <v>1674022</v>
      </c>
      <c r="V33" s="19">
        <v>1220564</v>
      </c>
    </row>
    <row r="34" spans="1:22" x14ac:dyDescent="0.2">
      <c r="A34" s="3">
        <v>39378</v>
      </c>
      <c r="B34" s="7">
        <v>2.0699999999999998</v>
      </c>
      <c r="C34" s="7">
        <v>244.9</v>
      </c>
      <c r="D34" s="7"/>
      <c r="F34" s="28">
        <v>231.93</v>
      </c>
      <c r="G34" s="28">
        <v>247.82</v>
      </c>
      <c r="J34" s="25"/>
      <c r="L34" s="3">
        <v>39378</v>
      </c>
      <c r="M34" s="19">
        <v>24438</v>
      </c>
      <c r="N34" s="19">
        <v>24633</v>
      </c>
      <c r="O34" s="19">
        <v>25115</v>
      </c>
      <c r="P34" s="19">
        <v>23964</v>
      </c>
      <c r="Q34" s="19">
        <v>22940</v>
      </c>
      <c r="R34" s="19">
        <v>4708451</v>
      </c>
      <c r="S34" s="19">
        <v>4087019</v>
      </c>
      <c r="T34" s="19">
        <v>2007922</v>
      </c>
      <c r="U34" s="19">
        <v>1587305</v>
      </c>
      <c r="V34" s="19">
        <v>1175212</v>
      </c>
    </row>
    <row r="35" spans="1:22" x14ac:dyDescent="0.2">
      <c r="A35" s="3">
        <v>39377</v>
      </c>
      <c r="B35" s="7">
        <v>-3.39</v>
      </c>
      <c r="C35" s="7">
        <v>239.94</v>
      </c>
      <c r="D35" s="7"/>
      <c r="F35" s="28">
        <v>240.39</v>
      </c>
      <c r="G35" s="28">
        <v>256.47000000000003</v>
      </c>
      <c r="L35" s="3">
        <v>39377</v>
      </c>
      <c r="M35" s="19">
        <v>23929</v>
      </c>
      <c r="N35" s="19">
        <v>24808</v>
      </c>
      <c r="O35" s="19">
        <v>25101</v>
      </c>
      <c r="P35" s="19">
        <v>23975</v>
      </c>
      <c r="Q35" s="19">
        <v>22901</v>
      </c>
      <c r="R35" s="19">
        <v>5292509</v>
      </c>
      <c r="S35" s="19">
        <v>3381792</v>
      </c>
      <c r="T35" s="19">
        <v>1832782</v>
      </c>
      <c r="U35" s="19">
        <v>1524009</v>
      </c>
      <c r="V35" s="19">
        <v>1138057</v>
      </c>
    </row>
    <row r="36" spans="1:22" x14ac:dyDescent="0.2">
      <c r="A36" s="3">
        <v>39374</v>
      </c>
      <c r="B36" s="7">
        <v>-1.68</v>
      </c>
      <c r="C36" s="7">
        <v>248.35</v>
      </c>
      <c r="D36" s="7"/>
      <c r="F36" s="28">
        <v>244.63</v>
      </c>
      <c r="G36" s="28">
        <v>261.08</v>
      </c>
      <c r="L36" s="3">
        <v>39374</v>
      </c>
      <c r="M36" s="19">
        <v>24787</v>
      </c>
      <c r="N36" s="19">
        <v>25165</v>
      </c>
      <c r="O36" s="19">
        <v>25066</v>
      </c>
      <c r="P36" s="19">
        <v>23995</v>
      </c>
      <c r="Q36" s="19">
        <v>22867</v>
      </c>
      <c r="R36" s="19">
        <v>3618270</v>
      </c>
      <c r="S36" s="19">
        <v>2550036</v>
      </c>
      <c r="T36" s="19">
        <v>1607174</v>
      </c>
      <c r="U36" s="19">
        <v>1463303</v>
      </c>
      <c r="V36" s="19">
        <v>1101384</v>
      </c>
    </row>
    <row r="37" spans="1:22" x14ac:dyDescent="0.2">
      <c r="A37" s="3">
        <v>39373</v>
      </c>
      <c r="B37" s="7">
        <v>0.85</v>
      </c>
      <c r="C37" s="7">
        <v>252.6</v>
      </c>
      <c r="D37" s="7"/>
      <c r="F37" s="28">
        <v>242.56</v>
      </c>
      <c r="G37" s="28">
        <v>258.85000000000002</v>
      </c>
      <c r="L37" s="3">
        <v>39373</v>
      </c>
      <c r="M37" s="19">
        <v>25171</v>
      </c>
      <c r="N37" s="19">
        <v>25343</v>
      </c>
      <c r="O37" s="19">
        <v>25008</v>
      </c>
      <c r="P37" s="19">
        <v>23997</v>
      </c>
      <c r="Q37" s="19">
        <v>22825</v>
      </c>
      <c r="R37" s="19">
        <v>3064931</v>
      </c>
      <c r="S37" s="19">
        <v>2146353</v>
      </c>
      <c r="T37" s="19">
        <v>1435989</v>
      </c>
      <c r="U37" s="19">
        <v>1431247</v>
      </c>
      <c r="V37" s="19">
        <v>1078713</v>
      </c>
    </row>
    <row r="38" spans="1:22" x14ac:dyDescent="0.2">
      <c r="A38" s="3">
        <v>39372</v>
      </c>
      <c r="B38" s="7">
        <v>-1.1599999999999999</v>
      </c>
      <c r="C38" s="7">
        <v>250.48</v>
      </c>
      <c r="D38" s="7"/>
      <c r="F38" s="28">
        <v>245.41</v>
      </c>
      <c r="G38" s="28">
        <v>261.89999999999998</v>
      </c>
      <c r="L38" s="3">
        <v>39372</v>
      </c>
      <c r="M38" s="19">
        <v>24842</v>
      </c>
      <c r="N38" s="19">
        <v>25539</v>
      </c>
      <c r="O38" s="19">
        <v>24932</v>
      </c>
      <c r="P38" s="19">
        <v>23985</v>
      </c>
      <c r="Q38" s="19">
        <v>22779</v>
      </c>
      <c r="R38" s="19">
        <v>3750936</v>
      </c>
      <c r="S38" s="19">
        <v>2697325</v>
      </c>
      <c r="T38" s="19">
        <v>1299993</v>
      </c>
      <c r="U38" s="19">
        <v>1393582</v>
      </c>
      <c r="V38" s="19">
        <v>1056421</v>
      </c>
    </row>
    <row r="39" spans="1:22" x14ac:dyDescent="0.2">
      <c r="A39" s="3">
        <v>39371</v>
      </c>
      <c r="B39" s="7">
        <v>-1.65</v>
      </c>
      <c r="C39" s="7">
        <v>253.43</v>
      </c>
      <c r="D39" s="7"/>
      <c r="F39" s="28">
        <v>249.6</v>
      </c>
      <c r="G39" s="28">
        <v>266.29000000000002</v>
      </c>
      <c r="L39" s="3">
        <v>39371</v>
      </c>
      <c r="M39" s="19">
        <v>25311</v>
      </c>
      <c r="N39" s="19">
        <v>25755</v>
      </c>
      <c r="O39" s="19">
        <v>24855</v>
      </c>
      <c r="P39" s="19">
        <v>23978</v>
      </c>
      <c r="Q39" s="19">
        <v>22733</v>
      </c>
      <c r="R39" s="19">
        <v>1182313</v>
      </c>
      <c r="S39" s="19">
        <v>2054601</v>
      </c>
      <c r="T39" s="19">
        <v>1139161</v>
      </c>
      <c r="U39" s="19">
        <v>1361216</v>
      </c>
      <c r="V39" s="19">
        <v>1036564</v>
      </c>
    </row>
    <row r="40" spans="1:22" x14ac:dyDescent="0.2">
      <c r="A40" s="3">
        <v>39370</v>
      </c>
      <c r="B40" s="7">
        <v>0.14000000000000001</v>
      </c>
      <c r="C40" s="7">
        <v>257.68</v>
      </c>
      <c r="D40" s="7"/>
      <c r="F40" s="28">
        <v>249.21</v>
      </c>
      <c r="G40" s="28">
        <v>266.19</v>
      </c>
      <c r="L40" s="3">
        <v>39370</v>
      </c>
      <c r="M40" s="19">
        <v>25715</v>
      </c>
      <c r="N40" s="19">
        <v>25810</v>
      </c>
      <c r="O40" s="19">
        <v>24737</v>
      </c>
      <c r="P40" s="19">
        <v>23968</v>
      </c>
      <c r="Q40" s="19">
        <v>22686</v>
      </c>
      <c r="R40" s="19">
        <v>1133730</v>
      </c>
      <c r="S40" s="19">
        <v>1989596</v>
      </c>
      <c r="T40" s="19">
        <v>1212279</v>
      </c>
      <c r="U40" s="19">
        <v>1348280</v>
      </c>
      <c r="V40" s="19">
        <v>1028602</v>
      </c>
    </row>
    <row r="41" spans="1:22" x14ac:dyDescent="0.2">
      <c r="A41" s="3">
        <v>39367</v>
      </c>
      <c r="B41" s="7">
        <v>-1.72</v>
      </c>
      <c r="C41" s="7">
        <v>257.31</v>
      </c>
      <c r="D41" s="7"/>
      <c r="F41" s="28">
        <v>253.74</v>
      </c>
      <c r="G41" s="28">
        <v>270.93</v>
      </c>
      <c r="L41" s="3">
        <v>39367</v>
      </c>
      <c r="M41" s="19">
        <v>25675</v>
      </c>
      <c r="N41" s="19">
        <v>25780</v>
      </c>
      <c r="O41" s="19">
        <v>24624</v>
      </c>
      <c r="P41" s="19">
        <v>23953</v>
      </c>
      <c r="Q41" s="19">
        <v>22635</v>
      </c>
      <c r="R41" s="19">
        <v>1599854</v>
      </c>
      <c r="S41" s="19">
        <v>2236466</v>
      </c>
      <c r="T41" s="19">
        <v>1237815</v>
      </c>
      <c r="U41" s="19">
        <v>1343710</v>
      </c>
      <c r="V41" s="19">
        <v>1023549</v>
      </c>
    </row>
    <row r="42" spans="1:22" x14ac:dyDescent="0.2">
      <c r="A42" s="3">
        <v>39366</v>
      </c>
      <c r="B42" s="7">
        <v>0.78</v>
      </c>
      <c r="C42" s="7">
        <v>261.82</v>
      </c>
      <c r="D42" s="7"/>
      <c r="F42" s="28">
        <v>251.73</v>
      </c>
      <c r="G42" s="28">
        <v>268.77999999999997</v>
      </c>
      <c r="L42" s="3">
        <v>39366</v>
      </c>
      <c r="M42" s="19">
        <v>26154</v>
      </c>
      <c r="N42" s="19">
        <v>25735</v>
      </c>
      <c r="O42" s="19">
        <v>24503</v>
      </c>
      <c r="P42" s="19">
        <v>23927</v>
      </c>
      <c r="Q42" s="19">
        <v>22584</v>
      </c>
      <c r="R42" s="19">
        <v>5819794</v>
      </c>
      <c r="S42" s="19">
        <v>2202036</v>
      </c>
      <c r="T42" s="19">
        <v>1314895</v>
      </c>
      <c r="U42" s="19">
        <v>1339051</v>
      </c>
      <c r="V42" s="19">
        <v>1016136</v>
      </c>
    </row>
    <row r="43" spans="1:22" x14ac:dyDescent="0.2">
      <c r="A43" s="3">
        <v>39365</v>
      </c>
      <c r="B43" s="7">
        <v>1.41</v>
      </c>
      <c r="C43" s="7">
        <v>259.79000000000002</v>
      </c>
      <c r="D43" s="7"/>
      <c r="F43" s="28">
        <v>248.24</v>
      </c>
      <c r="G43" s="28">
        <v>264.99</v>
      </c>
      <c r="L43" s="3">
        <v>39365</v>
      </c>
      <c r="M43" s="19">
        <v>25920</v>
      </c>
      <c r="N43" s="19">
        <v>25614</v>
      </c>
      <c r="O43" s="19">
        <v>24388</v>
      </c>
      <c r="P43" s="19">
        <v>23888</v>
      </c>
      <c r="Q43" s="19">
        <v>22528</v>
      </c>
      <c r="R43" s="19">
        <v>537316</v>
      </c>
      <c r="S43" s="19">
        <v>1217266</v>
      </c>
      <c r="T43" s="19">
        <v>1106088</v>
      </c>
      <c r="U43" s="19">
        <v>1246420</v>
      </c>
      <c r="V43" s="19">
        <v>979883</v>
      </c>
    </row>
    <row r="44" spans="1:22" x14ac:dyDescent="0.2">
      <c r="A44" s="3">
        <v>39364</v>
      </c>
      <c r="B44" s="7">
        <v>0.13</v>
      </c>
      <c r="C44" s="7">
        <v>256.19</v>
      </c>
      <c r="D44" s="7"/>
      <c r="F44" s="28">
        <v>247.95</v>
      </c>
      <c r="G44" s="28">
        <v>264.74</v>
      </c>
      <c r="L44" s="3">
        <v>39364</v>
      </c>
      <c r="M44" s="19">
        <v>25585</v>
      </c>
      <c r="N44" s="19">
        <v>25525</v>
      </c>
      <c r="O44" s="19">
        <v>24290</v>
      </c>
      <c r="P44" s="19">
        <v>23854</v>
      </c>
      <c r="Q44" s="19">
        <v>22475</v>
      </c>
      <c r="R44" s="19">
        <v>857284</v>
      </c>
      <c r="S44" s="19">
        <v>1325672</v>
      </c>
      <c r="T44" s="19">
        <v>1169813</v>
      </c>
      <c r="U44" s="19">
        <v>1244968</v>
      </c>
      <c r="V44" s="19">
        <v>995859</v>
      </c>
    </row>
    <row r="45" spans="1:22" x14ac:dyDescent="0.2">
      <c r="A45" s="3">
        <v>39363</v>
      </c>
      <c r="B45" s="7">
        <v>0.88</v>
      </c>
      <c r="C45" s="7">
        <v>255.87</v>
      </c>
      <c r="D45" s="7"/>
      <c r="F45" s="28">
        <v>245.78</v>
      </c>
      <c r="G45" s="28">
        <v>262.41000000000003</v>
      </c>
      <c r="L45" s="3">
        <v>39363</v>
      </c>
      <c r="M45" s="19">
        <v>25565</v>
      </c>
      <c r="N45" s="19">
        <v>25389</v>
      </c>
      <c r="O45" s="19">
        <v>24198</v>
      </c>
      <c r="P45" s="19">
        <v>23823</v>
      </c>
      <c r="Q45" s="19">
        <v>22424</v>
      </c>
      <c r="R45" s="19">
        <v>2368082</v>
      </c>
      <c r="S45" s="19">
        <v>1234753</v>
      </c>
      <c r="T45" s="19">
        <v>1242987</v>
      </c>
      <c r="U45" s="19">
        <v>1252395</v>
      </c>
      <c r="V45" s="19">
        <v>998702</v>
      </c>
    </row>
    <row r="46" spans="1:22" x14ac:dyDescent="0.2">
      <c r="A46" s="3">
        <v>39360</v>
      </c>
      <c r="B46" s="7">
        <v>-0.51</v>
      </c>
      <c r="C46" s="7">
        <v>253.63</v>
      </c>
      <c r="D46" s="7"/>
      <c r="F46" s="28">
        <v>247.08</v>
      </c>
      <c r="G46" s="28">
        <v>263.79000000000002</v>
      </c>
      <c r="L46" s="3">
        <v>39360</v>
      </c>
      <c r="M46" s="19">
        <v>25451</v>
      </c>
      <c r="N46" s="19">
        <v>25213</v>
      </c>
      <c r="O46" s="19">
        <v>24111</v>
      </c>
      <c r="P46" s="19">
        <v>23787</v>
      </c>
      <c r="Q46" s="19">
        <v>22371</v>
      </c>
      <c r="R46" s="19">
        <v>1427703</v>
      </c>
      <c r="S46" s="19">
        <v>820496</v>
      </c>
      <c r="T46" s="19">
        <v>1193262</v>
      </c>
      <c r="U46" s="19">
        <v>1220175</v>
      </c>
      <c r="V46" s="19">
        <v>990962</v>
      </c>
    </row>
    <row r="47" spans="1:22" x14ac:dyDescent="0.2">
      <c r="A47" s="3">
        <v>39359</v>
      </c>
      <c r="B47" s="7">
        <v>-0.73</v>
      </c>
      <c r="C47" s="7">
        <v>254.92</v>
      </c>
      <c r="D47" s="7"/>
      <c r="F47" s="28">
        <v>248.97</v>
      </c>
      <c r="G47" s="28">
        <v>265.88</v>
      </c>
      <c r="L47" s="3">
        <v>39359</v>
      </c>
      <c r="M47" s="19">
        <v>25550</v>
      </c>
      <c r="N47" s="19">
        <v>25059</v>
      </c>
      <c r="O47" s="19">
        <v>24031</v>
      </c>
      <c r="P47" s="19">
        <v>23751</v>
      </c>
      <c r="Q47" s="19">
        <v>22319</v>
      </c>
      <c r="R47" s="19">
        <v>895943</v>
      </c>
      <c r="S47" s="19">
        <v>597977</v>
      </c>
      <c r="T47" s="19">
        <v>1200858</v>
      </c>
      <c r="U47" s="19">
        <v>1203437</v>
      </c>
      <c r="V47" s="19">
        <v>984232</v>
      </c>
    </row>
    <row r="48" spans="1:22" x14ac:dyDescent="0.2">
      <c r="A48" s="3">
        <v>39357</v>
      </c>
      <c r="B48" s="7">
        <v>3.01</v>
      </c>
      <c r="C48" s="7">
        <v>256.8</v>
      </c>
      <c r="D48" s="7"/>
      <c r="F48" s="28">
        <v>241.74</v>
      </c>
      <c r="G48" s="28">
        <v>257.99</v>
      </c>
      <c r="L48" s="3">
        <v>39357</v>
      </c>
      <c r="M48" s="19">
        <v>25476</v>
      </c>
      <c r="N48" s="19">
        <v>24814</v>
      </c>
      <c r="O48" s="19">
        <v>23949</v>
      </c>
      <c r="P48" s="19">
        <v>23710</v>
      </c>
      <c r="Q48" s="19">
        <v>22265</v>
      </c>
      <c r="R48" s="19">
        <v>1079350</v>
      </c>
      <c r="S48" s="19">
        <v>545034</v>
      </c>
      <c r="T48" s="19">
        <v>1194367</v>
      </c>
      <c r="U48" s="19">
        <v>1193972</v>
      </c>
      <c r="V48" s="19">
        <v>987763</v>
      </c>
    </row>
    <row r="49" spans="1:22" x14ac:dyDescent="0.2">
      <c r="A49" s="3">
        <v>39356</v>
      </c>
      <c r="B49" s="7">
        <v>0.85</v>
      </c>
      <c r="C49" s="7">
        <v>249.3</v>
      </c>
      <c r="D49" s="7"/>
      <c r="F49" s="28">
        <v>239.71</v>
      </c>
      <c r="G49" s="28">
        <v>255.87</v>
      </c>
      <c r="L49" s="3">
        <v>39356</v>
      </c>
      <c r="M49" s="19">
        <v>24902</v>
      </c>
      <c r="N49" s="19">
        <v>24547</v>
      </c>
      <c r="O49" s="19">
        <v>23849</v>
      </c>
      <c r="P49" s="19">
        <v>23664</v>
      </c>
      <c r="Q49" s="19">
        <v>22211</v>
      </c>
      <c r="R49" s="19">
        <v>402685</v>
      </c>
      <c r="S49" s="19">
        <v>564396</v>
      </c>
      <c r="T49" s="19">
        <v>1222139</v>
      </c>
      <c r="U49" s="19">
        <v>1193462</v>
      </c>
      <c r="V49" s="19">
        <v>985888</v>
      </c>
    </row>
    <row r="50" spans="1:22" x14ac:dyDescent="0.2">
      <c r="A50" s="3">
        <v>39353</v>
      </c>
      <c r="B50" s="7">
        <v>0.04</v>
      </c>
      <c r="C50" s="7">
        <v>247.2</v>
      </c>
      <c r="D50" s="7"/>
      <c r="F50" s="28">
        <v>239.58</v>
      </c>
      <c r="G50" s="28">
        <v>255.75</v>
      </c>
      <c r="L50" s="3">
        <v>39353</v>
      </c>
      <c r="M50" s="19">
        <v>24687</v>
      </c>
      <c r="N50" s="19">
        <v>24399</v>
      </c>
      <c r="O50" s="19">
        <v>23767</v>
      </c>
      <c r="P50" s="19">
        <v>23619</v>
      </c>
      <c r="Q50" s="19">
        <v>22162</v>
      </c>
      <c r="R50" s="19">
        <v>296800</v>
      </c>
      <c r="S50" s="19">
        <v>724990</v>
      </c>
      <c r="T50" s="19">
        <v>1322926</v>
      </c>
      <c r="U50" s="19">
        <v>1191286</v>
      </c>
      <c r="V50" s="19">
        <v>995987</v>
      </c>
    </row>
    <row r="51" spans="1:22" x14ac:dyDescent="0.2">
      <c r="A51" s="3">
        <v>39352</v>
      </c>
      <c r="B51" s="7">
        <v>1.5</v>
      </c>
      <c r="C51" s="7">
        <v>247.1</v>
      </c>
      <c r="D51" s="7"/>
      <c r="F51" s="28">
        <v>236.03</v>
      </c>
      <c r="G51" s="28">
        <v>251.94</v>
      </c>
      <c r="L51" s="3">
        <v>39352</v>
      </c>
      <c r="M51" s="19">
        <v>24682</v>
      </c>
      <c r="N51" s="19">
        <v>24107</v>
      </c>
      <c r="O51" s="19">
        <v>23694</v>
      </c>
      <c r="P51" s="19">
        <v>23576</v>
      </c>
      <c r="Q51" s="19">
        <v>22113</v>
      </c>
      <c r="R51" s="19">
        <v>315109</v>
      </c>
      <c r="S51" s="19">
        <v>821699</v>
      </c>
      <c r="T51" s="19">
        <v>1428743</v>
      </c>
      <c r="U51" s="19">
        <v>1198121</v>
      </c>
      <c r="V51" s="19">
        <v>1010274</v>
      </c>
    </row>
    <row r="52" spans="1:22" x14ac:dyDescent="0.2">
      <c r="A52" s="3">
        <v>39346</v>
      </c>
      <c r="B52" s="7">
        <v>0.42</v>
      </c>
      <c r="C52" s="7">
        <v>243.45</v>
      </c>
      <c r="D52" s="7"/>
      <c r="F52" s="28">
        <v>234.96</v>
      </c>
      <c r="G52" s="28">
        <v>250.83</v>
      </c>
      <c r="L52" s="3">
        <v>39346</v>
      </c>
      <c r="M52" s="19">
        <v>24323</v>
      </c>
      <c r="N52" s="19">
        <v>23896</v>
      </c>
      <c r="O52" s="19">
        <v>23603</v>
      </c>
      <c r="P52" s="19">
        <v>23531</v>
      </c>
      <c r="Q52" s="19">
        <v>22064</v>
      </c>
      <c r="R52" s="19">
        <v>631227</v>
      </c>
      <c r="S52" s="19">
        <v>797589</v>
      </c>
      <c r="T52" s="19">
        <v>1500935</v>
      </c>
      <c r="U52" s="19">
        <v>1213297</v>
      </c>
      <c r="V52" s="19">
        <v>1013113</v>
      </c>
    </row>
    <row r="53" spans="1:22" x14ac:dyDescent="0.2">
      <c r="A53" s="3">
        <v>39345</v>
      </c>
      <c r="B53" s="7">
        <v>0.56000000000000005</v>
      </c>
      <c r="C53" s="7">
        <v>242.42</v>
      </c>
      <c r="D53" s="7"/>
      <c r="F53" s="28">
        <v>233.62</v>
      </c>
      <c r="G53" s="28">
        <v>249.41</v>
      </c>
      <c r="L53" s="3">
        <v>39345</v>
      </c>
      <c r="M53" s="19">
        <v>24143</v>
      </c>
      <c r="N53" s="19">
        <v>23760</v>
      </c>
      <c r="O53" s="19">
        <v>23521</v>
      </c>
      <c r="P53" s="19">
        <v>23487</v>
      </c>
      <c r="Q53" s="19">
        <v>22018</v>
      </c>
      <c r="R53" s="19">
        <v>1176160</v>
      </c>
      <c r="S53" s="19">
        <v>740348</v>
      </c>
      <c r="T53" s="19">
        <v>1584157</v>
      </c>
      <c r="U53" s="19">
        <v>1208229</v>
      </c>
      <c r="V53" s="19">
        <v>1023023</v>
      </c>
    </row>
    <row r="54" spans="1:22" x14ac:dyDescent="0.2">
      <c r="A54" s="3">
        <v>39344</v>
      </c>
      <c r="B54" s="7">
        <v>3.73</v>
      </c>
      <c r="C54" s="7">
        <v>241.08</v>
      </c>
      <c r="D54" s="7"/>
      <c r="F54" s="28">
        <v>225.26</v>
      </c>
      <c r="G54" s="28">
        <v>240.07</v>
      </c>
      <c r="L54" s="3">
        <v>39344</v>
      </c>
      <c r="M54" s="19">
        <v>24158</v>
      </c>
      <c r="N54" s="19">
        <v>23591</v>
      </c>
      <c r="O54" s="19">
        <v>23457</v>
      </c>
      <c r="P54" s="19">
        <v>23451</v>
      </c>
      <c r="Q54" s="19">
        <v>21973</v>
      </c>
      <c r="R54" s="19">
        <v>1205652</v>
      </c>
      <c r="S54" s="19">
        <v>611973</v>
      </c>
      <c r="T54" s="19">
        <v>1568761</v>
      </c>
      <c r="U54" s="19">
        <v>1195124</v>
      </c>
      <c r="V54" s="19">
        <v>1023003</v>
      </c>
    </row>
    <row r="55" spans="1:22" x14ac:dyDescent="0.2">
      <c r="A55" s="3">
        <v>39343</v>
      </c>
      <c r="B55" s="7">
        <v>-1.82</v>
      </c>
      <c r="C55" s="7">
        <v>232.42</v>
      </c>
      <c r="D55" s="7"/>
      <c r="F55" s="28">
        <v>229.48</v>
      </c>
      <c r="G55" s="28">
        <v>244.5</v>
      </c>
      <c r="L55" s="3">
        <v>39343</v>
      </c>
      <c r="M55" s="19">
        <v>23230</v>
      </c>
      <c r="N55" s="19">
        <v>23351</v>
      </c>
      <c r="O55" s="19">
        <v>23369</v>
      </c>
      <c r="P55" s="19">
        <v>23416</v>
      </c>
      <c r="Q55" s="19">
        <v>21924</v>
      </c>
      <c r="R55" s="19">
        <v>780348</v>
      </c>
      <c r="S55" s="19">
        <v>899779</v>
      </c>
      <c r="T55" s="19">
        <v>1533658</v>
      </c>
      <c r="U55" s="19">
        <v>1192046</v>
      </c>
      <c r="V55" s="19">
        <v>1031585</v>
      </c>
    </row>
    <row r="56" spans="1:22" x14ac:dyDescent="0.2">
      <c r="A56" s="3">
        <v>39342</v>
      </c>
      <c r="B56" s="7">
        <v>0.08</v>
      </c>
      <c r="C56" s="7">
        <v>236.72</v>
      </c>
      <c r="D56" s="7"/>
      <c r="F56" s="28">
        <v>229.32</v>
      </c>
      <c r="G56" s="28">
        <v>244.34</v>
      </c>
      <c r="L56" s="3">
        <v>39342</v>
      </c>
      <c r="M56" s="19">
        <v>23624</v>
      </c>
      <c r="N56" s="19">
        <v>23396</v>
      </c>
      <c r="O56" s="19">
        <v>23306</v>
      </c>
      <c r="P56" s="19">
        <v>23399</v>
      </c>
      <c r="Q56" s="19">
        <v>21887</v>
      </c>
      <c r="R56" s="19">
        <v>194558</v>
      </c>
      <c r="S56" s="19">
        <v>1072600</v>
      </c>
      <c r="T56" s="19">
        <v>1549453</v>
      </c>
      <c r="U56" s="19">
        <v>1185436</v>
      </c>
      <c r="V56" s="19">
        <v>1028578</v>
      </c>
    </row>
    <row r="57" spans="1:22" x14ac:dyDescent="0.2">
      <c r="A57" s="3">
        <v>39339</v>
      </c>
      <c r="B57" s="7">
        <v>1.1499999999999999</v>
      </c>
      <c r="C57" s="7">
        <v>236.54</v>
      </c>
      <c r="D57" s="7"/>
      <c r="F57" s="28">
        <v>226.64</v>
      </c>
      <c r="G57" s="28">
        <v>241.48</v>
      </c>
      <c r="L57" s="3">
        <v>39339</v>
      </c>
      <c r="M57" s="19">
        <v>23644</v>
      </c>
      <c r="N57" s="19">
        <v>23322</v>
      </c>
      <c r="O57" s="19">
        <v>23226</v>
      </c>
      <c r="P57" s="19">
        <v>23380</v>
      </c>
      <c r="Q57" s="19">
        <v>21845</v>
      </c>
      <c r="R57" s="19">
        <v>345021</v>
      </c>
      <c r="S57" s="19">
        <v>1661977</v>
      </c>
      <c r="T57" s="19">
        <v>1585015</v>
      </c>
      <c r="U57" s="19">
        <v>1186335</v>
      </c>
      <c r="V57" s="19">
        <v>1029542</v>
      </c>
    </row>
    <row r="58" spans="1:22" x14ac:dyDescent="0.2">
      <c r="A58" s="3">
        <v>39338</v>
      </c>
      <c r="B58" s="7">
        <v>1.93</v>
      </c>
      <c r="C58" s="7">
        <v>233.86</v>
      </c>
      <c r="D58" s="7"/>
      <c r="F58" s="28">
        <v>222.34</v>
      </c>
      <c r="G58" s="28">
        <v>236.79</v>
      </c>
      <c r="L58" s="3">
        <v>39338</v>
      </c>
      <c r="M58" s="19">
        <v>23300</v>
      </c>
      <c r="N58" s="19">
        <v>23364</v>
      </c>
      <c r="O58" s="19">
        <v>23092</v>
      </c>
      <c r="P58" s="19">
        <v>23358</v>
      </c>
      <c r="Q58" s="19">
        <v>21802</v>
      </c>
      <c r="R58" s="19">
        <v>534287</v>
      </c>
      <c r="S58" s="19">
        <v>1921706</v>
      </c>
      <c r="T58" s="19">
        <v>1722792</v>
      </c>
      <c r="U58" s="19">
        <v>1189079</v>
      </c>
      <c r="V58" s="19">
        <v>1029892</v>
      </c>
    </row>
    <row r="59" spans="1:22" x14ac:dyDescent="0.2">
      <c r="A59" s="3">
        <v>39337</v>
      </c>
      <c r="B59" s="7">
        <v>-2</v>
      </c>
      <c r="C59" s="7">
        <v>229.44</v>
      </c>
      <c r="D59" s="7"/>
      <c r="F59" s="28">
        <v>227.04</v>
      </c>
      <c r="G59" s="28">
        <v>241.76</v>
      </c>
      <c r="L59" s="3">
        <v>39337</v>
      </c>
      <c r="M59" s="19">
        <v>22955</v>
      </c>
      <c r="N59" s="19">
        <v>23494</v>
      </c>
      <c r="O59" s="19">
        <v>23009</v>
      </c>
      <c r="P59" s="19">
        <v>23346</v>
      </c>
      <c r="Q59" s="19">
        <v>21762</v>
      </c>
      <c r="R59" s="19">
        <v>2644681</v>
      </c>
      <c r="S59" s="19">
        <v>2177209</v>
      </c>
      <c r="T59" s="19">
        <v>1743542</v>
      </c>
      <c r="U59" s="19">
        <v>1189791</v>
      </c>
      <c r="V59" s="19">
        <v>1029286</v>
      </c>
    </row>
    <row r="60" spans="1:22" x14ac:dyDescent="0.2">
      <c r="A60" s="3">
        <v>39336</v>
      </c>
      <c r="B60" s="7">
        <v>0.72</v>
      </c>
      <c r="C60" s="7">
        <v>234.12</v>
      </c>
      <c r="D60" s="7"/>
      <c r="F60" s="28">
        <v>225.39</v>
      </c>
      <c r="G60" s="28">
        <v>239.99</v>
      </c>
      <c r="L60" s="3">
        <v>39336</v>
      </c>
      <c r="M60" s="19">
        <v>23454</v>
      </c>
      <c r="N60" s="19">
        <v>23654</v>
      </c>
      <c r="O60" s="19">
        <v>23014</v>
      </c>
      <c r="P60" s="19">
        <v>23340</v>
      </c>
      <c r="Q60" s="19">
        <v>21725</v>
      </c>
      <c r="R60" s="19">
        <v>1644454</v>
      </c>
      <c r="S60" s="19">
        <v>2112428</v>
      </c>
      <c r="T60" s="19">
        <v>1650550</v>
      </c>
      <c r="U60" s="19">
        <v>1162808</v>
      </c>
      <c r="V60" s="19">
        <v>1012909</v>
      </c>
    </row>
    <row r="61" spans="1:22" x14ac:dyDescent="0.2">
      <c r="A61" s="3">
        <v>39335</v>
      </c>
      <c r="B61" s="7">
        <v>-2.71</v>
      </c>
      <c r="C61" s="7">
        <v>232.44</v>
      </c>
      <c r="D61" s="7"/>
      <c r="F61" s="28">
        <v>231.91</v>
      </c>
      <c r="G61" s="28">
        <v>246.88</v>
      </c>
      <c r="L61" s="3">
        <v>39335</v>
      </c>
      <c r="M61" s="19">
        <v>23255</v>
      </c>
      <c r="N61" s="19">
        <v>23729</v>
      </c>
      <c r="O61" s="19">
        <v>23009</v>
      </c>
      <c r="P61" s="19">
        <v>23318</v>
      </c>
      <c r="Q61" s="19">
        <v>21684</v>
      </c>
      <c r="R61" s="19">
        <v>3141441</v>
      </c>
      <c r="S61" s="19">
        <v>2058254</v>
      </c>
      <c r="T61" s="19">
        <v>1607251</v>
      </c>
      <c r="U61" s="19">
        <v>1139623</v>
      </c>
      <c r="V61" s="19">
        <v>1003855</v>
      </c>
    </row>
    <row r="62" spans="1:22" x14ac:dyDescent="0.2">
      <c r="A62" s="3">
        <v>39332</v>
      </c>
      <c r="B62" s="7">
        <v>-0.28999999999999998</v>
      </c>
      <c r="C62" s="7">
        <v>238.92</v>
      </c>
      <c r="D62" s="7"/>
      <c r="F62" s="28">
        <v>232.56</v>
      </c>
      <c r="G62" s="28">
        <v>247.58</v>
      </c>
      <c r="L62" s="3">
        <v>39332</v>
      </c>
      <c r="M62" s="19">
        <v>23854</v>
      </c>
      <c r="N62" s="19">
        <v>23849</v>
      </c>
      <c r="O62" s="19">
        <v>22996</v>
      </c>
      <c r="P62" s="19">
        <v>23298</v>
      </c>
      <c r="Q62" s="19">
        <v>21643</v>
      </c>
      <c r="R62" s="19">
        <v>1643665</v>
      </c>
      <c r="S62" s="19">
        <v>1745889</v>
      </c>
      <c r="T62" s="19">
        <v>1496697</v>
      </c>
      <c r="U62" s="19">
        <v>1094992</v>
      </c>
      <c r="V62" s="19">
        <v>982467</v>
      </c>
    </row>
    <row r="63" spans="1:22" x14ac:dyDescent="0.2">
      <c r="A63" s="3">
        <v>39331</v>
      </c>
      <c r="B63" s="7">
        <v>1.27</v>
      </c>
      <c r="C63" s="7">
        <v>239.61</v>
      </c>
      <c r="D63" s="7"/>
      <c r="F63" s="28">
        <v>229.64</v>
      </c>
      <c r="G63" s="28">
        <v>244.44</v>
      </c>
      <c r="L63" s="3">
        <v>39331</v>
      </c>
      <c r="M63" s="19">
        <v>23954</v>
      </c>
      <c r="N63" s="19">
        <v>23860</v>
      </c>
      <c r="O63" s="19">
        <v>23008</v>
      </c>
      <c r="P63" s="19">
        <v>23262</v>
      </c>
      <c r="Q63" s="19">
        <v>21596</v>
      </c>
      <c r="R63" s="19">
        <v>1811803</v>
      </c>
      <c r="S63" s="19">
        <v>1570381</v>
      </c>
      <c r="T63" s="19">
        <v>1441035</v>
      </c>
      <c r="U63" s="19">
        <v>1074943</v>
      </c>
      <c r="V63" s="19">
        <v>973495</v>
      </c>
    </row>
    <row r="64" spans="1:22" x14ac:dyDescent="0.2">
      <c r="A64" s="3">
        <v>39330</v>
      </c>
      <c r="B64" s="7">
        <v>-0.55000000000000004</v>
      </c>
      <c r="C64" s="7">
        <v>236.61</v>
      </c>
      <c r="D64" s="7"/>
      <c r="F64" s="28">
        <v>230.9</v>
      </c>
      <c r="G64" s="28">
        <v>245.78</v>
      </c>
      <c r="L64" s="3">
        <v>39330</v>
      </c>
      <c r="M64" s="19">
        <v>23754</v>
      </c>
      <c r="N64" s="19">
        <v>23763</v>
      </c>
      <c r="O64" s="19">
        <v>23010</v>
      </c>
      <c r="P64" s="19">
        <v>23224</v>
      </c>
      <c r="Q64" s="19">
        <v>21549</v>
      </c>
      <c r="R64" s="19">
        <v>2320776</v>
      </c>
      <c r="S64" s="19">
        <v>1534979</v>
      </c>
      <c r="T64" s="19">
        <v>1377333</v>
      </c>
      <c r="U64" s="19">
        <v>1049372</v>
      </c>
      <c r="V64" s="19">
        <v>964198</v>
      </c>
    </row>
    <row r="65" spans="1:22" x14ac:dyDescent="0.2">
      <c r="A65" s="3">
        <v>39329</v>
      </c>
      <c r="B65" s="7">
        <v>-0.34</v>
      </c>
      <c r="C65" s="7">
        <v>237.91</v>
      </c>
      <c r="D65" s="7"/>
      <c r="F65" s="28">
        <v>231.6</v>
      </c>
      <c r="G65" s="28">
        <v>246.62</v>
      </c>
      <c r="L65" s="3">
        <v>39329</v>
      </c>
      <c r="M65" s="19">
        <v>23829</v>
      </c>
      <c r="N65" s="19">
        <v>23665</v>
      </c>
      <c r="O65" s="19">
        <v>22997</v>
      </c>
      <c r="P65" s="19">
        <v>23188</v>
      </c>
      <c r="Q65" s="19">
        <v>21501</v>
      </c>
      <c r="R65" s="19">
        <v>1373584</v>
      </c>
      <c r="S65" s="19">
        <v>1554507</v>
      </c>
      <c r="T65" s="19">
        <v>1280452</v>
      </c>
      <c r="U65" s="19">
        <v>1037971</v>
      </c>
      <c r="V65" s="19">
        <v>948179</v>
      </c>
    </row>
    <row r="66" spans="1:22" x14ac:dyDescent="0.2">
      <c r="A66" s="3">
        <v>39328</v>
      </c>
      <c r="B66" s="7">
        <v>0.18</v>
      </c>
      <c r="C66" s="7">
        <v>238.72</v>
      </c>
      <c r="D66" s="7"/>
      <c r="F66" s="28">
        <v>231.18</v>
      </c>
      <c r="G66" s="28">
        <v>246.17</v>
      </c>
      <c r="L66" s="3">
        <v>39328</v>
      </c>
      <c r="M66" s="19">
        <v>23854</v>
      </c>
      <c r="N66" s="19">
        <v>23544</v>
      </c>
      <c r="O66" s="19">
        <v>22973</v>
      </c>
      <c r="P66" s="19">
        <v>23153</v>
      </c>
      <c r="Q66" s="19">
        <v>21455</v>
      </c>
      <c r="R66" s="19">
        <v>1579616</v>
      </c>
      <c r="S66" s="19">
        <v>1762419</v>
      </c>
      <c r="T66" s="19">
        <v>1254954</v>
      </c>
      <c r="U66" s="19">
        <v>1042645</v>
      </c>
      <c r="V66" s="19">
        <v>942550</v>
      </c>
    </row>
    <row r="67" spans="1:22" x14ac:dyDescent="0.2">
      <c r="A67" s="3">
        <v>39325</v>
      </c>
      <c r="B67" s="7">
        <v>1.73</v>
      </c>
      <c r="C67" s="7">
        <v>238.28</v>
      </c>
      <c r="D67" s="7"/>
      <c r="F67" s="28">
        <v>227.22</v>
      </c>
      <c r="G67" s="28">
        <v>241.87</v>
      </c>
      <c r="L67" s="3">
        <v>39325</v>
      </c>
      <c r="M67" s="19">
        <v>23909</v>
      </c>
      <c r="N67" s="19">
        <v>23346</v>
      </c>
      <c r="O67" s="19">
        <v>22965</v>
      </c>
      <c r="P67" s="19">
        <v>23123</v>
      </c>
      <c r="Q67" s="19">
        <v>21409</v>
      </c>
      <c r="R67" s="19">
        <v>766124</v>
      </c>
      <c r="S67" s="19">
        <v>1798286</v>
      </c>
      <c r="T67" s="19">
        <v>1209061</v>
      </c>
      <c r="U67" s="19">
        <v>1026986</v>
      </c>
      <c r="V67" s="19">
        <v>937042</v>
      </c>
    </row>
    <row r="68" spans="1:22" x14ac:dyDescent="0.2">
      <c r="A68" s="3">
        <v>39324</v>
      </c>
      <c r="B68" s="7">
        <v>0.82</v>
      </c>
      <c r="C68" s="7">
        <v>234.22</v>
      </c>
      <c r="D68" s="7"/>
      <c r="F68" s="28">
        <v>225.38</v>
      </c>
      <c r="G68" s="28">
        <v>239.95</v>
      </c>
      <c r="L68" s="3">
        <v>39324</v>
      </c>
      <c r="M68" s="19">
        <v>23469</v>
      </c>
      <c r="N68" s="19">
        <v>23099</v>
      </c>
      <c r="O68" s="19">
        <v>22937</v>
      </c>
      <c r="P68" s="19">
        <v>23090</v>
      </c>
      <c r="Q68" s="19">
        <v>21362</v>
      </c>
      <c r="R68" s="19">
        <v>1634793</v>
      </c>
      <c r="S68" s="19">
        <v>2104194</v>
      </c>
      <c r="T68" s="19">
        <v>1281165</v>
      </c>
      <c r="U68" s="19">
        <v>1033089</v>
      </c>
      <c r="V68" s="19">
        <v>937721</v>
      </c>
    </row>
    <row r="69" spans="1:22" x14ac:dyDescent="0.2">
      <c r="A69" s="3">
        <v>39323</v>
      </c>
      <c r="B69" s="7">
        <v>-0.03</v>
      </c>
      <c r="C69" s="7">
        <v>232.32</v>
      </c>
      <c r="D69" s="7"/>
      <c r="F69" s="28">
        <v>225.47</v>
      </c>
      <c r="G69" s="28">
        <v>240.07</v>
      </c>
      <c r="L69" s="3">
        <v>39323</v>
      </c>
      <c r="M69" s="19">
        <v>23265</v>
      </c>
      <c r="N69" s="19">
        <v>22980</v>
      </c>
      <c r="O69" s="19">
        <v>22934</v>
      </c>
      <c r="P69" s="19">
        <v>23064</v>
      </c>
      <c r="Q69" s="19">
        <v>21318</v>
      </c>
      <c r="R69" s="19">
        <v>2418420</v>
      </c>
      <c r="S69" s="19">
        <v>1950884</v>
      </c>
      <c r="T69" s="19">
        <v>1317350</v>
      </c>
      <c r="U69" s="19">
        <v>1027594</v>
      </c>
      <c r="V69" s="19">
        <v>951315</v>
      </c>
    </row>
    <row r="70" spans="1:22" x14ac:dyDescent="0.2">
      <c r="A70" s="3">
        <v>39322</v>
      </c>
      <c r="B70" s="7">
        <v>1.63</v>
      </c>
      <c r="C70" s="7">
        <v>232.38</v>
      </c>
      <c r="D70" s="7"/>
      <c r="F70" s="28">
        <v>221.84</v>
      </c>
      <c r="G70" s="28">
        <v>236.28</v>
      </c>
      <c r="L70" s="3">
        <v>39322</v>
      </c>
      <c r="M70" s="19">
        <v>23225</v>
      </c>
      <c r="N70" s="19">
        <v>22805</v>
      </c>
      <c r="O70" s="19">
        <v>22994</v>
      </c>
      <c r="P70" s="19">
        <v>23037</v>
      </c>
      <c r="Q70" s="19">
        <v>21275</v>
      </c>
      <c r="R70" s="19">
        <v>2413143</v>
      </c>
      <c r="S70" s="19">
        <v>1567919</v>
      </c>
      <c r="T70" s="19">
        <v>1356427</v>
      </c>
      <c r="U70" s="19">
        <v>1001937</v>
      </c>
      <c r="V70" s="19">
        <v>962346</v>
      </c>
    </row>
    <row r="71" spans="1:22" x14ac:dyDescent="0.2">
      <c r="A71" s="3">
        <v>39321</v>
      </c>
      <c r="B71" s="7">
        <v>0.65</v>
      </c>
      <c r="C71" s="7">
        <v>228.65</v>
      </c>
      <c r="D71" s="7"/>
      <c r="F71" s="28">
        <v>220.39</v>
      </c>
      <c r="G71" s="28">
        <v>234.73</v>
      </c>
      <c r="L71" s="3">
        <v>39321</v>
      </c>
      <c r="M71" s="19">
        <v>22861</v>
      </c>
      <c r="N71" s="19">
        <v>22556</v>
      </c>
      <c r="O71" s="19">
        <v>23043</v>
      </c>
      <c r="P71" s="19">
        <v>23009</v>
      </c>
      <c r="Q71" s="19">
        <v>21232</v>
      </c>
      <c r="R71" s="19">
        <v>1758951</v>
      </c>
      <c r="S71" s="19">
        <v>1304540</v>
      </c>
      <c r="T71" s="19">
        <v>1341699</v>
      </c>
      <c r="U71" s="19">
        <v>970856</v>
      </c>
      <c r="V71" s="19">
        <v>967400</v>
      </c>
    </row>
    <row r="72" spans="1:22" x14ac:dyDescent="0.2">
      <c r="A72" s="3">
        <v>39318</v>
      </c>
      <c r="B72" s="7">
        <v>-0.62</v>
      </c>
      <c r="C72" s="7">
        <v>227.18</v>
      </c>
      <c r="D72" s="7"/>
      <c r="F72" s="28">
        <v>221.8</v>
      </c>
      <c r="G72" s="28">
        <v>236.21</v>
      </c>
      <c r="L72" s="3">
        <v>39318</v>
      </c>
      <c r="M72" s="19">
        <v>22676</v>
      </c>
      <c r="N72" s="19">
        <v>22388</v>
      </c>
      <c r="O72" s="19">
        <v>23085</v>
      </c>
      <c r="P72" s="19">
        <v>22978</v>
      </c>
      <c r="Q72" s="19">
        <v>21188</v>
      </c>
      <c r="R72" s="19">
        <v>2295661</v>
      </c>
      <c r="S72" s="19">
        <v>1133908</v>
      </c>
      <c r="T72" s="19">
        <v>1301193</v>
      </c>
      <c r="U72" s="19">
        <v>953747</v>
      </c>
      <c r="V72" s="19">
        <v>991478</v>
      </c>
    </row>
    <row r="73" spans="1:22" x14ac:dyDescent="0.2">
      <c r="A73" s="3">
        <v>39317</v>
      </c>
      <c r="B73" s="7">
        <v>2.4</v>
      </c>
      <c r="C73" s="7">
        <v>228.6</v>
      </c>
      <c r="D73" s="7"/>
      <c r="F73" s="28">
        <v>216.61</v>
      </c>
      <c r="G73" s="28">
        <v>230.52</v>
      </c>
      <c r="L73" s="3">
        <v>39317</v>
      </c>
      <c r="M73" s="19">
        <v>22876</v>
      </c>
      <c r="N73" s="19">
        <v>22044</v>
      </c>
      <c r="O73" s="19">
        <v>23196</v>
      </c>
      <c r="P73" s="19">
        <v>22949</v>
      </c>
      <c r="Q73" s="19">
        <v>21150</v>
      </c>
      <c r="R73" s="19">
        <v>868243</v>
      </c>
      <c r="S73" s="19">
        <v>1294890</v>
      </c>
      <c r="T73" s="19">
        <v>1203170</v>
      </c>
      <c r="U73" s="19">
        <v>926793</v>
      </c>
      <c r="V73" s="19">
        <v>991595</v>
      </c>
    </row>
    <row r="74" spans="1:22" x14ac:dyDescent="0.2">
      <c r="A74" s="3">
        <v>39316</v>
      </c>
      <c r="B74" s="7">
        <v>1.39</v>
      </c>
      <c r="C74" s="7">
        <v>223.24</v>
      </c>
      <c r="D74" s="7"/>
      <c r="F74" s="28">
        <v>213.61</v>
      </c>
      <c r="G74" s="28">
        <v>227.28</v>
      </c>
      <c r="L74" s="3">
        <v>39316</v>
      </c>
      <c r="M74" s="19">
        <v>22387</v>
      </c>
      <c r="N74" s="19">
        <v>21800</v>
      </c>
      <c r="O74" s="19">
        <v>23320</v>
      </c>
      <c r="P74" s="19">
        <v>22918</v>
      </c>
      <c r="Q74" s="19">
        <v>21112</v>
      </c>
      <c r="R74" s="19">
        <v>503598</v>
      </c>
      <c r="S74" s="19">
        <v>1311098</v>
      </c>
      <c r="T74" s="19">
        <v>1185231</v>
      </c>
      <c r="U74" s="19">
        <v>924940</v>
      </c>
      <c r="V74" s="19">
        <v>1052668</v>
      </c>
    </row>
    <row r="75" spans="1:22" x14ac:dyDescent="0.2">
      <c r="A75" s="3">
        <v>39315</v>
      </c>
      <c r="B75" s="7">
        <v>0.21</v>
      </c>
      <c r="C75" s="7">
        <v>220.18</v>
      </c>
      <c r="D75" s="7"/>
      <c r="F75" s="28">
        <v>213.16</v>
      </c>
      <c r="G75" s="28">
        <v>226.8</v>
      </c>
      <c r="L75" s="3">
        <v>39315</v>
      </c>
      <c r="M75" s="19">
        <v>21982</v>
      </c>
      <c r="N75" s="19">
        <v>21931</v>
      </c>
      <c r="O75" s="19">
        <v>23456</v>
      </c>
      <c r="P75" s="19">
        <v>22893</v>
      </c>
      <c r="Q75" s="19">
        <v>21081</v>
      </c>
      <c r="R75" s="19">
        <v>1096246</v>
      </c>
      <c r="S75" s="19">
        <v>1367347</v>
      </c>
      <c r="T75" s="19">
        <v>1205587</v>
      </c>
      <c r="U75" s="19">
        <v>937062</v>
      </c>
      <c r="V75" s="19">
        <v>1079151</v>
      </c>
    </row>
    <row r="76" spans="1:22" x14ac:dyDescent="0.2">
      <c r="A76" s="3">
        <v>39314</v>
      </c>
      <c r="B76" s="7">
        <v>5.35</v>
      </c>
      <c r="C76" s="7">
        <v>219.72</v>
      </c>
      <c r="D76" s="7"/>
      <c r="F76" s="28">
        <v>202.61</v>
      </c>
      <c r="G76" s="28">
        <v>214.7</v>
      </c>
      <c r="L76" s="3">
        <v>39314</v>
      </c>
      <c r="M76" s="19">
        <v>22017</v>
      </c>
      <c r="N76" s="19">
        <v>22208</v>
      </c>
      <c r="O76" s="19">
        <v>23611</v>
      </c>
      <c r="P76" s="19">
        <v>22876</v>
      </c>
      <c r="Q76" s="19">
        <v>21055</v>
      </c>
      <c r="R76" s="19">
        <v>905793</v>
      </c>
      <c r="S76" s="19">
        <v>1303790</v>
      </c>
      <c r="T76" s="19">
        <v>1233283</v>
      </c>
      <c r="U76" s="19">
        <v>940875</v>
      </c>
      <c r="V76" s="19">
        <v>1075431</v>
      </c>
    </row>
    <row r="77" spans="1:22" x14ac:dyDescent="0.2">
      <c r="A77" s="3">
        <v>39311</v>
      </c>
      <c r="B77" s="7">
        <v>-3.29</v>
      </c>
      <c r="C77" s="7">
        <v>208.57</v>
      </c>
      <c r="D77" s="7"/>
      <c r="F77" s="28">
        <v>209.83</v>
      </c>
      <c r="G77" s="28">
        <v>221.99</v>
      </c>
      <c r="L77" s="3">
        <v>39311</v>
      </c>
      <c r="M77" s="19">
        <v>20959</v>
      </c>
      <c r="N77" s="19">
        <v>22404</v>
      </c>
      <c r="O77" s="19">
        <v>23758</v>
      </c>
      <c r="P77" s="19">
        <v>22857</v>
      </c>
      <c r="Q77" s="19">
        <v>21029</v>
      </c>
      <c r="R77" s="19">
        <v>3100570</v>
      </c>
      <c r="S77" s="19">
        <v>1308704</v>
      </c>
      <c r="T77" s="19">
        <v>1272737</v>
      </c>
      <c r="U77" s="19">
        <v>938132</v>
      </c>
      <c r="V77" s="19">
        <v>1073379</v>
      </c>
    </row>
    <row r="78" spans="1:22" x14ac:dyDescent="0.2">
      <c r="A78" s="3">
        <v>39310</v>
      </c>
      <c r="B78" s="7">
        <v>-6.41</v>
      </c>
      <c r="C78" s="7">
        <v>215.67</v>
      </c>
      <c r="D78" s="7"/>
      <c r="F78" s="28">
        <v>225.27</v>
      </c>
      <c r="G78" s="28">
        <v>236.58</v>
      </c>
      <c r="L78" s="3">
        <v>39310</v>
      </c>
      <c r="M78" s="19">
        <v>21653</v>
      </c>
      <c r="N78" s="19">
        <v>23030</v>
      </c>
      <c r="O78" s="19">
        <v>23932</v>
      </c>
      <c r="P78" s="19">
        <v>22851</v>
      </c>
      <c r="Q78" s="19">
        <v>21011</v>
      </c>
      <c r="R78" s="19">
        <v>949281</v>
      </c>
      <c r="S78" s="19">
        <v>794675</v>
      </c>
      <c r="T78" s="19">
        <v>1157961</v>
      </c>
      <c r="U78" s="19">
        <v>891700</v>
      </c>
      <c r="V78" s="19">
        <v>1053454</v>
      </c>
    </row>
    <row r="79" spans="1:22" x14ac:dyDescent="0.2">
      <c r="A79" s="3">
        <v>39308</v>
      </c>
      <c r="B79" s="7">
        <v>-1.47</v>
      </c>
      <c r="C79" s="7">
        <v>230.45</v>
      </c>
      <c r="D79" s="7"/>
      <c r="F79" s="28">
        <v>228.76</v>
      </c>
      <c r="G79" s="28">
        <v>240.14</v>
      </c>
      <c r="L79" s="3">
        <v>39308</v>
      </c>
      <c r="M79" s="19">
        <v>23045</v>
      </c>
      <c r="N79" s="19">
        <v>23497</v>
      </c>
      <c r="O79" s="19">
        <v>24071</v>
      </c>
      <c r="P79" s="19">
        <v>22831</v>
      </c>
      <c r="Q79" s="19">
        <v>20986</v>
      </c>
      <c r="R79" s="19">
        <v>784843</v>
      </c>
      <c r="S79" s="19">
        <v>712372</v>
      </c>
      <c r="T79" s="19">
        <v>1200946</v>
      </c>
      <c r="U79" s="19">
        <v>879728</v>
      </c>
      <c r="V79" s="19">
        <v>1055020</v>
      </c>
    </row>
    <row r="80" spans="1:22" x14ac:dyDescent="0.2">
      <c r="A80" s="3">
        <v>39307</v>
      </c>
      <c r="B80" s="7">
        <v>1.39</v>
      </c>
      <c r="C80" s="7">
        <v>233.88</v>
      </c>
      <c r="D80" s="7"/>
      <c r="F80" s="28">
        <v>225.63</v>
      </c>
      <c r="G80" s="28">
        <v>236.81</v>
      </c>
      <c r="L80" s="3">
        <v>39307</v>
      </c>
      <c r="M80" s="19">
        <v>23365</v>
      </c>
      <c r="N80" s="19">
        <v>23587</v>
      </c>
      <c r="O80" s="19">
        <v>24153</v>
      </c>
      <c r="P80" s="19">
        <v>22789</v>
      </c>
      <c r="Q80" s="19">
        <v>20949</v>
      </c>
      <c r="R80" s="19">
        <v>778464</v>
      </c>
      <c r="S80" s="19">
        <v>632036</v>
      </c>
      <c r="T80" s="19">
        <v>1182011</v>
      </c>
      <c r="U80" s="19">
        <v>910524</v>
      </c>
      <c r="V80" s="19">
        <v>1071931</v>
      </c>
    </row>
    <row r="81" spans="1:22" x14ac:dyDescent="0.2">
      <c r="A81" s="3">
        <v>39304</v>
      </c>
      <c r="B81" s="7">
        <v>-4.28</v>
      </c>
      <c r="C81" s="7">
        <v>230.68</v>
      </c>
      <c r="D81" s="7"/>
      <c r="F81" s="28">
        <v>236.29</v>
      </c>
      <c r="G81" s="28">
        <v>247.09</v>
      </c>
      <c r="L81" s="3">
        <v>39304</v>
      </c>
      <c r="M81" s="19">
        <v>22995</v>
      </c>
      <c r="N81" s="19">
        <v>23583</v>
      </c>
      <c r="O81" s="19">
        <v>24226</v>
      </c>
      <c r="P81" s="19">
        <v>22740</v>
      </c>
      <c r="Q81" s="19">
        <v>20909</v>
      </c>
      <c r="R81" s="19">
        <v>930362</v>
      </c>
      <c r="S81" s="19">
        <v>649065</v>
      </c>
      <c r="T81" s="19">
        <v>1186065</v>
      </c>
      <c r="U81" s="19">
        <v>906689</v>
      </c>
      <c r="V81" s="19">
        <v>1072543</v>
      </c>
    </row>
    <row r="82" spans="1:22" x14ac:dyDescent="0.2">
      <c r="A82" s="3">
        <v>39303</v>
      </c>
      <c r="B82" s="7">
        <v>0.39</v>
      </c>
      <c r="C82" s="7">
        <v>241</v>
      </c>
      <c r="D82" s="7"/>
      <c r="F82" s="28">
        <v>235.37</v>
      </c>
      <c r="G82" s="28">
        <v>246.12</v>
      </c>
      <c r="L82" s="3">
        <v>39303</v>
      </c>
      <c r="M82" s="19">
        <v>24093</v>
      </c>
      <c r="N82" s="19">
        <v>23725</v>
      </c>
      <c r="O82" s="19">
        <v>24281</v>
      </c>
      <c r="P82" s="19">
        <v>22694</v>
      </c>
      <c r="Q82" s="19">
        <v>20872</v>
      </c>
      <c r="R82" s="19">
        <v>530427</v>
      </c>
      <c r="S82" s="19">
        <v>595344</v>
      </c>
      <c r="T82" s="19">
        <v>1205562</v>
      </c>
      <c r="U82" s="19">
        <v>917909</v>
      </c>
      <c r="V82" s="19">
        <v>1077472</v>
      </c>
    </row>
    <row r="83" spans="1:22" x14ac:dyDescent="0.2">
      <c r="A83" s="3">
        <v>39302</v>
      </c>
      <c r="B83" s="7">
        <v>2.38</v>
      </c>
      <c r="C83" s="7">
        <v>240.07</v>
      </c>
      <c r="D83" s="7"/>
      <c r="F83" s="28">
        <v>229.93</v>
      </c>
      <c r="G83" s="28">
        <v>240.22</v>
      </c>
      <c r="L83" s="3">
        <v>39302</v>
      </c>
      <c r="M83" s="19">
        <v>23988</v>
      </c>
      <c r="N83" s="19">
        <v>23576</v>
      </c>
      <c r="O83" s="19">
        <v>24267</v>
      </c>
      <c r="P83" s="19">
        <v>22634</v>
      </c>
      <c r="Q83" s="19">
        <v>20824</v>
      </c>
      <c r="R83" s="19">
        <v>537762</v>
      </c>
      <c r="S83" s="19">
        <v>930902</v>
      </c>
      <c r="T83" s="19">
        <v>1192136</v>
      </c>
      <c r="U83" s="19">
        <v>917097</v>
      </c>
      <c r="V83" s="19">
        <v>1078748</v>
      </c>
    </row>
    <row r="84" spans="1:22" x14ac:dyDescent="0.2">
      <c r="A84" s="3">
        <v>39301</v>
      </c>
      <c r="B84" s="7">
        <v>0.25</v>
      </c>
      <c r="C84" s="7">
        <v>234.5</v>
      </c>
      <c r="D84" s="7"/>
      <c r="F84" s="28">
        <v>229.37</v>
      </c>
      <c r="G84" s="28">
        <v>239.63</v>
      </c>
      <c r="L84" s="3">
        <v>39301</v>
      </c>
      <c r="M84" s="19">
        <v>23494</v>
      </c>
      <c r="N84" s="19">
        <v>23459</v>
      </c>
      <c r="O84" s="19">
        <v>24263</v>
      </c>
      <c r="P84" s="19">
        <v>22576</v>
      </c>
      <c r="Q84" s="19">
        <v>20776</v>
      </c>
      <c r="R84" s="19">
        <v>383163</v>
      </c>
      <c r="S84" s="19">
        <v>1295045</v>
      </c>
      <c r="T84" s="19">
        <v>1187759</v>
      </c>
      <c r="U84" s="19">
        <v>922124</v>
      </c>
      <c r="V84" s="19">
        <v>1084278</v>
      </c>
    </row>
    <row r="85" spans="1:22" x14ac:dyDescent="0.2">
      <c r="A85" s="3">
        <v>39300</v>
      </c>
      <c r="B85" s="7">
        <v>-1.26</v>
      </c>
      <c r="C85" s="7">
        <v>233.92</v>
      </c>
      <c r="D85" s="7"/>
      <c r="F85" s="28">
        <v>232.42</v>
      </c>
      <c r="G85" s="28">
        <v>242.71</v>
      </c>
      <c r="L85" s="3">
        <v>39300</v>
      </c>
      <c r="M85" s="19">
        <v>23345</v>
      </c>
      <c r="N85" s="19">
        <v>23651</v>
      </c>
      <c r="O85" s="19">
        <v>24273</v>
      </c>
      <c r="P85" s="19">
        <v>22525</v>
      </c>
      <c r="Q85" s="19">
        <v>20731</v>
      </c>
      <c r="R85" s="19">
        <v>863610</v>
      </c>
      <c r="S85" s="19">
        <v>1858405</v>
      </c>
      <c r="T85" s="19">
        <v>1233745</v>
      </c>
      <c r="U85" s="19">
        <v>925624</v>
      </c>
      <c r="V85" s="19">
        <v>1096167</v>
      </c>
    </row>
    <row r="86" spans="1:22" x14ac:dyDescent="0.2">
      <c r="A86" s="3">
        <v>39297</v>
      </c>
      <c r="B86" s="7">
        <v>1.31</v>
      </c>
      <c r="C86" s="7">
        <v>236.91</v>
      </c>
      <c r="D86" s="7"/>
      <c r="F86" s="28">
        <v>229.39</v>
      </c>
      <c r="G86" s="28">
        <v>239.49</v>
      </c>
      <c r="L86" s="3">
        <v>39297</v>
      </c>
      <c r="M86" s="19">
        <v>23704</v>
      </c>
      <c r="N86" s="19">
        <v>23823</v>
      </c>
      <c r="O86" s="19">
        <v>24277</v>
      </c>
      <c r="P86" s="19">
        <v>22474</v>
      </c>
      <c r="Q86" s="19">
        <v>20689</v>
      </c>
      <c r="R86" s="19">
        <v>661759</v>
      </c>
      <c r="S86" s="19">
        <v>2109400</v>
      </c>
      <c r="T86" s="19">
        <v>1212309</v>
      </c>
      <c r="U86" s="19">
        <v>916352</v>
      </c>
      <c r="V86" s="19">
        <v>1092556</v>
      </c>
    </row>
    <row r="87" spans="1:22" x14ac:dyDescent="0.2">
      <c r="A87" s="3">
        <v>39296</v>
      </c>
      <c r="B87" s="7">
        <v>-0.22</v>
      </c>
      <c r="C87" s="7">
        <v>233.84</v>
      </c>
      <c r="D87" s="7"/>
      <c r="F87" s="28">
        <v>229.93</v>
      </c>
      <c r="G87" s="28">
        <v>240.08</v>
      </c>
      <c r="L87" s="3">
        <v>39296</v>
      </c>
      <c r="M87" s="19">
        <v>23350</v>
      </c>
      <c r="N87" s="19">
        <v>23824</v>
      </c>
      <c r="O87" s="19">
        <v>24257</v>
      </c>
      <c r="P87" s="19">
        <v>22415</v>
      </c>
      <c r="Q87" s="19">
        <v>20644</v>
      </c>
      <c r="R87" s="19">
        <v>2208216</v>
      </c>
      <c r="S87" s="19">
        <v>2166817</v>
      </c>
      <c r="T87" s="19">
        <v>1200391</v>
      </c>
      <c r="U87" s="19">
        <v>910093</v>
      </c>
      <c r="V87" s="19">
        <v>1099797</v>
      </c>
    </row>
    <row r="88" spans="1:22" x14ac:dyDescent="0.2">
      <c r="A88" s="3">
        <v>39295</v>
      </c>
      <c r="B88" s="7">
        <v>-4.08</v>
      </c>
      <c r="C88" s="7">
        <v>234.36</v>
      </c>
      <c r="D88" s="7"/>
      <c r="F88" s="28">
        <v>240.39</v>
      </c>
      <c r="G88" s="28">
        <v>249.95</v>
      </c>
      <c r="L88" s="3">
        <v>39295</v>
      </c>
      <c r="M88" s="19">
        <v>23405</v>
      </c>
      <c r="N88" s="19">
        <v>24132</v>
      </c>
      <c r="O88" s="19">
        <v>24245</v>
      </c>
      <c r="P88" s="19">
        <v>22363</v>
      </c>
      <c r="Q88" s="19">
        <v>20601</v>
      </c>
      <c r="R88" s="19">
        <v>2358479</v>
      </c>
      <c r="S88" s="19">
        <v>1792213</v>
      </c>
      <c r="T88" s="19">
        <v>1106384</v>
      </c>
      <c r="U88" s="19">
        <v>876757</v>
      </c>
      <c r="V88" s="19">
        <v>1087086</v>
      </c>
    </row>
    <row r="89" spans="1:22" x14ac:dyDescent="0.2">
      <c r="A89" s="3">
        <v>39294</v>
      </c>
      <c r="B89" s="7">
        <v>1.21</v>
      </c>
      <c r="C89" s="7">
        <v>244.32</v>
      </c>
      <c r="D89" s="7"/>
      <c r="F89" s="28">
        <v>237.5</v>
      </c>
      <c r="G89" s="28">
        <v>246.89</v>
      </c>
      <c r="L89" s="3">
        <v>39294</v>
      </c>
      <c r="M89" s="19">
        <v>24453</v>
      </c>
      <c r="N89" s="19">
        <v>24524</v>
      </c>
      <c r="O89" s="19">
        <v>24209</v>
      </c>
      <c r="P89" s="19">
        <v>22306</v>
      </c>
      <c r="Q89" s="19">
        <v>20559</v>
      </c>
      <c r="R89" s="19">
        <v>3199961</v>
      </c>
      <c r="S89" s="19">
        <v>1422409</v>
      </c>
      <c r="T89" s="19">
        <v>1040899</v>
      </c>
      <c r="U89" s="19">
        <v>841239</v>
      </c>
      <c r="V89" s="19">
        <v>1072091</v>
      </c>
    </row>
    <row r="90" spans="1:22" x14ac:dyDescent="0.2">
      <c r="A90" s="3">
        <v>39293</v>
      </c>
      <c r="B90" s="7">
        <v>1.28</v>
      </c>
      <c r="C90" s="7">
        <v>241.39</v>
      </c>
      <c r="D90" s="7"/>
      <c r="F90" s="28">
        <v>234.5</v>
      </c>
      <c r="G90" s="28">
        <v>243.73</v>
      </c>
      <c r="L90" s="3">
        <v>39293</v>
      </c>
      <c r="M90" s="19">
        <v>24203</v>
      </c>
      <c r="N90" s="19">
        <v>24653</v>
      </c>
      <c r="O90" s="19">
        <v>24096</v>
      </c>
      <c r="P90" s="19">
        <v>22230</v>
      </c>
      <c r="Q90" s="19">
        <v>20507</v>
      </c>
      <c r="R90" s="19">
        <v>2118586</v>
      </c>
      <c r="S90" s="19">
        <v>964563</v>
      </c>
      <c r="T90" s="19">
        <v>894506</v>
      </c>
      <c r="U90" s="19">
        <v>790212</v>
      </c>
      <c r="V90" s="19">
        <v>1055401</v>
      </c>
    </row>
    <row r="91" spans="1:22" x14ac:dyDescent="0.2">
      <c r="A91" s="3">
        <v>39290</v>
      </c>
      <c r="B91" s="7">
        <v>-4.18</v>
      </c>
      <c r="C91" s="7">
        <v>238.34</v>
      </c>
      <c r="D91" s="7"/>
      <c r="F91" s="28">
        <v>245.55</v>
      </c>
      <c r="G91" s="28">
        <v>253.91</v>
      </c>
      <c r="L91" s="3">
        <v>39290</v>
      </c>
      <c r="M91" s="19">
        <v>23709</v>
      </c>
      <c r="N91" s="19">
        <v>24830</v>
      </c>
      <c r="O91" s="19">
        <v>23991</v>
      </c>
      <c r="P91" s="19">
        <v>22158</v>
      </c>
      <c r="Q91" s="19">
        <v>20456</v>
      </c>
      <c r="R91" s="19">
        <v>948844</v>
      </c>
      <c r="S91" s="19">
        <v>870875</v>
      </c>
      <c r="T91" s="19">
        <v>823920</v>
      </c>
      <c r="U91" s="19">
        <v>759259</v>
      </c>
      <c r="V91" s="19">
        <v>1046356</v>
      </c>
    </row>
    <row r="92" spans="1:22" x14ac:dyDescent="0.2">
      <c r="A92" s="3">
        <v>39289</v>
      </c>
      <c r="B92" s="7">
        <v>-2.04</v>
      </c>
      <c r="C92" s="7">
        <v>248.75</v>
      </c>
      <c r="D92" s="7"/>
      <c r="F92" s="28">
        <v>250.88</v>
      </c>
      <c r="G92" s="28">
        <v>259.08999999999997</v>
      </c>
      <c r="L92" s="3">
        <v>39289</v>
      </c>
      <c r="M92" s="19">
        <v>24889</v>
      </c>
      <c r="N92" s="19">
        <v>25080</v>
      </c>
      <c r="O92" s="19">
        <v>23904</v>
      </c>
      <c r="P92" s="19">
        <v>22092</v>
      </c>
      <c r="Q92" s="19">
        <v>20407</v>
      </c>
      <c r="R92" s="19">
        <v>335197</v>
      </c>
      <c r="S92" s="19">
        <v>1020082</v>
      </c>
      <c r="T92" s="19">
        <v>837761</v>
      </c>
      <c r="U92" s="19">
        <v>753128</v>
      </c>
      <c r="V92" s="19">
        <v>1042749</v>
      </c>
    </row>
    <row r="93" spans="1:22" x14ac:dyDescent="0.2">
      <c r="A93" s="3">
        <v>39288</v>
      </c>
      <c r="B93" s="7">
        <v>0.52</v>
      </c>
      <c r="C93" s="7">
        <v>253.93</v>
      </c>
      <c r="D93" s="7"/>
      <c r="F93" s="28">
        <v>249.58</v>
      </c>
      <c r="G93" s="28">
        <v>257.75</v>
      </c>
      <c r="L93" s="3">
        <v>39288</v>
      </c>
      <c r="M93" s="19">
        <v>25368</v>
      </c>
      <c r="N93" s="19">
        <v>24991</v>
      </c>
      <c r="O93" s="19">
        <v>23746</v>
      </c>
      <c r="P93" s="19">
        <v>22006</v>
      </c>
      <c r="Q93" s="19">
        <v>20345</v>
      </c>
      <c r="R93" s="19">
        <v>509457</v>
      </c>
      <c r="S93" s="19">
        <v>1114052</v>
      </c>
      <c r="T93" s="19">
        <v>837359</v>
      </c>
      <c r="U93" s="19">
        <v>767105</v>
      </c>
      <c r="V93" s="19">
        <v>1048924</v>
      </c>
    </row>
    <row r="94" spans="1:22" x14ac:dyDescent="0.2">
      <c r="A94" s="3">
        <v>39287</v>
      </c>
      <c r="B94" s="7">
        <v>0.13</v>
      </c>
      <c r="C94" s="7">
        <v>252.61</v>
      </c>
      <c r="D94" s="7"/>
      <c r="F94" s="28">
        <v>249.17</v>
      </c>
      <c r="G94" s="28">
        <v>257.42</v>
      </c>
      <c r="L94" s="3">
        <v>39287</v>
      </c>
      <c r="M94" s="19">
        <v>25097</v>
      </c>
      <c r="N94" s="19">
        <v>24802</v>
      </c>
      <c r="O94" s="19">
        <v>23576</v>
      </c>
      <c r="P94" s="19">
        <v>21915</v>
      </c>
      <c r="Q94" s="19">
        <v>20280</v>
      </c>
      <c r="R94" s="19">
        <v>910729</v>
      </c>
      <c r="S94" s="19">
        <v>1373957</v>
      </c>
      <c r="T94" s="19">
        <v>831381</v>
      </c>
      <c r="U94" s="19">
        <v>763119</v>
      </c>
      <c r="V94" s="19">
        <v>1046805</v>
      </c>
    </row>
    <row r="95" spans="1:22" x14ac:dyDescent="0.2">
      <c r="A95" s="3">
        <v>39286</v>
      </c>
      <c r="B95" s="7">
        <v>0.33</v>
      </c>
      <c r="C95" s="7">
        <v>252.28</v>
      </c>
      <c r="D95" s="7"/>
      <c r="F95" s="28">
        <v>248.36</v>
      </c>
      <c r="G95" s="28">
        <v>256.58999999999997</v>
      </c>
      <c r="L95" s="3">
        <v>39286</v>
      </c>
      <c r="M95" s="19">
        <v>25087</v>
      </c>
      <c r="N95" s="19">
        <v>24719</v>
      </c>
      <c r="O95" s="19">
        <v>23423</v>
      </c>
      <c r="P95" s="19">
        <v>21826</v>
      </c>
      <c r="Q95" s="19">
        <v>20217</v>
      </c>
      <c r="R95" s="19">
        <v>1650147</v>
      </c>
      <c r="S95" s="19">
        <v>1273040</v>
      </c>
      <c r="T95" s="19">
        <v>836893</v>
      </c>
      <c r="U95" s="19">
        <v>752105</v>
      </c>
      <c r="V95" s="19">
        <v>1048718</v>
      </c>
    </row>
    <row r="96" spans="1:22" x14ac:dyDescent="0.2">
      <c r="A96" s="3">
        <v>39283</v>
      </c>
      <c r="B96" s="7">
        <v>2.34</v>
      </c>
      <c r="C96" s="7">
        <v>251.45</v>
      </c>
      <c r="D96" s="7"/>
      <c r="F96" s="28">
        <v>242.74</v>
      </c>
      <c r="G96" s="28">
        <v>250.53</v>
      </c>
      <c r="L96" s="3">
        <v>39283</v>
      </c>
      <c r="M96" s="19">
        <v>24958</v>
      </c>
      <c r="N96" s="19">
        <v>24670</v>
      </c>
      <c r="O96" s="19">
        <v>23281</v>
      </c>
      <c r="P96" s="19">
        <v>21739</v>
      </c>
      <c r="Q96" s="19">
        <v>20154</v>
      </c>
      <c r="R96" s="19">
        <v>1694882</v>
      </c>
      <c r="S96" s="19">
        <v>1114919</v>
      </c>
      <c r="T96" s="19">
        <v>773573</v>
      </c>
      <c r="U96" s="19">
        <v>739464</v>
      </c>
      <c r="V96" s="19">
        <v>1039431</v>
      </c>
    </row>
    <row r="97" spans="1:22" x14ac:dyDescent="0.2">
      <c r="A97" s="3">
        <v>39282</v>
      </c>
      <c r="B97" s="7">
        <v>0.32</v>
      </c>
      <c r="C97" s="7">
        <v>245.7</v>
      </c>
      <c r="D97" s="7"/>
      <c r="F97" s="28">
        <v>241.98</v>
      </c>
      <c r="G97" s="28">
        <v>249.81</v>
      </c>
      <c r="L97" s="3">
        <v>39282</v>
      </c>
      <c r="M97" s="19">
        <v>24445</v>
      </c>
      <c r="N97" s="19">
        <v>24496</v>
      </c>
      <c r="O97" s="19">
        <v>23155</v>
      </c>
      <c r="P97" s="19">
        <v>21652</v>
      </c>
      <c r="Q97" s="19">
        <v>20094</v>
      </c>
      <c r="R97" s="19">
        <v>805044</v>
      </c>
      <c r="S97" s="19">
        <v>1040005</v>
      </c>
      <c r="T97" s="19">
        <v>701254</v>
      </c>
      <c r="U97" s="19">
        <v>726180</v>
      </c>
      <c r="V97" s="19">
        <v>1032467</v>
      </c>
    </row>
    <row r="98" spans="1:22" x14ac:dyDescent="0.2">
      <c r="A98" s="3">
        <v>39281</v>
      </c>
      <c r="B98" s="7">
        <v>-1.21</v>
      </c>
      <c r="C98" s="7">
        <v>244.92</v>
      </c>
      <c r="D98" s="7"/>
      <c r="F98" s="28">
        <v>244.91</v>
      </c>
      <c r="G98" s="28">
        <v>252.87</v>
      </c>
      <c r="L98" s="3">
        <v>39281</v>
      </c>
      <c r="M98" s="19">
        <v>24425</v>
      </c>
      <c r="N98" s="19">
        <v>24371</v>
      </c>
      <c r="O98" s="19">
        <v>23049</v>
      </c>
      <c r="P98" s="19">
        <v>21572</v>
      </c>
      <c r="Q98" s="19">
        <v>20038</v>
      </c>
      <c r="R98" s="19">
        <v>1808981</v>
      </c>
      <c r="S98" s="19">
        <v>931376</v>
      </c>
      <c r="T98" s="19">
        <v>686483</v>
      </c>
      <c r="U98" s="19">
        <v>719260</v>
      </c>
      <c r="V98" s="19">
        <v>1031621</v>
      </c>
    </row>
    <row r="99" spans="1:22" x14ac:dyDescent="0.2">
      <c r="A99" s="3">
        <v>39279</v>
      </c>
      <c r="B99" s="7">
        <v>-0.91</v>
      </c>
      <c r="C99" s="7">
        <v>247.91</v>
      </c>
      <c r="D99" s="7"/>
      <c r="F99" s="28">
        <v>247.27</v>
      </c>
      <c r="G99" s="28">
        <v>255.19</v>
      </c>
      <c r="L99" s="3">
        <v>39279</v>
      </c>
      <c r="M99" s="19">
        <v>24682</v>
      </c>
      <c r="N99" s="19">
        <v>24264</v>
      </c>
      <c r="O99" s="19">
        <v>22957</v>
      </c>
      <c r="P99" s="19">
        <v>21488</v>
      </c>
      <c r="Q99" s="19">
        <v>19981</v>
      </c>
      <c r="R99" s="19">
        <v>406148</v>
      </c>
      <c r="S99" s="19">
        <v>659624</v>
      </c>
      <c r="T99" s="19">
        <v>624884</v>
      </c>
      <c r="U99" s="19">
        <v>711913</v>
      </c>
      <c r="V99" s="19">
        <v>1020085</v>
      </c>
    </row>
    <row r="100" spans="1:22" x14ac:dyDescent="0.2">
      <c r="A100" s="3">
        <v>39276</v>
      </c>
      <c r="B100" s="7">
        <v>3.02</v>
      </c>
      <c r="C100" s="7">
        <v>250.19</v>
      </c>
      <c r="D100" s="7"/>
      <c r="F100" s="28">
        <v>240.13</v>
      </c>
      <c r="G100" s="28">
        <v>247.34</v>
      </c>
      <c r="L100" s="3">
        <v>39276</v>
      </c>
      <c r="M100" s="19">
        <v>24840</v>
      </c>
      <c r="N100" s="19">
        <v>24069</v>
      </c>
      <c r="O100" s="19">
        <v>22853</v>
      </c>
      <c r="P100" s="19">
        <v>21404</v>
      </c>
      <c r="Q100" s="19">
        <v>19921</v>
      </c>
      <c r="R100" s="19">
        <v>859538</v>
      </c>
      <c r="S100" s="19">
        <v>838970</v>
      </c>
      <c r="T100" s="19">
        <v>655864</v>
      </c>
      <c r="U100" s="19">
        <v>708923</v>
      </c>
      <c r="V100" s="19">
        <v>1020075</v>
      </c>
    </row>
    <row r="101" spans="1:22" x14ac:dyDescent="0.2">
      <c r="A101" s="3">
        <v>39275</v>
      </c>
      <c r="B101" s="7">
        <v>1</v>
      </c>
      <c r="C101" s="7">
        <v>242.86</v>
      </c>
      <c r="D101" s="7"/>
      <c r="F101" s="28">
        <v>237.75</v>
      </c>
      <c r="G101" s="28">
        <v>244.87</v>
      </c>
      <c r="L101" s="3">
        <v>39275</v>
      </c>
      <c r="M101" s="19">
        <v>24089</v>
      </c>
      <c r="N101" s="19">
        <v>23786</v>
      </c>
      <c r="O101" s="19">
        <v>22718</v>
      </c>
      <c r="P101" s="19">
        <v>21317</v>
      </c>
      <c r="Q101" s="19">
        <v>19860</v>
      </c>
      <c r="R101" s="19">
        <v>1320314</v>
      </c>
      <c r="S101" s="19">
        <v>754041</v>
      </c>
      <c r="T101" s="19">
        <v>625553</v>
      </c>
      <c r="U101" s="19">
        <v>703387</v>
      </c>
      <c r="V101" s="19">
        <v>1018888</v>
      </c>
    </row>
    <row r="102" spans="1:22" x14ac:dyDescent="0.2">
      <c r="A102" s="3">
        <v>39274</v>
      </c>
      <c r="B102" s="7">
        <v>-0.23</v>
      </c>
      <c r="C102" s="7">
        <v>240.46</v>
      </c>
      <c r="D102" s="7"/>
      <c r="F102" s="28">
        <v>238.28</v>
      </c>
      <c r="G102" s="28">
        <v>245.44</v>
      </c>
      <c r="L102" s="3">
        <v>39274</v>
      </c>
      <c r="M102" s="19">
        <v>23818</v>
      </c>
      <c r="N102" s="19">
        <v>23630</v>
      </c>
      <c r="O102" s="19">
        <v>22617</v>
      </c>
      <c r="P102" s="19">
        <v>21242</v>
      </c>
      <c r="Q102" s="19">
        <v>19807</v>
      </c>
      <c r="R102" s="19">
        <v>261898</v>
      </c>
      <c r="S102" s="19">
        <v>574660</v>
      </c>
      <c r="T102" s="19">
        <v>582716</v>
      </c>
      <c r="U102" s="19">
        <v>693220</v>
      </c>
      <c r="V102" s="19">
        <v>1016387</v>
      </c>
    </row>
    <row r="103" spans="1:22" x14ac:dyDescent="0.2">
      <c r="A103" s="3">
        <v>39273</v>
      </c>
      <c r="B103" s="7">
        <v>0.56000000000000005</v>
      </c>
      <c r="C103" s="7">
        <v>241.02</v>
      </c>
      <c r="D103" s="7"/>
      <c r="F103" s="28">
        <v>236.96</v>
      </c>
      <c r="G103" s="28">
        <v>244.09</v>
      </c>
      <c r="L103" s="3">
        <v>39273</v>
      </c>
      <c r="M103" s="19">
        <v>23892</v>
      </c>
      <c r="N103" s="19">
        <v>23485</v>
      </c>
      <c r="O103" s="19">
        <v>22510</v>
      </c>
      <c r="P103" s="19">
        <v>21169</v>
      </c>
      <c r="Q103" s="19">
        <v>19755</v>
      </c>
      <c r="R103" s="19">
        <v>450223</v>
      </c>
      <c r="S103" s="19">
        <v>587894</v>
      </c>
      <c r="T103" s="19">
        <v>591659</v>
      </c>
      <c r="U103" s="19">
        <v>713347</v>
      </c>
      <c r="V103" s="19">
        <v>1024911</v>
      </c>
    </row>
    <row r="104" spans="1:22" x14ac:dyDescent="0.2">
      <c r="A104" s="3">
        <v>39272</v>
      </c>
      <c r="B104" s="7">
        <v>1.34</v>
      </c>
      <c r="C104" s="7">
        <v>239.68</v>
      </c>
      <c r="D104" s="7"/>
      <c r="F104" s="28">
        <v>233.85</v>
      </c>
      <c r="G104" s="28">
        <v>240.83</v>
      </c>
      <c r="L104" s="3">
        <v>39272</v>
      </c>
      <c r="M104" s="19">
        <v>23709</v>
      </c>
      <c r="N104" s="19">
        <v>23246</v>
      </c>
      <c r="O104" s="19">
        <v>22401</v>
      </c>
      <c r="P104" s="19">
        <v>21096</v>
      </c>
      <c r="Q104" s="19">
        <v>19704</v>
      </c>
      <c r="R104" s="19">
        <v>1302879</v>
      </c>
      <c r="S104" s="19">
        <v>707604</v>
      </c>
      <c r="T104" s="19">
        <v>583024</v>
      </c>
      <c r="U104" s="19">
        <v>746749</v>
      </c>
      <c r="V104" s="19">
        <v>1030440</v>
      </c>
    </row>
    <row r="105" spans="1:22" x14ac:dyDescent="0.2">
      <c r="A105" s="3">
        <v>39269</v>
      </c>
      <c r="B105" s="7">
        <v>0.75</v>
      </c>
      <c r="C105" s="7">
        <v>236.52</v>
      </c>
      <c r="D105" s="7"/>
      <c r="F105" s="28">
        <v>232.06</v>
      </c>
      <c r="G105" s="28">
        <v>239</v>
      </c>
      <c r="L105" s="3">
        <v>39269</v>
      </c>
      <c r="M105" s="19">
        <v>23423</v>
      </c>
      <c r="N105" s="19">
        <v>22943</v>
      </c>
      <c r="O105" s="19">
        <v>22293</v>
      </c>
      <c r="P105" s="19">
        <v>21024</v>
      </c>
      <c r="Q105" s="19">
        <v>19655</v>
      </c>
      <c r="R105" s="19">
        <v>434891</v>
      </c>
      <c r="S105" s="19">
        <v>501452</v>
      </c>
      <c r="T105" s="19">
        <v>599716</v>
      </c>
      <c r="U105" s="19">
        <v>745010</v>
      </c>
      <c r="V105" s="19">
        <v>1029006</v>
      </c>
    </row>
    <row r="106" spans="1:22" x14ac:dyDescent="0.2">
      <c r="A106" s="3">
        <v>39268</v>
      </c>
      <c r="B106" s="7">
        <v>0.56999999999999995</v>
      </c>
      <c r="C106" s="7">
        <v>234.75</v>
      </c>
      <c r="D106" s="7"/>
      <c r="F106" s="28">
        <v>230.76</v>
      </c>
      <c r="G106" s="28">
        <v>237.7</v>
      </c>
      <c r="L106" s="3">
        <v>39268</v>
      </c>
      <c r="M106" s="19">
        <v>23309</v>
      </c>
      <c r="N106" s="19">
        <v>22679</v>
      </c>
      <c r="O106" s="19">
        <v>22208</v>
      </c>
      <c r="P106" s="19">
        <v>20955</v>
      </c>
      <c r="Q106" s="19">
        <v>19608</v>
      </c>
      <c r="R106" s="19">
        <v>423410</v>
      </c>
      <c r="S106" s="19">
        <v>555846</v>
      </c>
      <c r="T106" s="19">
        <v>660672</v>
      </c>
      <c r="U106" s="19">
        <v>761750</v>
      </c>
      <c r="V106" s="19">
        <v>1033951</v>
      </c>
    </row>
    <row r="107" spans="1:22" x14ac:dyDescent="0.2">
      <c r="A107" s="3">
        <v>39267</v>
      </c>
      <c r="B107" s="7">
        <v>1.81</v>
      </c>
      <c r="C107" s="7">
        <v>233.43</v>
      </c>
      <c r="D107" s="7"/>
      <c r="F107" s="28">
        <v>226.67</v>
      </c>
      <c r="G107" s="28">
        <v>233.34</v>
      </c>
      <c r="L107" s="3">
        <v>39267</v>
      </c>
      <c r="M107" s="19">
        <v>23092</v>
      </c>
      <c r="N107" s="19">
        <v>22409</v>
      </c>
      <c r="O107" s="19">
        <v>22146</v>
      </c>
      <c r="P107" s="19">
        <v>20887</v>
      </c>
      <c r="Q107" s="19">
        <v>19559</v>
      </c>
      <c r="R107" s="19">
        <v>328066</v>
      </c>
      <c r="S107" s="19">
        <v>716296</v>
      </c>
      <c r="T107" s="19">
        <v>671505</v>
      </c>
      <c r="U107" s="19">
        <v>765027</v>
      </c>
      <c r="V107" s="19">
        <v>1069717</v>
      </c>
    </row>
    <row r="108" spans="1:22" x14ac:dyDescent="0.2">
      <c r="A108" s="3">
        <v>39266</v>
      </c>
      <c r="B108" s="7">
        <v>2.02</v>
      </c>
      <c r="C108" s="7">
        <v>229.29</v>
      </c>
      <c r="D108" s="7"/>
      <c r="F108" s="28">
        <v>222.2</v>
      </c>
      <c r="G108" s="28">
        <v>228.53</v>
      </c>
      <c r="L108" s="3">
        <v>39266</v>
      </c>
      <c r="M108" s="19">
        <v>22697</v>
      </c>
      <c r="N108" s="19">
        <v>22139</v>
      </c>
      <c r="O108" s="19">
        <v>22088</v>
      </c>
      <c r="P108" s="19">
        <v>20820</v>
      </c>
      <c r="Q108" s="19">
        <v>19511</v>
      </c>
      <c r="R108" s="19">
        <v>1048775</v>
      </c>
      <c r="S108" s="19">
        <v>716114</v>
      </c>
      <c r="T108" s="19">
        <v>711718</v>
      </c>
      <c r="U108" s="19">
        <v>781554</v>
      </c>
      <c r="V108" s="19">
        <v>1101114</v>
      </c>
    </row>
    <row r="109" spans="1:22" x14ac:dyDescent="0.2">
      <c r="A109" s="3">
        <v>39265</v>
      </c>
      <c r="B109" s="7">
        <v>1.55</v>
      </c>
      <c r="C109" s="7">
        <v>224.75</v>
      </c>
      <c r="D109" s="7"/>
      <c r="F109" s="28">
        <v>218.81</v>
      </c>
      <c r="G109" s="28">
        <v>225.02</v>
      </c>
      <c r="L109" s="3">
        <v>39265</v>
      </c>
      <c r="M109" s="19">
        <v>22193</v>
      </c>
      <c r="N109" s="19">
        <v>21990</v>
      </c>
      <c r="O109" s="19">
        <v>22049</v>
      </c>
      <c r="P109" s="19">
        <v>20758</v>
      </c>
      <c r="Q109" s="19">
        <v>19469</v>
      </c>
      <c r="R109" s="19">
        <v>272117</v>
      </c>
      <c r="S109" s="19">
        <v>584339</v>
      </c>
      <c r="T109" s="19">
        <v>724534</v>
      </c>
      <c r="U109" s="19">
        <v>778313</v>
      </c>
      <c r="V109" s="19">
        <v>1097631</v>
      </c>
    </row>
    <row r="110" spans="1:22" x14ac:dyDescent="0.2">
      <c r="A110" s="3">
        <v>39262</v>
      </c>
      <c r="B110" s="7">
        <v>-0.57999999999999996</v>
      </c>
      <c r="C110" s="7">
        <v>221.31</v>
      </c>
      <c r="D110" s="7"/>
      <c r="F110" s="28">
        <v>220.14</v>
      </c>
      <c r="G110" s="28">
        <v>226.34</v>
      </c>
      <c r="L110" s="3">
        <v>39262</v>
      </c>
      <c r="M110" s="19">
        <v>22104</v>
      </c>
      <c r="N110" s="19">
        <v>21961</v>
      </c>
      <c r="O110" s="19">
        <v>22022</v>
      </c>
      <c r="P110" s="19">
        <v>20706</v>
      </c>
      <c r="Q110" s="19">
        <v>19430</v>
      </c>
      <c r="R110" s="19">
        <v>706860</v>
      </c>
      <c r="S110" s="19">
        <v>734110</v>
      </c>
      <c r="T110" s="19">
        <v>754879</v>
      </c>
      <c r="U110" s="19">
        <v>800687</v>
      </c>
      <c r="V110" s="19">
        <v>1107218</v>
      </c>
    </row>
    <row r="111" spans="1:22" x14ac:dyDescent="0.2">
      <c r="A111" s="3">
        <v>39261</v>
      </c>
      <c r="B111" s="7">
        <v>1.02</v>
      </c>
      <c r="C111" s="7">
        <v>222.6</v>
      </c>
      <c r="D111" s="7"/>
      <c r="F111" s="28">
        <v>217.92</v>
      </c>
      <c r="G111" s="28">
        <v>224.01</v>
      </c>
      <c r="L111" s="3">
        <v>39261</v>
      </c>
      <c r="M111" s="19">
        <v>21961</v>
      </c>
      <c r="N111" s="19">
        <v>21988</v>
      </c>
      <c r="O111" s="19">
        <v>21994</v>
      </c>
      <c r="P111" s="19">
        <v>20651</v>
      </c>
      <c r="Q111" s="19">
        <v>19394</v>
      </c>
      <c r="R111" s="19">
        <v>1225663</v>
      </c>
      <c r="S111" s="19">
        <v>669488</v>
      </c>
      <c r="T111" s="19">
        <v>746950</v>
      </c>
      <c r="U111" s="19">
        <v>822428</v>
      </c>
      <c r="V111" s="19">
        <v>1116055</v>
      </c>
    </row>
    <row r="112" spans="1:22" x14ac:dyDescent="0.2">
      <c r="A112" s="3">
        <v>39260</v>
      </c>
      <c r="B112" s="7">
        <v>-0.94</v>
      </c>
      <c r="C112" s="7">
        <v>220.35</v>
      </c>
      <c r="D112" s="7"/>
      <c r="F112" s="28">
        <v>220.06</v>
      </c>
      <c r="G112" s="28">
        <v>226.11</v>
      </c>
      <c r="L112" s="3">
        <v>39260</v>
      </c>
      <c r="M112" s="19">
        <v>21739</v>
      </c>
      <c r="N112" s="19">
        <v>22085</v>
      </c>
      <c r="O112" s="19">
        <v>21944</v>
      </c>
      <c r="P112" s="19">
        <v>20598</v>
      </c>
      <c r="Q112" s="19">
        <v>19360</v>
      </c>
      <c r="R112" s="19">
        <v>327156</v>
      </c>
      <c r="S112" s="19">
        <v>474056</v>
      </c>
      <c r="T112" s="19">
        <v>722287</v>
      </c>
      <c r="U112" s="19">
        <v>812929</v>
      </c>
      <c r="V112" s="19">
        <v>1111723</v>
      </c>
    </row>
    <row r="113" spans="1:22" x14ac:dyDescent="0.2">
      <c r="A113" s="3">
        <v>39259</v>
      </c>
      <c r="B113" s="7">
        <v>-0.43</v>
      </c>
      <c r="C113" s="7">
        <v>222.43</v>
      </c>
      <c r="D113" s="7"/>
      <c r="F113" s="28">
        <v>221.08</v>
      </c>
      <c r="G113" s="28">
        <v>227.13</v>
      </c>
      <c r="L113" s="3">
        <v>39259</v>
      </c>
      <c r="M113" s="19">
        <v>21956</v>
      </c>
      <c r="N113" s="19">
        <v>22201</v>
      </c>
      <c r="O113" s="19">
        <v>21906</v>
      </c>
      <c r="P113" s="19">
        <v>20548</v>
      </c>
      <c r="Q113" s="19">
        <v>19330</v>
      </c>
      <c r="R113" s="19">
        <v>389899</v>
      </c>
      <c r="S113" s="19">
        <v>510546</v>
      </c>
      <c r="T113" s="19">
        <v>739850</v>
      </c>
      <c r="U113" s="19">
        <v>837817</v>
      </c>
      <c r="V113" s="19">
        <v>1116013</v>
      </c>
    </row>
    <row r="114" spans="1:22" x14ac:dyDescent="0.2">
      <c r="A114" s="3">
        <v>39258</v>
      </c>
      <c r="B114" s="7">
        <v>-0.69</v>
      </c>
      <c r="C114" s="7">
        <v>223.4</v>
      </c>
      <c r="D114" s="7"/>
      <c r="F114" s="28">
        <v>222.59</v>
      </c>
      <c r="G114" s="28">
        <v>228.72</v>
      </c>
      <c r="L114" s="3">
        <v>39258</v>
      </c>
      <c r="M114" s="19">
        <v>22045</v>
      </c>
      <c r="N114" s="19">
        <v>22326</v>
      </c>
      <c r="O114" s="19">
        <v>21858</v>
      </c>
      <c r="P114" s="19">
        <v>20494</v>
      </c>
      <c r="Q114" s="19">
        <v>19301</v>
      </c>
      <c r="R114" s="19">
        <v>1020973</v>
      </c>
      <c r="S114" s="19">
        <v>547969</v>
      </c>
      <c r="T114" s="19">
        <v>758208</v>
      </c>
      <c r="U114" s="19">
        <v>850883</v>
      </c>
      <c r="V114" s="19">
        <v>1117999</v>
      </c>
    </row>
    <row r="115" spans="1:22" x14ac:dyDescent="0.2">
      <c r="A115" s="3">
        <v>39255</v>
      </c>
      <c r="B115" s="7">
        <v>-1.26</v>
      </c>
      <c r="C115" s="7">
        <v>224.95</v>
      </c>
      <c r="D115" s="7"/>
      <c r="F115" s="28">
        <v>225.57</v>
      </c>
      <c r="G115" s="28">
        <v>231.59</v>
      </c>
      <c r="L115" s="3">
        <v>39255</v>
      </c>
      <c r="M115" s="19">
        <v>22242</v>
      </c>
      <c r="N115" s="19">
        <v>22441</v>
      </c>
      <c r="O115" s="19">
        <v>21801</v>
      </c>
      <c r="P115" s="19">
        <v>20433</v>
      </c>
      <c r="Q115" s="19">
        <v>19270</v>
      </c>
      <c r="R115" s="19">
        <v>383748</v>
      </c>
      <c r="S115" s="19">
        <v>548922</v>
      </c>
      <c r="T115" s="19">
        <v>768706</v>
      </c>
      <c r="U115" s="19">
        <v>871123</v>
      </c>
      <c r="V115" s="19">
        <v>1112923</v>
      </c>
    </row>
    <row r="116" spans="1:22" x14ac:dyDescent="0.2">
      <c r="A116" s="3">
        <v>39254</v>
      </c>
      <c r="B116" s="7">
        <v>0.54</v>
      </c>
      <c r="C116" s="7">
        <v>227.81</v>
      </c>
      <c r="D116" s="7"/>
      <c r="F116" s="28">
        <v>224.34</v>
      </c>
      <c r="G116" s="28">
        <v>230.32</v>
      </c>
      <c r="L116" s="3">
        <v>39254</v>
      </c>
      <c r="M116" s="19">
        <v>22445</v>
      </c>
      <c r="N116" s="19">
        <v>22417</v>
      </c>
      <c r="O116" s="19">
        <v>21735</v>
      </c>
      <c r="P116" s="19">
        <v>20374</v>
      </c>
      <c r="Q116" s="19">
        <v>19237</v>
      </c>
      <c r="R116" s="19">
        <v>248506</v>
      </c>
      <c r="S116" s="19">
        <v>522836</v>
      </c>
      <c r="T116" s="19">
        <v>815770</v>
      </c>
      <c r="U116" s="19">
        <v>871721</v>
      </c>
      <c r="V116" s="19">
        <v>1112791</v>
      </c>
    </row>
    <row r="117" spans="1:22" x14ac:dyDescent="0.2">
      <c r="A117" s="3">
        <v>39253</v>
      </c>
      <c r="B117" s="7">
        <v>-1.07</v>
      </c>
      <c r="C117" s="7">
        <v>226.58</v>
      </c>
      <c r="D117" s="7"/>
      <c r="F117" s="28">
        <v>226.88</v>
      </c>
      <c r="G117" s="28">
        <v>232.79</v>
      </c>
      <c r="L117" s="3">
        <v>39253</v>
      </c>
      <c r="M117" s="19">
        <v>22316</v>
      </c>
      <c r="N117" s="19">
        <v>22344</v>
      </c>
      <c r="O117" s="19">
        <v>21658</v>
      </c>
      <c r="P117" s="19">
        <v>20309</v>
      </c>
      <c r="Q117" s="19">
        <v>19201</v>
      </c>
      <c r="R117" s="19">
        <v>509605</v>
      </c>
      <c r="S117" s="19">
        <v>565852</v>
      </c>
      <c r="T117" s="19">
        <v>840404</v>
      </c>
      <c r="U117" s="19">
        <v>872748</v>
      </c>
      <c r="V117" s="19">
        <v>1124504</v>
      </c>
    </row>
    <row r="118" spans="1:22" x14ac:dyDescent="0.2">
      <c r="A118" s="3">
        <v>39252</v>
      </c>
      <c r="B118" s="7">
        <v>0.1</v>
      </c>
      <c r="C118" s="7">
        <v>229.04</v>
      </c>
      <c r="D118" s="7"/>
      <c r="F118" s="28">
        <v>226.66</v>
      </c>
      <c r="G118" s="28">
        <v>232.56</v>
      </c>
      <c r="L118" s="3">
        <v>39252</v>
      </c>
      <c r="M118" s="19">
        <v>22583</v>
      </c>
      <c r="N118" s="19">
        <v>22215</v>
      </c>
      <c r="O118" s="19">
        <v>21573</v>
      </c>
      <c r="P118" s="19">
        <v>20246</v>
      </c>
      <c r="Q118" s="19">
        <v>19167</v>
      </c>
      <c r="R118" s="19">
        <v>577014</v>
      </c>
      <c r="S118" s="19">
        <v>552080</v>
      </c>
      <c r="T118" s="19">
        <v>830658</v>
      </c>
      <c r="U118" s="19">
        <v>870706</v>
      </c>
      <c r="V118" s="19">
        <v>1160858</v>
      </c>
    </row>
    <row r="119" spans="1:22" x14ac:dyDescent="0.2">
      <c r="A119" s="3">
        <v>39251</v>
      </c>
      <c r="B119" s="7">
        <v>1.87</v>
      </c>
      <c r="C119" s="7">
        <v>228.8</v>
      </c>
      <c r="D119" s="7"/>
      <c r="F119" s="28">
        <v>222.52</v>
      </c>
      <c r="G119" s="28">
        <v>228.14</v>
      </c>
      <c r="L119" s="3">
        <v>39251</v>
      </c>
      <c r="M119" s="19">
        <v>22618</v>
      </c>
      <c r="N119" s="19">
        <v>22041</v>
      </c>
      <c r="O119" s="19">
        <v>21467</v>
      </c>
      <c r="P119" s="19">
        <v>20179</v>
      </c>
      <c r="Q119" s="19">
        <v>19131</v>
      </c>
      <c r="R119" s="19">
        <v>1025739</v>
      </c>
      <c r="S119" s="19">
        <v>492183</v>
      </c>
      <c r="T119" s="19">
        <v>813354</v>
      </c>
      <c r="U119" s="19">
        <v>868782</v>
      </c>
      <c r="V119" s="19">
        <v>1163089</v>
      </c>
    </row>
    <row r="120" spans="1:22" x14ac:dyDescent="0.2">
      <c r="A120" s="3">
        <v>39248</v>
      </c>
      <c r="B120" s="7">
        <v>7.0000000000000007E-2</v>
      </c>
      <c r="C120" s="7">
        <v>224.61</v>
      </c>
      <c r="D120" s="7"/>
      <c r="F120" s="28">
        <v>222.37</v>
      </c>
      <c r="G120" s="28">
        <v>227.98</v>
      </c>
      <c r="L120" s="3">
        <v>39248</v>
      </c>
      <c r="M120" s="19">
        <v>22124</v>
      </c>
      <c r="N120" s="19">
        <v>21826</v>
      </c>
      <c r="O120" s="19">
        <v>21362</v>
      </c>
      <c r="P120" s="19">
        <v>20111</v>
      </c>
      <c r="Q120" s="19">
        <v>19094</v>
      </c>
      <c r="R120" s="19">
        <v>253315</v>
      </c>
      <c r="S120" s="19">
        <v>614380</v>
      </c>
      <c r="T120" s="19">
        <v>893698</v>
      </c>
      <c r="U120" s="19">
        <v>863010</v>
      </c>
      <c r="V120" s="19">
        <v>1164749</v>
      </c>
    </row>
    <row r="121" spans="1:22" x14ac:dyDescent="0.2">
      <c r="A121" s="3">
        <v>39247</v>
      </c>
      <c r="B121" s="7">
        <v>2.69</v>
      </c>
      <c r="C121" s="7">
        <v>224.46</v>
      </c>
      <c r="D121" s="7"/>
      <c r="F121" s="28">
        <v>216.71</v>
      </c>
      <c r="G121" s="28">
        <v>221.74</v>
      </c>
      <c r="L121" s="3">
        <v>39247</v>
      </c>
      <c r="M121" s="19">
        <v>22079</v>
      </c>
      <c r="N121" s="19">
        <v>21747</v>
      </c>
      <c r="O121" s="19">
        <v>21275</v>
      </c>
      <c r="P121" s="19">
        <v>20049</v>
      </c>
      <c r="Q121" s="19">
        <v>19060</v>
      </c>
      <c r="R121" s="19">
        <v>463589</v>
      </c>
      <c r="S121" s="19">
        <v>894520</v>
      </c>
      <c r="T121" s="19">
        <v>908450</v>
      </c>
      <c r="U121" s="19">
        <v>868088</v>
      </c>
      <c r="V121" s="19">
        <v>1165925</v>
      </c>
    </row>
    <row r="122" spans="1:22" x14ac:dyDescent="0.2">
      <c r="A122" s="3">
        <v>39246</v>
      </c>
      <c r="B122" s="7">
        <v>-0.61</v>
      </c>
      <c r="C122" s="7">
        <v>218.59</v>
      </c>
      <c r="D122" s="7"/>
      <c r="F122" s="28">
        <v>218.1</v>
      </c>
      <c r="G122" s="28">
        <v>223.1</v>
      </c>
      <c r="L122" s="3">
        <v>39246</v>
      </c>
      <c r="M122" s="19">
        <v>21669</v>
      </c>
      <c r="N122" s="19">
        <v>21746</v>
      </c>
      <c r="O122" s="19">
        <v>21184</v>
      </c>
      <c r="P122" s="19">
        <v>19988</v>
      </c>
      <c r="Q122" s="19">
        <v>19027</v>
      </c>
      <c r="R122" s="19">
        <v>440743</v>
      </c>
      <c r="S122" s="19">
        <v>929814</v>
      </c>
      <c r="T122" s="19">
        <v>965450</v>
      </c>
      <c r="U122" s="19">
        <v>869942</v>
      </c>
      <c r="V122" s="19">
        <v>1166476</v>
      </c>
    </row>
    <row r="123" spans="1:22" x14ac:dyDescent="0.2">
      <c r="A123" s="3">
        <v>39245</v>
      </c>
      <c r="B123" s="7">
        <v>0.71</v>
      </c>
      <c r="C123" s="7">
        <v>219.94</v>
      </c>
      <c r="D123" s="7"/>
      <c r="F123" s="28">
        <v>216.54</v>
      </c>
      <c r="G123" s="28">
        <v>221.61</v>
      </c>
      <c r="L123" s="3">
        <v>39245</v>
      </c>
      <c r="M123" s="19">
        <v>21714</v>
      </c>
      <c r="N123" s="19">
        <v>21798</v>
      </c>
      <c r="O123" s="19">
        <v>21125</v>
      </c>
      <c r="P123" s="19">
        <v>19931</v>
      </c>
      <c r="Q123" s="19">
        <v>18997</v>
      </c>
      <c r="R123" s="19">
        <v>277528</v>
      </c>
      <c r="S123" s="19">
        <v>1068130</v>
      </c>
      <c r="T123" s="19">
        <v>967495</v>
      </c>
      <c r="U123" s="19">
        <v>872047</v>
      </c>
      <c r="V123" s="19">
        <v>1166085</v>
      </c>
    </row>
    <row r="124" spans="1:22" x14ac:dyDescent="0.2">
      <c r="A124" s="3">
        <v>39244</v>
      </c>
      <c r="B124" s="7">
        <v>-0.64</v>
      </c>
      <c r="C124" s="7">
        <v>218.39</v>
      </c>
      <c r="D124" s="7"/>
      <c r="F124" s="28">
        <v>217.68</v>
      </c>
      <c r="G124" s="28">
        <v>223.19</v>
      </c>
      <c r="L124" s="3">
        <v>39244</v>
      </c>
      <c r="M124" s="19">
        <v>21546</v>
      </c>
      <c r="N124" s="19">
        <v>21840</v>
      </c>
      <c r="O124" s="19">
        <v>21064</v>
      </c>
      <c r="P124" s="19">
        <v>19873</v>
      </c>
      <c r="Q124" s="19">
        <v>18965</v>
      </c>
      <c r="R124" s="19">
        <v>1636723</v>
      </c>
      <c r="S124" s="19">
        <v>1273644</v>
      </c>
      <c r="T124" s="19">
        <v>995588</v>
      </c>
      <c r="U124" s="19">
        <v>879025</v>
      </c>
      <c r="V124" s="19">
        <v>1211007</v>
      </c>
    </row>
    <row r="125" spans="1:22" x14ac:dyDescent="0.2">
      <c r="A125" s="3">
        <v>39241</v>
      </c>
      <c r="B125" s="7">
        <v>-1.51</v>
      </c>
      <c r="C125" s="7">
        <v>219.8</v>
      </c>
      <c r="D125" s="7"/>
      <c r="F125" s="28">
        <v>221.18</v>
      </c>
      <c r="G125" s="28">
        <v>226.54</v>
      </c>
      <c r="L125" s="3">
        <v>39241</v>
      </c>
      <c r="M125" s="19">
        <v>21729</v>
      </c>
      <c r="N125" s="19">
        <v>21859</v>
      </c>
      <c r="O125" s="19">
        <v>21009</v>
      </c>
      <c r="P125" s="19">
        <v>19814</v>
      </c>
      <c r="Q125" s="19">
        <v>18931</v>
      </c>
      <c r="R125" s="19">
        <v>1654017</v>
      </c>
      <c r="S125" s="19">
        <v>1122104</v>
      </c>
      <c r="T125" s="19">
        <v>943411</v>
      </c>
      <c r="U125" s="19">
        <v>858386</v>
      </c>
      <c r="V125" s="19">
        <v>1205408</v>
      </c>
    </row>
    <row r="126" spans="1:22" x14ac:dyDescent="0.2">
      <c r="A126" s="3">
        <v>39240</v>
      </c>
      <c r="B126" s="7">
        <v>0.36</v>
      </c>
      <c r="C126" s="7">
        <v>223.17</v>
      </c>
      <c r="D126" s="7"/>
      <c r="F126" s="28">
        <v>220.38</v>
      </c>
      <c r="G126" s="28">
        <v>225.81</v>
      </c>
      <c r="L126" s="3">
        <v>39240</v>
      </c>
      <c r="M126" s="19">
        <v>22074</v>
      </c>
      <c r="N126" s="19">
        <v>21824</v>
      </c>
      <c r="O126" s="19">
        <v>20937</v>
      </c>
      <c r="P126" s="19">
        <v>19757</v>
      </c>
      <c r="Q126" s="19">
        <v>18895</v>
      </c>
      <c r="R126" s="19">
        <v>640057</v>
      </c>
      <c r="S126" s="19">
        <v>900957</v>
      </c>
      <c r="T126" s="19">
        <v>876075</v>
      </c>
      <c r="U126" s="19">
        <v>842455</v>
      </c>
      <c r="V126" s="19">
        <v>1195139</v>
      </c>
    </row>
    <row r="127" spans="1:22" x14ac:dyDescent="0.2">
      <c r="A127" s="3">
        <v>39238</v>
      </c>
      <c r="B127" s="7">
        <v>0.21</v>
      </c>
      <c r="C127" s="7">
        <v>222.37</v>
      </c>
      <c r="D127" s="7"/>
      <c r="F127" s="28">
        <v>219.9</v>
      </c>
      <c r="G127" s="28">
        <v>225.32</v>
      </c>
      <c r="L127" s="3">
        <v>39238</v>
      </c>
      <c r="M127" s="19">
        <v>21926</v>
      </c>
      <c r="N127" s="19">
        <v>21600</v>
      </c>
      <c r="O127" s="19">
        <v>20841</v>
      </c>
      <c r="P127" s="19">
        <v>19696</v>
      </c>
      <c r="Q127" s="19">
        <v>18857</v>
      </c>
      <c r="R127" s="19">
        <v>1132325</v>
      </c>
      <c r="S127" s="19">
        <v>919427</v>
      </c>
      <c r="T127" s="19">
        <v>858385</v>
      </c>
      <c r="U127" s="19">
        <v>847099</v>
      </c>
      <c r="V127" s="19">
        <v>1195269</v>
      </c>
    </row>
    <row r="128" spans="1:22" x14ac:dyDescent="0.2">
      <c r="A128" s="3">
        <v>39237</v>
      </c>
      <c r="B128" s="7">
        <v>1.44</v>
      </c>
      <c r="C128" s="7">
        <v>221.9</v>
      </c>
      <c r="D128" s="7"/>
      <c r="F128" s="28">
        <v>216.79</v>
      </c>
      <c r="G128" s="28">
        <v>222.05</v>
      </c>
      <c r="L128" s="3">
        <v>39237</v>
      </c>
      <c r="M128" s="19">
        <v>21926</v>
      </c>
      <c r="N128" s="19">
        <v>21410</v>
      </c>
      <c r="O128" s="19">
        <v>20756</v>
      </c>
      <c r="P128" s="19">
        <v>19634</v>
      </c>
      <c r="Q128" s="19">
        <v>18820</v>
      </c>
      <c r="R128" s="19">
        <v>1305097</v>
      </c>
      <c r="S128" s="19">
        <v>828644</v>
      </c>
      <c r="T128" s="19">
        <v>812169</v>
      </c>
      <c r="U128" s="19">
        <v>842354</v>
      </c>
      <c r="V128" s="19">
        <v>1193134</v>
      </c>
    </row>
    <row r="129" spans="1:22" x14ac:dyDescent="0.2">
      <c r="A129" s="3">
        <v>39234</v>
      </c>
      <c r="B129" s="7">
        <v>1.06</v>
      </c>
      <c r="C129" s="7">
        <v>218.74</v>
      </c>
      <c r="D129" s="7"/>
      <c r="F129" s="28">
        <v>214.52</v>
      </c>
      <c r="G129" s="28">
        <v>219.69</v>
      </c>
      <c r="L129" s="3">
        <v>39234</v>
      </c>
      <c r="M129" s="19">
        <v>21640</v>
      </c>
      <c r="N129" s="19">
        <v>21226</v>
      </c>
      <c r="O129" s="19">
        <v>20659</v>
      </c>
      <c r="P129" s="19">
        <v>19572</v>
      </c>
      <c r="Q129" s="19">
        <v>18786</v>
      </c>
      <c r="R129" s="19">
        <v>879026</v>
      </c>
      <c r="S129" s="19">
        <v>719035</v>
      </c>
      <c r="T129" s="19">
        <v>758284</v>
      </c>
      <c r="U129" s="19">
        <v>875035</v>
      </c>
      <c r="V129" s="19">
        <v>1191197</v>
      </c>
    </row>
    <row r="130" spans="1:22" x14ac:dyDescent="0.2">
      <c r="A130" s="3">
        <v>39233</v>
      </c>
      <c r="B130" s="7">
        <v>2.21</v>
      </c>
      <c r="C130" s="7">
        <v>216.45</v>
      </c>
      <c r="D130" s="7"/>
      <c r="F130" s="28">
        <v>209.9</v>
      </c>
      <c r="G130" s="28">
        <v>214.89</v>
      </c>
      <c r="L130" s="3">
        <v>39233</v>
      </c>
      <c r="M130" s="19">
        <v>21551</v>
      </c>
      <c r="N130" s="19">
        <v>21076</v>
      </c>
      <c r="O130" s="19">
        <v>20572</v>
      </c>
      <c r="P130" s="19">
        <v>19513</v>
      </c>
      <c r="Q130" s="19">
        <v>18754</v>
      </c>
      <c r="R130" s="19">
        <v>548280</v>
      </c>
      <c r="S130" s="19">
        <v>789419</v>
      </c>
      <c r="T130" s="19">
        <v>721250</v>
      </c>
      <c r="U130" s="19">
        <v>922755</v>
      </c>
      <c r="V130" s="19">
        <v>1192670</v>
      </c>
    </row>
    <row r="131" spans="1:22" x14ac:dyDescent="0.2">
      <c r="A131" s="3">
        <v>39232</v>
      </c>
      <c r="B131" s="7">
        <v>-0.14000000000000001</v>
      </c>
      <c r="C131" s="7">
        <v>211.76</v>
      </c>
      <c r="D131" s="7"/>
      <c r="F131" s="28">
        <v>209.76</v>
      </c>
      <c r="G131" s="28">
        <v>215.45</v>
      </c>
      <c r="L131" s="3">
        <v>39232</v>
      </c>
      <c r="M131" s="19">
        <v>20958</v>
      </c>
      <c r="N131" s="19">
        <v>20951</v>
      </c>
      <c r="O131" s="19">
        <v>20488</v>
      </c>
      <c r="P131" s="19">
        <v>19454</v>
      </c>
      <c r="Q131" s="19">
        <v>18725</v>
      </c>
      <c r="R131" s="19">
        <v>732408</v>
      </c>
      <c r="S131" s="19">
        <v>944768</v>
      </c>
      <c r="T131" s="19">
        <v>706908</v>
      </c>
      <c r="U131" s="19">
        <v>963945</v>
      </c>
      <c r="V131" s="19">
        <v>1191448</v>
      </c>
    </row>
    <row r="132" spans="1:22" x14ac:dyDescent="0.2">
      <c r="A132" s="3">
        <v>39231</v>
      </c>
      <c r="B132" s="7">
        <v>0.08</v>
      </c>
      <c r="C132" s="7">
        <v>212.06</v>
      </c>
      <c r="D132" s="7"/>
      <c r="F132" s="28">
        <v>209.56</v>
      </c>
      <c r="G132" s="28">
        <v>215.27</v>
      </c>
      <c r="L132" s="3">
        <v>39231</v>
      </c>
      <c r="M132" s="19">
        <v>20973</v>
      </c>
      <c r="N132" s="19">
        <v>20940</v>
      </c>
      <c r="O132" s="19">
        <v>20429</v>
      </c>
      <c r="P132" s="19">
        <v>19399</v>
      </c>
      <c r="Q132" s="19">
        <v>18700</v>
      </c>
      <c r="R132" s="19">
        <v>678407</v>
      </c>
      <c r="S132" s="19">
        <v>946525</v>
      </c>
      <c r="T132" s="19">
        <v>699337</v>
      </c>
      <c r="U132" s="19">
        <v>1029209</v>
      </c>
      <c r="V132" s="19">
        <v>1187845</v>
      </c>
    </row>
    <row r="133" spans="1:22" x14ac:dyDescent="0.2">
      <c r="A133" s="3">
        <v>39230</v>
      </c>
      <c r="B133" s="7">
        <v>0.64</v>
      </c>
      <c r="C133" s="7">
        <v>211.88</v>
      </c>
      <c r="D133" s="7"/>
      <c r="F133" s="28">
        <v>207.86</v>
      </c>
      <c r="G133" s="28">
        <v>214.06</v>
      </c>
      <c r="L133" s="3">
        <v>39230</v>
      </c>
      <c r="M133" s="19">
        <v>21008</v>
      </c>
      <c r="N133" s="19">
        <v>20870</v>
      </c>
      <c r="O133" s="19">
        <v>20366</v>
      </c>
      <c r="P133" s="19">
        <v>19351</v>
      </c>
      <c r="Q133" s="19">
        <v>18676</v>
      </c>
      <c r="R133" s="19">
        <v>757053</v>
      </c>
      <c r="S133" s="19">
        <v>873779</v>
      </c>
      <c r="T133" s="19">
        <v>724108</v>
      </c>
      <c r="U133" s="19">
        <v>1056396</v>
      </c>
      <c r="V133" s="19">
        <v>1183734</v>
      </c>
    </row>
    <row r="134" spans="1:22" x14ac:dyDescent="0.2">
      <c r="A134" s="3">
        <v>39227</v>
      </c>
      <c r="B134" s="7">
        <v>-0.28999999999999998</v>
      </c>
      <c r="C134" s="7">
        <v>210.54</v>
      </c>
      <c r="D134" s="7"/>
      <c r="F134" s="28">
        <v>208.39</v>
      </c>
      <c r="G134" s="28">
        <v>214.7</v>
      </c>
      <c r="L134" s="3">
        <v>39227</v>
      </c>
      <c r="M134" s="19">
        <v>20889</v>
      </c>
      <c r="N134" s="19">
        <v>20761</v>
      </c>
      <c r="O134" s="19">
        <v>20311</v>
      </c>
      <c r="P134" s="19">
        <v>19305</v>
      </c>
      <c r="Q134" s="19">
        <v>18652</v>
      </c>
      <c r="R134" s="19">
        <v>1230947</v>
      </c>
      <c r="S134" s="19">
        <v>768553</v>
      </c>
      <c r="T134" s="19">
        <v>699768</v>
      </c>
      <c r="U134" s="19">
        <v>1180396</v>
      </c>
      <c r="V134" s="19">
        <v>1181746</v>
      </c>
    </row>
    <row r="135" spans="1:22" x14ac:dyDescent="0.2">
      <c r="A135" s="3">
        <v>39225</v>
      </c>
      <c r="B135" s="7">
        <v>0.22</v>
      </c>
      <c r="C135" s="7">
        <v>211.15</v>
      </c>
      <c r="D135" s="7"/>
      <c r="F135" s="28">
        <v>207.93</v>
      </c>
      <c r="G135" s="28">
        <v>214.22</v>
      </c>
      <c r="L135" s="3">
        <v>39225</v>
      </c>
      <c r="M135" s="19">
        <v>20929</v>
      </c>
      <c r="N135" s="19">
        <v>20688</v>
      </c>
      <c r="O135" s="19">
        <v>20254</v>
      </c>
      <c r="P135" s="19">
        <v>19268</v>
      </c>
      <c r="Q135" s="19">
        <v>18628</v>
      </c>
      <c r="R135" s="19">
        <v>1325023</v>
      </c>
      <c r="S135" s="19">
        <v>1048888</v>
      </c>
      <c r="T135" s="19">
        <v>650715</v>
      </c>
      <c r="U135" s="19">
        <v>1221240</v>
      </c>
      <c r="V135" s="19">
        <v>1179543</v>
      </c>
    </row>
    <row r="136" spans="1:22" x14ac:dyDescent="0.2">
      <c r="A136" s="3">
        <v>39224</v>
      </c>
      <c r="B136" s="7">
        <v>0.93</v>
      </c>
      <c r="C136" s="7">
        <v>210.69</v>
      </c>
      <c r="D136" s="7"/>
      <c r="F136" s="28">
        <v>206</v>
      </c>
      <c r="G136" s="28">
        <v>212.2</v>
      </c>
      <c r="L136" s="3">
        <v>39224</v>
      </c>
      <c r="M136" s="19">
        <v>20899</v>
      </c>
      <c r="N136" s="19">
        <v>20577</v>
      </c>
      <c r="O136" s="19">
        <v>20201</v>
      </c>
      <c r="P136" s="19">
        <v>19234</v>
      </c>
      <c r="Q136" s="19">
        <v>18603</v>
      </c>
      <c r="R136" s="19">
        <v>741193</v>
      </c>
      <c r="S136" s="19">
        <v>893556</v>
      </c>
      <c r="T136" s="19">
        <v>629050</v>
      </c>
      <c r="U136" s="19">
        <v>1209987</v>
      </c>
      <c r="V136" s="19">
        <v>1178124</v>
      </c>
    </row>
    <row r="137" spans="1:22" x14ac:dyDescent="0.2">
      <c r="A137" s="3">
        <v>39223</v>
      </c>
      <c r="B137" s="7">
        <v>0.99</v>
      </c>
      <c r="C137" s="7">
        <v>208.74</v>
      </c>
      <c r="D137" s="7"/>
      <c r="F137" s="28">
        <v>203.97</v>
      </c>
      <c r="G137" s="28">
        <v>210.11</v>
      </c>
      <c r="L137" s="3">
        <v>39223</v>
      </c>
      <c r="M137" s="19">
        <v>20627</v>
      </c>
      <c r="N137" s="19">
        <v>20448</v>
      </c>
      <c r="O137" s="19">
        <v>20144</v>
      </c>
      <c r="P137" s="19">
        <v>19200</v>
      </c>
      <c r="Q137" s="19">
        <v>18578</v>
      </c>
      <c r="R137" s="19">
        <v>314678</v>
      </c>
      <c r="S137" s="19">
        <v>1066033</v>
      </c>
      <c r="T137" s="19">
        <v>636880</v>
      </c>
      <c r="U137" s="19">
        <v>1208625</v>
      </c>
      <c r="V137" s="19">
        <v>1176867</v>
      </c>
    </row>
    <row r="138" spans="1:22" x14ac:dyDescent="0.2">
      <c r="A138" s="3">
        <v>39220</v>
      </c>
      <c r="B138" s="7">
        <v>-0.32</v>
      </c>
      <c r="C138" s="7">
        <v>206.69</v>
      </c>
      <c r="D138" s="7"/>
      <c r="F138" s="28">
        <v>204.64</v>
      </c>
      <c r="G138" s="28">
        <v>210.78</v>
      </c>
      <c r="L138" s="3">
        <v>39220</v>
      </c>
      <c r="M138" s="19">
        <v>20460</v>
      </c>
      <c r="N138" s="19">
        <v>20423</v>
      </c>
      <c r="O138" s="19">
        <v>20093</v>
      </c>
      <c r="P138" s="19">
        <v>19170</v>
      </c>
      <c r="Q138" s="19">
        <v>18556</v>
      </c>
      <c r="R138" s="19">
        <v>230922</v>
      </c>
      <c r="S138" s="19">
        <v>1099429</v>
      </c>
      <c r="T138" s="19">
        <v>640639</v>
      </c>
      <c r="U138" s="19">
        <v>1215207</v>
      </c>
      <c r="V138" s="19">
        <v>1179530</v>
      </c>
    </row>
    <row r="139" spans="1:22" x14ac:dyDescent="0.2">
      <c r="A139" s="3">
        <v>39219</v>
      </c>
      <c r="B139" s="7">
        <v>0.84</v>
      </c>
      <c r="C139" s="7">
        <v>207.35</v>
      </c>
      <c r="D139" s="7"/>
      <c r="F139" s="28">
        <v>202.93</v>
      </c>
      <c r="G139" s="28">
        <v>208.99</v>
      </c>
      <c r="L139" s="3">
        <v>39219</v>
      </c>
      <c r="M139" s="19">
        <v>20524</v>
      </c>
      <c r="N139" s="19">
        <v>20429</v>
      </c>
      <c r="O139" s="19">
        <v>20040</v>
      </c>
      <c r="P139" s="19">
        <v>19140</v>
      </c>
      <c r="Q139" s="19">
        <v>18536</v>
      </c>
      <c r="R139" s="19">
        <v>2632622</v>
      </c>
      <c r="S139" s="19">
        <v>1221121</v>
      </c>
      <c r="T139" s="19">
        <v>697500</v>
      </c>
      <c r="U139" s="19">
        <v>1230312</v>
      </c>
      <c r="V139" s="19">
        <v>1183428</v>
      </c>
    </row>
    <row r="140" spans="1:22" x14ac:dyDescent="0.2">
      <c r="A140" s="3">
        <v>39218</v>
      </c>
      <c r="B140" s="7">
        <v>0.69</v>
      </c>
      <c r="C140" s="7">
        <v>205.62</v>
      </c>
      <c r="D140" s="7"/>
      <c r="F140" s="28">
        <v>201.54</v>
      </c>
      <c r="G140" s="28">
        <v>207.55</v>
      </c>
      <c r="L140" s="3">
        <v>39218</v>
      </c>
      <c r="M140" s="19">
        <v>20376</v>
      </c>
      <c r="N140" s="19">
        <v>20414</v>
      </c>
      <c r="O140" s="19">
        <v>19996</v>
      </c>
      <c r="P140" s="19">
        <v>19108</v>
      </c>
      <c r="Q140" s="19">
        <v>18515</v>
      </c>
      <c r="R140" s="19">
        <v>548364</v>
      </c>
      <c r="S140" s="19">
        <v>813234</v>
      </c>
      <c r="T140" s="19">
        <v>577208</v>
      </c>
      <c r="U140" s="19">
        <v>1233337</v>
      </c>
      <c r="V140" s="19">
        <v>1166418</v>
      </c>
    </row>
    <row r="141" spans="1:22" x14ac:dyDescent="0.2">
      <c r="A141" s="3">
        <v>39217</v>
      </c>
      <c r="B141" s="7">
        <v>-1</v>
      </c>
      <c r="C141" s="7">
        <v>204.22</v>
      </c>
      <c r="D141" s="7"/>
      <c r="F141" s="28">
        <v>203.67</v>
      </c>
      <c r="G141" s="28">
        <v>209.66</v>
      </c>
      <c r="L141" s="3">
        <v>39217</v>
      </c>
      <c r="M141" s="19">
        <v>20252</v>
      </c>
      <c r="N141" s="19">
        <v>20394</v>
      </c>
      <c r="O141" s="19">
        <v>19957</v>
      </c>
      <c r="P141" s="19">
        <v>19078</v>
      </c>
      <c r="Q141" s="19">
        <v>18493</v>
      </c>
      <c r="R141" s="19">
        <v>1603578</v>
      </c>
      <c r="S141" s="19">
        <v>765018</v>
      </c>
      <c r="T141" s="19">
        <v>576159</v>
      </c>
      <c r="U141" s="19">
        <v>1238397</v>
      </c>
      <c r="V141" s="19">
        <v>1164078</v>
      </c>
    </row>
    <row r="142" spans="1:22" x14ac:dyDescent="0.2">
      <c r="A142" s="3">
        <v>39216</v>
      </c>
      <c r="B142" s="7">
        <v>0.11</v>
      </c>
      <c r="C142" s="7">
        <v>206.28</v>
      </c>
      <c r="D142" s="7"/>
      <c r="F142" s="28">
        <v>203.45</v>
      </c>
      <c r="G142" s="28">
        <v>209.52</v>
      </c>
      <c r="L142" s="3">
        <v>39216</v>
      </c>
      <c r="M142" s="19">
        <v>20504</v>
      </c>
      <c r="N142" s="19">
        <v>20378</v>
      </c>
      <c r="O142" s="19">
        <v>19925</v>
      </c>
      <c r="P142" s="19">
        <v>19049</v>
      </c>
      <c r="Q142" s="19">
        <v>18473</v>
      </c>
      <c r="R142" s="19">
        <v>481658</v>
      </c>
      <c r="S142" s="19">
        <v>501554</v>
      </c>
      <c r="T142" s="19">
        <v>531494</v>
      </c>
      <c r="U142" s="19">
        <v>1237035</v>
      </c>
      <c r="V142" s="19">
        <v>1153750</v>
      </c>
    </row>
    <row r="143" spans="1:22" x14ac:dyDescent="0.2">
      <c r="A143" s="3">
        <v>39213</v>
      </c>
      <c r="B143" s="7">
        <v>0.27</v>
      </c>
      <c r="C143" s="7">
        <v>206.06</v>
      </c>
      <c r="D143" s="7"/>
      <c r="F143" s="28">
        <v>202.91</v>
      </c>
      <c r="G143" s="28">
        <v>208.96</v>
      </c>
      <c r="L143" s="3">
        <v>39213</v>
      </c>
      <c r="M143" s="19">
        <v>20489</v>
      </c>
      <c r="N143" s="19">
        <v>20322</v>
      </c>
      <c r="O143" s="19">
        <v>19871</v>
      </c>
      <c r="P143" s="19">
        <v>19015</v>
      </c>
      <c r="Q143" s="19">
        <v>18451</v>
      </c>
      <c r="R143" s="19">
        <v>839381</v>
      </c>
      <c r="S143" s="19">
        <v>446825</v>
      </c>
      <c r="T143" s="19">
        <v>580886</v>
      </c>
      <c r="U143" s="19">
        <v>1240400</v>
      </c>
      <c r="V143" s="19">
        <v>1153173</v>
      </c>
    </row>
    <row r="144" spans="1:22" x14ac:dyDescent="0.2">
      <c r="A144" s="3">
        <v>39212</v>
      </c>
      <c r="B144" s="7">
        <v>0.36</v>
      </c>
      <c r="C144" s="7">
        <v>205.51</v>
      </c>
      <c r="D144" s="7"/>
      <c r="F144" s="28">
        <v>202.08</v>
      </c>
      <c r="G144" s="28">
        <v>208.21</v>
      </c>
      <c r="L144" s="3">
        <v>39212</v>
      </c>
      <c r="M144" s="19">
        <v>20450</v>
      </c>
      <c r="N144" s="19">
        <v>20220</v>
      </c>
      <c r="O144" s="19">
        <v>19822</v>
      </c>
      <c r="P144" s="19">
        <v>18976</v>
      </c>
      <c r="Q144" s="19">
        <v>18429</v>
      </c>
      <c r="R144" s="19">
        <v>593188</v>
      </c>
      <c r="S144" s="19">
        <v>324430</v>
      </c>
      <c r="T144" s="19">
        <v>661636</v>
      </c>
      <c r="U144" s="19">
        <v>1246433</v>
      </c>
      <c r="V144" s="19">
        <v>1151631</v>
      </c>
    </row>
    <row r="145" spans="1:22" x14ac:dyDescent="0.2">
      <c r="A145" s="3">
        <v>39211</v>
      </c>
      <c r="B145" s="7">
        <v>0.62</v>
      </c>
      <c r="C145" s="7">
        <v>204.77</v>
      </c>
      <c r="D145" s="7"/>
      <c r="F145" s="28">
        <v>200.83</v>
      </c>
      <c r="G145" s="28">
        <v>206.91</v>
      </c>
      <c r="L145" s="3">
        <v>39211</v>
      </c>
      <c r="M145" s="19">
        <v>20277</v>
      </c>
      <c r="N145" s="19">
        <v>20112</v>
      </c>
      <c r="O145" s="19">
        <v>19771</v>
      </c>
      <c r="P145" s="19">
        <v>18938</v>
      </c>
      <c r="Q145" s="19">
        <v>18409</v>
      </c>
      <c r="R145" s="19">
        <v>307283</v>
      </c>
      <c r="S145" s="19">
        <v>233459</v>
      </c>
      <c r="T145" s="19">
        <v>691902</v>
      </c>
      <c r="U145" s="19">
        <v>1266709</v>
      </c>
      <c r="V145" s="19">
        <v>1153310</v>
      </c>
    </row>
    <row r="146" spans="1:22" x14ac:dyDescent="0.2">
      <c r="A146" s="3">
        <v>39210</v>
      </c>
      <c r="B146" s="7">
        <v>-0.03</v>
      </c>
      <c r="C146" s="7">
        <v>203.51</v>
      </c>
      <c r="D146" s="7"/>
      <c r="F146" s="28">
        <v>200.88</v>
      </c>
      <c r="G146" s="28">
        <v>206.97</v>
      </c>
      <c r="L146" s="3">
        <v>39210</v>
      </c>
      <c r="M146" s="19">
        <v>20168</v>
      </c>
      <c r="N146" s="19">
        <v>20029</v>
      </c>
      <c r="O146" s="19">
        <v>19720</v>
      </c>
      <c r="P146" s="19">
        <v>18905</v>
      </c>
      <c r="Q146" s="19">
        <v>18388</v>
      </c>
      <c r="R146" s="19">
        <v>286259</v>
      </c>
      <c r="S146" s="19">
        <v>224292</v>
      </c>
      <c r="T146" s="19">
        <v>748502</v>
      </c>
      <c r="U146" s="19">
        <v>1268760</v>
      </c>
      <c r="V146" s="19">
        <v>1153835</v>
      </c>
    </row>
    <row r="147" spans="1:22" x14ac:dyDescent="0.2">
      <c r="A147" s="3">
        <v>39209</v>
      </c>
      <c r="B147" s="7">
        <v>1</v>
      </c>
      <c r="C147" s="7">
        <v>203.57</v>
      </c>
      <c r="D147" s="7"/>
      <c r="F147" s="28">
        <v>198.87</v>
      </c>
      <c r="G147" s="28">
        <v>204.86</v>
      </c>
      <c r="L147" s="3">
        <v>39209</v>
      </c>
      <c r="M147" s="19">
        <v>20227</v>
      </c>
      <c r="N147" s="19">
        <v>19951</v>
      </c>
      <c r="O147" s="19">
        <v>19675</v>
      </c>
      <c r="P147" s="19">
        <v>18872</v>
      </c>
      <c r="Q147" s="19">
        <v>18368</v>
      </c>
      <c r="R147" s="19">
        <v>208015</v>
      </c>
      <c r="S147" s="19">
        <v>283236</v>
      </c>
      <c r="T147" s="19">
        <v>765191</v>
      </c>
      <c r="U147" s="19">
        <v>1289500</v>
      </c>
      <c r="V147" s="19">
        <v>1153655</v>
      </c>
    </row>
    <row r="148" spans="1:22" x14ac:dyDescent="0.2">
      <c r="A148" s="3">
        <v>39206</v>
      </c>
      <c r="B148" s="7">
        <v>0.44</v>
      </c>
      <c r="C148" s="7">
        <v>201.56</v>
      </c>
      <c r="D148" s="7"/>
      <c r="F148" s="28">
        <v>198</v>
      </c>
      <c r="G148" s="28">
        <v>203.98</v>
      </c>
      <c r="L148" s="3">
        <v>39206</v>
      </c>
      <c r="M148" s="19">
        <v>19976</v>
      </c>
      <c r="N148" s="19">
        <v>19850</v>
      </c>
      <c r="O148" s="19">
        <v>19615</v>
      </c>
      <c r="P148" s="19">
        <v>18840</v>
      </c>
      <c r="Q148" s="19">
        <v>18347</v>
      </c>
      <c r="R148" s="19">
        <v>227403</v>
      </c>
      <c r="S148" s="19">
        <v>476398</v>
      </c>
      <c r="T148" s="19">
        <v>820774</v>
      </c>
      <c r="U148" s="19">
        <v>1297416</v>
      </c>
      <c r="V148" s="19">
        <v>1155319</v>
      </c>
    </row>
    <row r="149" spans="1:22" x14ac:dyDescent="0.2">
      <c r="A149" s="3">
        <v>39205</v>
      </c>
      <c r="B149" s="7">
        <v>0.41</v>
      </c>
      <c r="C149" s="7">
        <v>200.67</v>
      </c>
      <c r="D149" s="7"/>
      <c r="F149" s="28">
        <v>197.2</v>
      </c>
      <c r="G149" s="28">
        <v>203.15</v>
      </c>
      <c r="L149" s="3">
        <v>39205</v>
      </c>
      <c r="M149" s="19">
        <v>19911</v>
      </c>
      <c r="N149" s="19">
        <v>19835</v>
      </c>
      <c r="O149" s="19">
        <v>19567</v>
      </c>
      <c r="P149" s="19">
        <v>18812</v>
      </c>
      <c r="Q149" s="19">
        <v>18328</v>
      </c>
      <c r="R149" s="19">
        <v>138333</v>
      </c>
      <c r="S149" s="19">
        <v>484969</v>
      </c>
      <c r="T149" s="19">
        <v>852120</v>
      </c>
      <c r="U149" s="19">
        <v>1302944</v>
      </c>
      <c r="V149" s="19">
        <v>1163364</v>
      </c>
    </row>
    <row r="150" spans="1:22" x14ac:dyDescent="0.2">
      <c r="A150" s="3">
        <v>39204</v>
      </c>
      <c r="B150" s="7">
        <v>0.66</v>
      </c>
      <c r="C150" s="7">
        <v>199.86</v>
      </c>
      <c r="D150" s="7"/>
      <c r="F150" s="28">
        <v>195.83</v>
      </c>
      <c r="G150" s="28">
        <v>202</v>
      </c>
      <c r="L150" s="3">
        <v>39204</v>
      </c>
      <c r="M150" s="19">
        <v>19862</v>
      </c>
      <c r="N150" s="19">
        <v>19803</v>
      </c>
      <c r="O150" s="19">
        <v>19523</v>
      </c>
      <c r="P150" s="19">
        <v>18784</v>
      </c>
      <c r="Q150" s="19">
        <v>18308</v>
      </c>
      <c r="R150" s="19">
        <v>261449</v>
      </c>
      <c r="S150" s="19">
        <v>507278</v>
      </c>
      <c r="T150" s="19">
        <v>925932</v>
      </c>
      <c r="U150" s="19">
        <v>1320590</v>
      </c>
      <c r="V150" s="19">
        <v>1163624</v>
      </c>
    </row>
    <row r="151" spans="1:22" x14ac:dyDescent="0.2">
      <c r="A151" s="3">
        <v>39202</v>
      </c>
      <c r="B151" s="7">
        <v>0.14000000000000001</v>
      </c>
      <c r="C151" s="7">
        <v>198.55</v>
      </c>
      <c r="D151" s="7"/>
      <c r="F151" s="28">
        <v>195.55</v>
      </c>
      <c r="G151" s="28">
        <v>201.85</v>
      </c>
      <c r="L151" s="3">
        <v>39202</v>
      </c>
      <c r="M151" s="19">
        <v>19778</v>
      </c>
      <c r="N151" s="19">
        <v>19805</v>
      </c>
      <c r="O151" s="19">
        <v>19470</v>
      </c>
      <c r="P151" s="19">
        <v>18755</v>
      </c>
      <c r="Q151" s="19">
        <v>18289</v>
      </c>
      <c r="R151" s="19">
        <v>580982</v>
      </c>
      <c r="S151" s="19">
        <v>633334</v>
      </c>
      <c r="T151" s="19">
        <v>1013425</v>
      </c>
      <c r="U151" s="19">
        <v>1333452</v>
      </c>
      <c r="V151" s="19">
        <v>1165635</v>
      </c>
    </row>
    <row r="152" spans="1:22" x14ac:dyDescent="0.2">
      <c r="A152" s="3">
        <v>39199</v>
      </c>
      <c r="B152" s="7">
        <v>-0.74</v>
      </c>
      <c r="C152" s="7">
        <v>198.28</v>
      </c>
      <c r="D152" s="7"/>
      <c r="F152" s="28">
        <v>196.99</v>
      </c>
      <c r="G152" s="28">
        <v>203.35</v>
      </c>
      <c r="L152" s="3">
        <v>39199</v>
      </c>
      <c r="M152" s="19">
        <v>19724</v>
      </c>
      <c r="N152" s="19">
        <v>19798</v>
      </c>
      <c r="O152" s="19">
        <v>19420</v>
      </c>
      <c r="P152" s="19">
        <v>18721</v>
      </c>
      <c r="Q152" s="19">
        <v>18270</v>
      </c>
      <c r="R152" s="19">
        <v>1173821</v>
      </c>
      <c r="S152" s="19">
        <v>696697</v>
      </c>
      <c r="T152" s="19">
        <v>1017161</v>
      </c>
      <c r="U152" s="19">
        <v>1332370</v>
      </c>
      <c r="V152" s="19">
        <v>1165549</v>
      </c>
    </row>
    <row r="153" spans="1:22" x14ac:dyDescent="0.2">
      <c r="A153" s="3">
        <v>39198</v>
      </c>
      <c r="B153" s="7">
        <v>0.67</v>
      </c>
      <c r="C153" s="7">
        <v>199.75</v>
      </c>
      <c r="D153" s="7"/>
      <c r="F153" s="28">
        <v>195.69</v>
      </c>
      <c r="G153" s="28">
        <v>202</v>
      </c>
      <c r="L153" s="3">
        <v>39198</v>
      </c>
      <c r="M153" s="19">
        <v>19902</v>
      </c>
      <c r="N153" s="19">
        <v>19778</v>
      </c>
      <c r="O153" s="19">
        <v>19372</v>
      </c>
      <c r="P153" s="19">
        <v>18684</v>
      </c>
      <c r="Q153" s="19">
        <v>18251</v>
      </c>
      <c r="R153" s="19">
        <v>270258</v>
      </c>
      <c r="S153" s="19">
        <v>539905</v>
      </c>
      <c r="T153" s="19">
        <v>1049494</v>
      </c>
      <c r="U153" s="19">
        <v>1330742</v>
      </c>
      <c r="V153" s="19">
        <v>1157252</v>
      </c>
    </row>
    <row r="154" spans="1:22" x14ac:dyDescent="0.2">
      <c r="A154" s="3">
        <v>39197</v>
      </c>
      <c r="B154" s="7">
        <v>-0.79</v>
      </c>
      <c r="C154" s="7">
        <v>198.43</v>
      </c>
      <c r="D154" s="7"/>
      <c r="F154" s="28">
        <v>197.27</v>
      </c>
      <c r="G154" s="28">
        <v>203.62</v>
      </c>
      <c r="L154" s="3">
        <v>39197</v>
      </c>
      <c r="M154" s="19">
        <v>19751</v>
      </c>
      <c r="N154" s="19">
        <v>19674</v>
      </c>
      <c r="O154" s="19">
        <v>19313</v>
      </c>
      <c r="P154" s="19">
        <v>18645</v>
      </c>
      <c r="Q154" s="19">
        <v>18232</v>
      </c>
      <c r="R154" s="19">
        <v>249882</v>
      </c>
      <c r="S154" s="19">
        <v>759481</v>
      </c>
      <c r="T154" s="19">
        <v>1094672</v>
      </c>
      <c r="U154" s="19">
        <v>1330491</v>
      </c>
      <c r="V154" s="19">
        <v>1157160</v>
      </c>
    </row>
    <row r="155" spans="1:22" x14ac:dyDescent="0.2">
      <c r="A155" s="3">
        <v>39196</v>
      </c>
      <c r="B155" s="7">
        <v>0.7</v>
      </c>
      <c r="C155" s="7">
        <v>200.02</v>
      </c>
      <c r="D155" s="7"/>
      <c r="F155" s="28">
        <v>195.81</v>
      </c>
      <c r="G155" s="28">
        <v>202.16</v>
      </c>
      <c r="L155" s="3">
        <v>39196</v>
      </c>
      <c r="M155" s="19">
        <v>19872</v>
      </c>
      <c r="N155" s="19">
        <v>19653</v>
      </c>
      <c r="O155" s="19">
        <v>19245</v>
      </c>
      <c r="P155" s="19">
        <v>18607</v>
      </c>
      <c r="Q155" s="19">
        <v>18213</v>
      </c>
      <c r="R155" s="19">
        <v>891728</v>
      </c>
      <c r="S155" s="19">
        <v>754861</v>
      </c>
      <c r="T155" s="19">
        <v>1193947</v>
      </c>
      <c r="U155" s="19">
        <v>1345330</v>
      </c>
      <c r="V155" s="19">
        <v>1166026</v>
      </c>
    </row>
    <row r="156" spans="1:22" x14ac:dyDescent="0.2">
      <c r="A156" s="3">
        <v>39195</v>
      </c>
      <c r="B156" s="7">
        <v>0.7</v>
      </c>
      <c r="C156" s="7">
        <v>198.62</v>
      </c>
      <c r="D156" s="7"/>
      <c r="F156" s="28">
        <v>194.43</v>
      </c>
      <c r="G156" s="28">
        <v>200.73</v>
      </c>
      <c r="L156" s="3">
        <v>39195</v>
      </c>
      <c r="M156" s="19">
        <v>19741</v>
      </c>
      <c r="N156" s="19">
        <v>19600</v>
      </c>
      <c r="O156" s="19">
        <v>19185</v>
      </c>
      <c r="P156" s="19">
        <v>18569</v>
      </c>
      <c r="Q156" s="19">
        <v>18191</v>
      </c>
      <c r="R156" s="19">
        <v>897796</v>
      </c>
      <c r="S156" s="19">
        <v>681991</v>
      </c>
      <c r="T156" s="19">
        <v>1170342</v>
      </c>
      <c r="U156" s="19">
        <v>1339398</v>
      </c>
      <c r="V156" s="19">
        <v>1161799</v>
      </c>
    </row>
    <row r="157" spans="1:22" x14ac:dyDescent="0.2">
      <c r="A157" s="3">
        <v>39192</v>
      </c>
      <c r="B157" s="7">
        <v>1.36</v>
      </c>
      <c r="C157" s="7">
        <v>197.24</v>
      </c>
      <c r="D157" s="7"/>
      <c r="F157" s="28">
        <v>191.82</v>
      </c>
      <c r="G157" s="28">
        <v>198.03</v>
      </c>
      <c r="L157" s="3">
        <v>39192</v>
      </c>
      <c r="M157" s="19">
        <v>19625</v>
      </c>
      <c r="N157" s="19">
        <v>19572</v>
      </c>
      <c r="O157" s="19">
        <v>19127</v>
      </c>
      <c r="P157" s="19">
        <v>18536</v>
      </c>
      <c r="Q157" s="19">
        <v>18170</v>
      </c>
      <c r="R157" s="19">
        <v>389859</v>
      </c>
      <c r="S157" s="19">
        <v>644490</v>
      </c>
      <c r="T157" s="19">
        <v>1140960</v>
      </c>
      <c r="U157" s="19">
        <v>1338755</v>
      </c>
      <c r="V157" s="19">
        <v>1158448</v>
      </c>
    </row>
    <row r="158" spans="1:22" x14ac:dyDescent="0.2">
      <c r="A158" s="3">
        <v>39191</v>
      </c>
      <c r="B158" s="7">
        <v>-1.38</v>
      </c>
      <c r="C158" s="7">
        <v>194.59</v>
      </c>
      <c r="D158" s="7"/>
      <c r="F158" s="28">
        <v>194.61</v>
      </c>
      <c r="G158" s="28">
        <v>200.78</v>
      </c>
      <c r="L158" s="3">
        <v>39191</v>
      </c>
      <c r="M158" s="19">
        <v>19382</v>
      </c>
      <c r="N158" s="19">
        <v>19534</v>
      </c>
      <c r="O158" s="19">
        <v>19072</v>
      </c>
      <c r="P158" s="19">
        <v>18505</v>
      </c>
      <c r="Q158" s="19">
        <v>18152</v>
      </c>
      <c r="R158" s="19">
        <v>1368141</v>
      </c>
      <c r="S158" s="19">
        <v>860417</v>
      </c>
      <c r="T158" s="19">
        <v>1140820</v>
      </c>
      <c r="U158" s="19">
        <v>1343981</v>
      </c>
      <c r="V158" s="19">
        <v>1157910</v>
      </c>
    </row>
    <row r="159" spans="1:22" x14ac:dyDescent="0.2">
      <c r="A159" s="3">
        <v>39190</v>
      </c>
      <c r="B159" s="7">
        <v>0.38</v>
      </c>
      <c r="C159" s="7">
        <v>197.31</v>
      </c>
      <c r="D159" s="7"/>
      <c r="F159" s="28">
        <v>193.88</v>
      </c>
      <c r="G159" s="28">
        <v>200.03</v>
      </c>
      <c r="L159" s="3">
        <v>39190</v>
      </c>
      <c r="M159" s="19">
        <v>19644</v>
      </c>
      <c r="N159" s="19">
        <v>19558</v>
      </c>
      <c r="O159" s="19">
        <v>19029</v>
      </c>
      <c r="P159" s="19">
        <v>18474</v>
      </c>
      <c r="Q159" s="19">
        <v>18136</v>
      </c>
      <c r="R159" s="19">
        <v>226779</v>
      </c>
      <c r="S159" s="19">
        <v>1077663</v>
      </c>
      <c r="T159" s="19">
        <v>1095493</v>
      </c>
      <c r="U159" s="19">
        <v>1328258</v>
      </c>
      <c r="V159" s="19">
        <v>1148847</v>
      </c>
    </row>
    <row r="160" spans="1:22" x14ac:dyDescent="0.2">
      <c r="A160" s="3">
        <v>39189</v>
      </c>
      <c r="B160" s="7">
        <v>-0.27</v>
      </c>
      <c r="C160" s="7">
        <v>196.57</v>
      </c>
      <c r="D160" s="7"/>
      <c r="F160" s="28">
        <v>194.28</v>
      </c>
      <c r="G160" s="28">
        <v>200.61</v>
      </c>
      <c r="L160" s="3">
        <v>39189</v>
      </c>
      <c r="M160" s="19">
        <v>19606</v>
      </c>
      <c r="N160" s="19">
        <v>19516</v>
      </c>
      <c r="O160" s="19">
        <v>18974</v>
      </c>
      <c r="P160" s="19">
        <v>18439</v>
      </c>
      <c r="Q160" s="19">
        <v>18117</v>
      </c>
      <c r="R160" s="19">
        <v>527379</v>
      </c>
      <c r="S160" s="19">
        <v>1272009</v>
      </c>
      <c r="T160" s="19">
        <v>1118124</v>
      </c>
      <c r="U160" s="19">
        <v>1331227</v>
      </c>
      <c r="V160" s="19">
        <v>1152544</v>
      </c>
    </row>
    <row r="161" spans="1:22" x14ac:dyDescent="0.2">
      <c r="A161" s="3">
        <v>39188</v>
      </c>
      <c r="B161" s="7">
        <v>0.64</v>
      </c>
      <c r="C161" s="7">
        <v>197.1</v>
      </c>
      <c r="D161" s="7"/>
      <c r="F161" s="28">
        <v>193.04</v>
      </c>
      <c r="G161" s="28">
        <v>199.32</v>
      </c>
      <c r="L161" s="3">
        <v>39188</v>
      </c>
      <c r="M161" s="19">
        <v>19601</v>
      </c>
      <c r="N161" s="19">
        <v>19446</v>
      </c>
      <c r="O161" s="19">
        <v>18916</v>
      </c>
      <c r="P161" s="19">
        <v>18403</v>
      </c>
      <c r="Q161" s="19">
        <v>18098</v>
      </c>
      <c r="R161" s="19">
        <v>710290</v>
      </c>
      <c r="S161" s="19">
        <v>1454393</v>
      </c>
      <c r="T161" s="19">
        <v>1119655</v>
      </c>
      <c r="U161" s="19">
        <v>1334389</v>
      </c>
      <c r="V161" s="19">
        <v>1151441</v>
      </c>
    </row>
    <row r="162" spans="1:22" x14ac:dyDescent="0.2">
      <c r="A162" s="3">
        <v>39185</v>
      </c>
      <c r="B162" s="7">
        <v>-0.49</v>
      </c>
      <c r="C162" s="7">
        <v>195.85</v>
      </c>
      <c r="D162" s="7"/>
      <c r="F162" s="28">
        <v>193.97</v>
      </c>
      <c r="G162" s="28">
        <v>200.3</v>
      </c>
      <c r="L162" s="3">
        <v>39185</v>
      </c>
      <c r="M162" s="19">
        <v>19436</v>
      </c>
      <c r="N162" s="19">
        <v>19379</v>
      </c>
      <c r="O162" s="19">
        <v>18857</v>
      </c>
      <c r="P162" s="19">
        <v>18372</v>
      </c>
      <c r="Q162" s="19">
        <v>18080</v>
      </c>
      <c r="R162" s="19">
        <v>1469497</v>
      </c>
      <c r="S162" s="19">
        <v>1436342</v>
      </c>
      <c r="T162" s="19">
        <v>1112883</v>
      </c>
      <c r="U162" s="19">
        <v>1339553</v>
      </c>
      <c r="V162" s="19">
        <v>1148166</v>
      </c>
    </row>
    <row r="163" spans="1:22" x14ac:dyDescent="0.2">
      <c r="A163" s="3">
        <v>39184</v>
      </c>
      <c r="B163" s="7">
        <v>0.79</v>
      </c>
      <c r="C163" s="7">
        <v>196.81</v>
      </c>
      <c r="D163" s="7"/>
      <c r="F163" s="28">
        <v>192.44</v>
      </c>
      <c r="G163" s="28">
        <v>198.69</v>
      </c>
      <c r="L163" s="3">
        <v>39184</v>
      </c>
      <c r="M163" s="19">
        <v>19504</v>
      </c>
      <c r="N163" s="19">
        <v>19297</v>
      </c>
      <c r="O163" s="19">
        <v>18796</v>
      </c>
      <c r="P163" s="19">
        <v>18342</v>
      </c>
      <c r="Q163" s="19">
        <v>18062</v>
      </c>
      <c r="R163" s="19">
        <v>2454369</v>
      </c>
      <c r="S163" s="19">
        <v>1406376</v>
      </c>
      <c r="T163" s="19">
        <v>1067760</v>
      </c>
      <c r="U163" s="19">
        <v>1336476</v>
      </c>
      <c r="V163" s="19">
        <v>1141222</v>
      </c>
    </row>
    <row r="164" spans="1:22" x14ac:dyDescent="0.2">
      <c r="A164" s="3">
        <v>39183</v>
      </c>
      <c r="B164" s="7">
        <v>0.89</v>
      </c>
      <c r="C164" s="7">
        <v>195.27</v>
      </c>
      <c r="D164" s="7"/>
      <c r="F164" s="28">
        <v>190.74</v>
      </c>
      <c r="G164" s="28">
        <v>196.9</v>
      </c>
      <c r="L164" s="3">
        <v>39183</v>
      </c>
      <c r="M164" s="19">
        <v>19436</v>
      </c>
      <c r="N164" s="19">
        <v>19201</v>
      </c>
      <c r="O164" s="19">
        <v>18733</v>
      </c>
      <c r="P164" s="19">
        <v>18313</v>
      </c>
      <c r="Q164" s="19">
        <v>18044</v>
      </c>
      <c r="R164" s="19">
        <v>1198512</v>
      </c>
      <c r="S164" s="19">
        <v>1086369</v>
      </c>
      <c r="T164" s="19">
        <v>979850</v>
      </c>
      <c r="U164" s="19">
        <v>1314130</v>
      </c>
      <c r="V164" s="19">
        <v>1123880</v>
      </c>
    </row>
    <row r="165" spans="1:22" x14ac:dyDescent="0.2">
      <c r="A165" s="3">
        <v>39182</v>
      </c>
      <c r="B165" s="7">
        <v>-0.15</v>
      </c>
      <c r="C165" s="7">
        <v>193.55</v>
      </c>
      <c r="D165" s="7"/>
      <c r="F165" s="28">
        <v>191.03</v>
      </c>
      <c r="G165" s="28">
        <v>197.34</v>
      </c>
      <c r="L165" s="3">
        <v>39182</v>
      </c>
      <c r="M165" s="19">
        <v>19256</v>
      </c>
      <c r="N165" s="19">
        <v>19119</v>
      </c>
      <c r="O165" s="19">
        <v>18660</v>
      </c>
      <c r="P165" s="19">
        <v>18286</v>
      </c>
      <c r="Q165" s="19">
        <v>18025</v>
      </c>
      <c r="R165" s="19">
        <v>1439297</v>
      </c>
      <c r="S165" s="19">
        <v>1169579</v>
      </c>
      <c r="T165" s="19">
        <v>939846</v>
      </c>
      <c r="U165" s="19">
        <v>1313001</v>
      </c>
      <c r="V165" s="19">
        <v>1117354</v>
      </c>
    </row>
    <row r="166" spans="1:22" x14ac:dyDescent="0.2">
      <c r="A166" s="3">
        <v>39181</v>
      </c>
      <c r="B166" s="7">
        <v>1.1599999999999999</v>
      </c>
      <c r="C166" s="7">
        <v>193.85</v>
      </c>
      <c r="D166" s="7"/>
      <c r="F166" s="28">
        <v>188.84</v>
      </c>
      <c r="G166" s="28">
        <v>195.05</v>
      </c>
      <c r="L166" s="3">
        <v>39181</v>
      </c>
      <c r="M166" s="19">
        <v>19261</v>
      </c>
      <c r="N166" s="19">
        <v>19028</v>
      </c>
      <c r="O166" s="19">
        <v>18615</v>
      </c>
      <c r="P166" s="19">
        <v>18260</v>
      </c>
      <c r="Q166" s="19">
        <v>18008</v>
      </c>
      <c r="R166" s="19">
        <v>620034</v>
      </c>
      <c r="S166" s="19">
        <v>1283981</v>
      </c>
      <c r="T166" s="19">
        <v>902789</v>
      </c>
      <c r="U166" s="19">
        <v>1306152</v>
      </c>
      <c r="V166" s="19">
        <v>1106958</v>
      </c>
    </row>
    <row r="167" spans="1:22" x14ac:dyDescent="0.2">
      <c r="A167" s="3">
        <v>39178</v>
      </c>
      <c r="B167" s="7">
        <v>0.11</v>
      </c>
      <c r="C167" s="7">
        <v>191.63</v>
      </c>
      <c r="D167" s="7"/>
      <c r="F167" s="28">
        <v>188.51</v>
      </c>
      <c r="G167" s="28">
        <v>194.84</v>
      </c>
      <c r="L167" s="3">
        <v>39178</v>
      </c>
      <c r="M167" s="19">
        <v>19028</v>
      </c>
      <c r="N167" s="19">
        <v>18932</v>
      </c>
      <c r="O167" s="19">
        <v>18571</v>
      </c>
      <c r="P167" s="19">
        <v>18231</v>
      </c>
      <c r="Q167" s="19">
        <v>17992</v>
      </c>
      <c r="R167" s="19">
        <v>1319670</v>
      </c>
      <c r="S167" s="19">
        <v>1291117</v>
      </c>
      <c r="T167" s="19">
        <v>917722</v>
      </c>
      <c r="U167" s="19">
        <v>1374408</v>
      </c>
      <c r="V167" s="19">
        <v>1104484</v>
      </c>
    </row>
    <row r="168" spans="1:22" x14ac:dyDescent="0.2">
      <c r="A168" s="3">
        <v>39177</v>
      </c>
      <c r="B168" s="7">
        <v>-0.19</v>
      </c>
      <c r="C168" s="7">
        <v>191.41</v>
      </c>
      <c r="D168" s="7"/>
      <c r="F168" s="28">
        <v>188.88</v>
      </c>
      <c r="G168" s="28">
        <v>195.22</v>
      </c>
      <c r="L168" s="3">
        <v>39177</v>
      </c>
      <c r="M168" s="19">
        <v>19023</v>
      </c>
      <c r="N168" s="19">
        <v>18879</v>
      </c>
      <c r="O168" s="19">
        <v>18530</v>
      </c>
      <c r="P168" s="19">
        <v>18203</v>
      </c>
      <c r="Q168" s="19">
        <v>17976</v>
      </c>
      <c r="R168" s="19">
        <v>854333</v>
      </c>
      <c r="S168" s="19">
        <v>1391280</v>
      </c>
      <c r="T168" s="19">
        <v>894118</v>
      </c>
      <c r="U168" s="19">
        <v>1420675</v>
      </c>
      <c r="V168" s="19">
        <v>1095902</v>
      </c>
    </row>
    <row r="169" spans="1:22" x14ac:dyDescent="0.2">
      <c r="A169" s="3">
        <v>39176</v>
      </c>
      <c r="B169" s="7">
        <v>1.4</v>
      </c>
      <c r="C169" s="7">
        <v>191.77</v>
      </c>
      <c r="D169" s="7"/>
      <c r="F169" s="28">
        <v>186.2</v>
      </c>
      <c r="G169" s="28">
        <v>192.44</v>
      </c>
      <c r="L169" s="3">
        <v>39176</v>
      </c>
      <c r="M169" s="19">
        <v>19028</v>
      </c>
      <c r="N169" s="19">
        <v>18820</v>
      </c>
      <c r="O169" s="19">
        <v>18491</v>
      </c>
      <c r="P169" s="19">
        <v>18179</v>
      </c>
      <c r="Q169" s="19">
        <v>17959</v>
      </c>
      <c r="R169" s="19">
        <v>1614560</v>
      </c>
      <c r="S169" s="19">
        <v>1455176</v>
      </c>
      <c r="T169" s="19">
        <v>1014701</v>
      </c>
      <c r="U169" s="19">
        <v>1416949</v>
      </c>
      <c r="V169" s="19">
        <v>1092303</v>
      </c>
    </row>
    <row r="170" spans="1:22" x14ac:dyDescent="0.2">
      <c r="A170" s="3">
        <v>39175</v>
      </c>
      <c r="B170" s="7">
        <v>0.3</v>
      </c>
      <c r="C170" s="7">
        <v>189.12</v>
      </c>
      <c r="D170" s="7"/>
      <c r="F170" s="28">
        <v>185.59</v>
      </c>
      <c r="G170" s="28">
        <v>191.85</v>
      </c>
      <c r="L170" s="3">
        <v>39175</v>
      </c>
      <c r="M170" s="19">
        <v>18800</v>
      </c>
      <c r="N170" s="19">
        <v>18690</v>
      </c>
      <c r="O170" s="19">
        <v>18444</v>
      </c>
      <c r="P170" s="19">
        <v>18155</v>
      </c>
      <c r="Q170" s="19">
        <v>17942</v>
      </c>
      <c r="R170" s="19">
        <v>2011308</v>
      </c>
      <c r="S170" s="19">
        <v>1579340</v>
      </c>
      <c r="T170" s="19">
        <v>1121084</v>
      </c>
      <c r="U170" s="19">
        <v>1413749</v>
      </c>
      <c r="V170" s="19">
        <v>1081951</v>
      </c>
    </row>
    <row r="171" spans="1:22" x14ac:dyDescent="0.2">
      <c r="A171" s="3">
        <v>39174</v>
      </c>
      <c r="B171" s="7">
        <v>0.51</v>
      </c>
      <c r="C171" s="7">
        <v>188.56</v>
      </c>
      <c r="D171" s="7"/>
      <c r="F171" s="28">
        <v>184.59</v>
      </c>
      <c r="G171" s="28">
        <v>190.85</v>
      </c>
      <c r="L171" s="3">
        <v>39174</v>
      </c>
      <c r="M171" s="19">
        <v>18781</v>
      </c>
      <c r="N171" s="19">
        <v>18664</v>
      </c>
      <c r="O171" s="19">
        <v>18404</v>
      </c>
      <c r="P171" s="19">
        <v>18138</v>
      </c>
      <c r="Q171" s="19">
        <v>17926</v>
      </c>
      <c r="R171" s="19">
        <v>655713</v>
      </c>
      <c r="S171" s="19">
        <v>1261003</v>
      </c>
      <c r="T171" s="19">
        <v>1171501</v>
      </c>
      <c r="U171" s="19">
        <v>1409683</v>
      </c>
      <c r="V171" s="19">
        <v>1068692</v>
      </c>
    </row>
    <row r="172" spans="1:22" x14ac:dyDescent="0.2">
      <c r="A172" s="3">
        <v>39171</v>
      </c>
      <c r="B172" s="7">
        <v>0.09</v>
      </c>
      <c r="C172" s="7">
        <v>187.6</v>
      </c>
      <c r="D172" s="7"/>
      <c r="F172" s="28">
        <v>184.27</v>
      </c>
      <c r="G172" s="28">
        <v>190.72</v>
      </c>
      <c r="L172" s="3">
        <v>39171</v>
      </c>
      <c r="M172" s="19">
        <v>18761</v>
      </c>
      <c r="N172" s="19">
        <v>18627</v>
      </c>
      <c r="O172" s="19">
        <v>18347</v>
      </c>
      <c r="P172" s="19">
        <v>18123</v>
      </c>
      <c r="Q172" s="19">
        <v>17909</v>
      </c>
      <c r="R172" s="19">
        <v>1820484</v>
      </c>
      <c r="S172" s="19">
        <v>1191893</v>
      </c>
      <c r="T172" s="19">
        <v>1371128</v>
      </c>
      <c r="U172" s="19">
        <v>1410517</v>
      </c>
      <c r="V172" s="19">
        <v>1068730</v>
      </c>
    </row>
    <row r="173" spans="1:22" x14ac:dyDescent="0.2">
      <c r="A173" s="3">
        <v>39170</v>
      </c>
      <c r="B173" s="7">
        <v>0.8</v>
      </c>
      <c r="C173" s="7">
        <v>187.44</v>
      </c>
      <c r="D173" s="7"/>
      <c r="F173" s="28">
        <v>184.27</v>
      </c>
      <c r="G173" s="28">
        <v>190.72</v>
      </c>
      <c r="L173" s="3">
        <v>39170</v>
      </c>
      <c r="M173" s="19">
        <v>18727</v>
      </c>
      <c r="N173" s="19">
        <v>18577</v>
      </c>
      <c r="O173" s="19">
        <v>18314</v>
      </c>
      <c r="P173" s="19">
        <v>18113</v>
      </c>
      <c r="Q173" s="19">
        <v>17895</v>
      </c>
      <c r="R173" s="19">
        <v>1173814</v>
      </c>
      <c r="S173" s="19">
        <v>905207</v>
      </c>
      <c r="T173" s="19">
        <v>1395587</v>
      </c>
      <c r="U173" s="19">
        <v>1394208</v>
      </c>
      <c r="V173" s="19">
        <v>1056745</v>
      </c>
    </row>
    <row r="174" spans="1:22" x14ac:dyDescent="0.2">
      <c r="A174" s="3">
        <v>39169</v>
      </c>
      <c r="B174" s="7">
        <v>-0.92</v>
      </c>
      <c r="C174" s="7">
        <v>185.96</v>
      </c>
      <c r="D174" s="7"/>
      <c r="F174" s="28">
        <v>182.81</v>
      </c>
      <c r="G174" s="28">
        <v>189.18</v>
      </c>
      <c r="L174" s="3">
        <v>39169</v>
      </c>
      <c r="M174" s="19">
        <v>18378</v>
      </c>
      <c r="N174" s="19">
        <v>18539</v>
      </c>
      <c r="O174" s="19">
        <v>18291</v>
      </c>
      <c r="P174" s="19">
        <v>18107</v>
      </c>
      <c r="Q174" s="19">
        <v>17884</v>
      </c>
      <c r="R174" s="19">
        <v>2235381</v>
      </c>
      <c r="S174" s="19">
        <v>762763</v>
      </c>
      <c r="T174" s="19">
        <v>1746748</v>
      </c>
      <c r="U174" s="19">
        <v>1385115</v>
      </c>
      <c r="V174" s="19">
        <v>1049703</v>
      </c>
    </row>
    <row r="175" spans="1:22" x14ac:dyDescent="0.2">
      <c r="A175" s="3">
        <v>39168</v>
      </c>
      <c r="B175" s="7">
        <v>0.26</v>
      </c>
      <c r="C175" s="7">
        <v>187.68</v>
      </c>
      <c r="D175" s="7"/>
      <c r="L175" s="3">
        <v>39168</v>
      </c>
      <c r="M175" s="19">
        <v>18674</v>
      </c>
      <c r="N175" s="19">
        <v>18570</v>
      </c>
      <c r="O175" s="19">
        <v>18306</v>
      </c>
      <c r="P175" s="19">
        <v>18107</v>
      </c>
      <c r="Q175" s="19">
        <v>17876</v>
      </c>
      <c r="R175" s="19">
        <v>419624</v>
      </c>
      <c r="S175" s="19">
        <v>451568</v>
      </c>
      <c r="T175" s="19">
        <v>1819058</v>
      </c>
      <c r="U175" s="19">
        <v>1354722</v>
      </c>
      <c r="V175" s="19">
        <v>1035029</v>
      </c>
    </row>
    <row r="176" spans="1:22" x14ac:dyDescent="0.2">
      <c r="A176" s="3">
        <v>39167</v>
      </c>
      <c r="B176" s="7">
        <v>0.16</v>
      </c>
      <c r="C176" s="7">
        <v>187.19</v>
      </c>
      <c r="D176" s="7"/>
      <c r="L176" s="3">
        <v>39167</v>
      </c>
      <c r="M176" s="19">
        <v>18592</v>
      </c>
      <c r="N176" s="19">
        <v>18526</v>
      </c>
      <c r="O176" s="19">
        <v>18316</v>
      </c>
      <c r="P176" s="19">
        <v>18101</v>
      </c>
      <c r="Q176" s="19">
        <v>17865</v>
      </c>
      <c r="R176" s="19">
        <v>310162</v>
      </c>
      <c r="S176" s="19">
        <v>479244</v>
      </c>
      <c r="T176" s="19">
        <v>1830568</v>
      </c>
      <c r="U176" s="19">
        <v>1353861</v>
      </c>
      <c r="V176" s="19">
        <v>1033998</v>
      </c>
    </row>
    <row r="177" spans="1:22" x14ac:dyDescent="0.2">
      <c r="A177" s="3">
        <v>39164</v>
      </c>
      <c r="B177" s="7">
        <v>-0.14000000000000001</v>
      </c>
      <c r="C177" s="7">
        <v>186.89</v>
      </c>
      <c r="D177" s="7"/>
      <c r="L177" s="3">
        <v>39164</v>
      </c>
      <c r="M177" s="19">
        <v>18514</v>
      </c>
      <c r="N177" s="19">
        <v>18491</v>
      </c>
      <c r="O177" s="19">
        <v>18330</v>
      </c>
      <c r="P177" s="19">
        <v>18093</v>
      </c>
      <c r="Q177" s="19">
        <v>17854</v>
      </c>
      <c r="R177" s="19">
        <v>387053</v>
      </c>
      <c r="S177" s="19">
        <v>532179</v>
      </c>
      <c r="T177" s="19">
        <v>1848036</v>
      </c>
      <c r="U177" s="19">
        <v>1376260</v>
      </c>
      <c r="V177" s="19">
        <v>1034867</v>
      </c>
    </row>
    <row r="178" spans="1:22" x14ac:dyDescent="0.2">
      <c r="A178" s="3">
        <v>39163</v>
      </c>
      <c r="B178" s="7">
        <v>0.49</v>
      </c>
      <c r="C178" s="7">
        <v>187.15</v>
      </c>
      <c r="D178" s="7"/>
      <c r="L178" s="3">
        <v>39163</v>
      </c>
      <c r="M178" s="19">
        <v>18538</v>
      </c>
      <c r="N178" s="19">
        <v>18432</v>
      </c>
      <c r="O178" s="19">
        <v>18345</v>
      </c>
      <c r="P178" s="19">
        <v>18088</v>
      </c>
      <c r="Q178" s="19">
        <v>17843</v>
      </c>
      <c r="R178" s="19">
        <v>461596</v>
      </c>
      <c r="S178" s="19">
        <v>568178</v>
      </c>
      <c r="T178" s="19">
        <v>1864161</v>
      </c>
      <c r="U178" s="19">
        <v>1451010</v>
      </c>
      <c r="V178" s="19">
        <v>1035988</v>
      </c>
    </row>
    <row r="179" spans="1:22" x14ac:dyDescent="0.2">
      <c r="A179" s="3">
        <v>39162</v>
      </c>
      <c r="B179" s="7">
        <v>-0.05</v>
      </c>
      <c r="C179" s="7">
        <v>186.24</v>
      </c>
      <c r="D179" s="7"/>
      <c r="L179" s="3">
        <v>39162</v>
      </c>
      <c r="M179" s="19">
        <v>18533</v>
      </c>
      <c r="N179" s="19">
        <v>18371</v>
      </c>
      <c r="O179" s="19">
        <v>18351</v>
      </c>
      <c r="P179" s="19">
        <v>18083</v>
      </c>
      <c r="Q179" s="19">
        <v>17832</v>
      </c>
      <c r="R179" s="19">
        <v>679403</v>
      </c>
      <c r="S179" s="19">
        <v>615094</v>
      </c>
      <c r="T179" s="19">
        <v>1897943</v>
      </c>
      <c r="U179" s="19">
        <v>1457396</v>
      </c>
      <c r="V179" s="19">
        <v>1033899</v>
      </c>
    </row>
    <row r="180" spans="1:22" x14ac:dyDescent="0.2">
      <c r="A180" s="3">
        <v>39161</v>
      </c>
      <c r="B180" s="7">
        <v>0.02</v>
      </c>
      <c r="C180" s="7">
        <v>186.34</v>
      </c>
      <c r="D180" s="7"/>
      <c r="L180" s="3">
        <v>39161</v>
      </c>
      <c r="M180" s="19">
        <v>18451</v>
      </c>
      <c r="N180" s="19">
        <v>18262</v>
      </c>
      <c r="O180" s="19">
        <v>18356</v>
      </c>
      <c r="P180" s="19">
        <v>18078</v>
      </c>
      <c r="Q180" s="19">
        <v>17819</v>
      </c>
      <c r="R180" s="19">
        <v>558004</v>
      </c>
      <c r="S180" s="19">
        <v>558896</v>
      </c>
      <c r="T180" s="19">
        <v>2004680</v>
      </c>
      <c r="U180" s="19">
        <v>1466488</v>
      </c>
      <c r="V180" s="19">
        <v>1031306</v>
      </c>
    </row>
    <row r="181" spans="1:22" x14ac:dyDescent="0.2">
      <c r="A181" s="3">
        <v>39160</v>
      </c>
      <c r="B181" s="7">
        <v>1.02</v>
      </c>
      <c r="C181" s="7">
        <v>186.31</v>
      </c>
      <c r="D181" s="7"/>
      <c r="L181" s="3">
        <v>39160</v>
      </c>
      <c r="M181" s="19">
        <v>18417</v>
      </c>
      <c r="N181" s="19">
        <v>18240</v>
      </c>
      <c r="O181" s="19">
        <v>18361</v>
      </c>
      <c r="P181" s="19">
        <v>18071</v>
      </c>
      <c r="Q181" s="19">
        <v>17810</v>
      </c>
      <c r="R181" s="19">
        <v>574837</v>
      </c>
      <c r="S181" s="19">
        <v>586927</v>
      </c>
      <c r="T181" s="19">
        <v>2019378</v>
      </c>
      <c r="U181" s="19">
        <v>1463763</v>
      </c>
      <c r="V181" s="19">
        <v>1030308</v>
      </c>
    </row>
    <row r="182" spans="1:22" x14ac:dyDescent="0.2">
      <c r="A182" s="3">
        <v>39157</v>
      </c>
      <c r="B182" s="7">
        <v>0.01</v>
      </c>
      <c r="C182" s="7">
        <v>184.42</v>
      </c>
      <c r="D182" s="7"/>
      <c r="L182" s="3">
        <v>39157</v>
      </c>
      <c r="M182" s="19">
        <v>18223</v>
      </c>
      <c r="N182" s="19">
        <v>18236</v>
      </c>
      <c r="O182" s="19">
        <v>18367</v>
      </c>
      <c r="P182" s="19">
        <v>18066</v>
      </c>
      <c r="Q182" s="19">
        <v>17801</v>
      </c>
      <c r="R182" s="19">
        <v>567050</v>
      </c>
      <c r="S182" s="19">
        <v>655700</v>
      </c>
      <c r="T182" s="19">
        <v>2066728</v>
      </c>
      <c r="U182" s="19">
        <v>1463010</v>
      </c>
      <c r="V182" s="19">
        <v>1028821</v>
      </c>
    </row>
    <row r="183" spans="1:22" x14ac:dyDescent="0.2">
      <c r="A183" s="3">
        <v>39156</v>
      </c>
      <c r="B183" s="7">
        <v>1.43</v>
      </c>
      <c r="C183" s="7">
        <v>184.41</v>
      </c>
      <c r="D183" s="7"/>
      <c r="L183" s="3">
        <v>39156</v>
      </c>
      <c r="M183" s="19">
        <v>18233</v>
      </c>
      <c r="N183" s="19">
        <v>18232</v>
      </c>
      <c r="O183" s="19">
        <v>18376</v>
      </c>
      <c r="P183" s="19">
        <v>18063</v>
      </c>
      <c r="Q183" s="19">
        <v>17794</v>
      </c>
      <c r="R183" s="19">
        <v>696174</v>
      </c>
      <c r="S183" s="19">
        <v>711808</v>
      </c>
      <c r="T183" s="19">
        <v>2072554</v>
      </c>
      <c r="U183" s="19">
        <v>1460123</v>
      </c>
      <c r="V183" s="19">
        <v>1026128</v>
      </c>
    </row>
    <row r="184" spans="1:22" x14ac:dyDescent="0.2">
      <c r="A184" s="3">
        <v>39155</v>
      </c>
      <c r="B184" s="7">
        <v>-2.11</v>
      </c>
      <c r="C184" s="7">
        <v>181.81</v>
      </c>
      <c r="D184" s="7"/>
      <c r="L184" s="3">
        <v>39155</v>
      </c>
      <c r="M184" s="19">
        <v>17985</v>
      </c>
      <c r="N184" s="19">
        <v>18234</v>
      </c>
      <c r="O184" s="19">
        <v>18374</v>
      </c>
      <c r="P184" s="19">
        <v>18056</v>
      </c>
      <c r="Q184" s="19">
        <v>17788</v>
      </c>
      <c r="R184" s="19">
        <v>398413</v>
      </c>
      <c r="S184" s="19">
        <v>1225773</v>
      </c>
      <c r="T184" s="19">
        <v>2097812</v>
      </c>
      <c r="U184" s="19">
        <v>1542990</v>
      </c>
      <c r="V184" s="19">
        <v>1024066</v>
      </c>
    </row>
    <row r="185" spans="1:22" x14ac:dyDescent="0.2">
      <c r="A185" s="3">
        <v>39154</v>
      </c>
      <c r="B185" s="7">
        <v>-0.34</v>
      </c>
      <c r="C185" s="7">
        <v>185.72</v>
      </c>
      <c r="D185" s="7"/>
      <c r="L185" s="3">
        <v>39154</v>
      </c>
      <c r="M185" s="19">
        <v>18344</v>
      </c>
      <c r="N185" s="19">
        <v>18254</v>
      </c>
      <c r="O185" s="19">
        <v>18381</v>
      </c>
      <c r="P185" s="19">
        <v>18048</v>
      </c>
      <c r="Q185" s="19">
        <v>17781</v>
      </c>
      <c r="R185" s="19">
        <v>698162</v>
      </c>
      <c r="S185" s="19">
        <v>1894535</v>
      </c>
      <c r="T185" s="19">
        <v>2168381</v>
      </c>
      <c r="U185" s="19">
        <v>1552429</v>
      </c>
      <c r="V185" s="19">
        <v>1022948</v>
      </c>
    </row>
    <row r="186" spans="1:22" x14ac:dyDescent="0.2">
      <c r="A186" s="3">
        <v>39153</v>
      </c>
      <c r="B186" s="7">
        <v>1.35</v>
      </c>
      <c r="C186" s="7">
        <v>186.36</v>
      </c>
      <c r="D186" s="7"/>
      <c r="L186" s="3">
        <v>39153</v>
      </c>
      <c r="M186" s="19">
        <v>18398</v>
      </c>
      <c r="N186" s="19">
        <v>18185</v>
      </c>
      <c r="O186" s="19">
        <v>18380</v>
      </c>
      <c r="P186" s="19">
        <v>18032</v>
      </c>
      <c r="Q186" s="19">
        <v>17771</v>
      </c>
      <c r="R186" s="19">
        <v>918700</v>
      </c>
      <c r="S186" s="19">
        <v>2358829</v>
      </c>
      <c r="T186" s="19">
        <v>2154989</v>
      </c>
      <c r="U186" s="19">
        <v>1547823</v>
      </c>
      <c r="V186" s="19">
        <v>1034373</v>
      </c>
    </row>
    <row r="187" spans="1:22" x14ac:dyDescent="0.2">
      <c r="A187" s="3">
        <v>39150</v>
      </c>
      <c r="B187" s="7">
        <v>-0.04</v>
      </c>
      <c r="C187" s="7">
        <v>183.87</v>
      </c>
      <c r="D187" s="7"/>
      <c r="L187" s="3">
        <v>39150</v>
      </c>
      <c r="M187" s="19">
        <v>18199</v>
      </c>
      <c r="N187" s="19">
        <v>18036</v>
      </c>
      <c r="O187" s="19">
        <v>18371</v>
      </c>
      <c r="P187" s="19">
        <v>18018</v>
      </c>
      <c r="Q187" s="19">
        <v>17759</v>
      </c>
      <c r="R187" s="19">
        <v>847590</v>
      </c>
      <c r="S187" s="19">
        <v>3104739</v>
      </c>
      <c r="T187" s="19">
        <v>2185586</v>
      </c>
      <c r="U187" s="19">
        <v>1543438</v>
      </c>
      <c r="V187" s="19">
        <v>1030806</v>
      </c>
    </row>
    <row r="188" spans="1:22" x14ac:dyDescent="0.2">
      <c r="A188" s="3">
        <v>39149</v>
      </c>
      <c r="B188" s="7">
        <v>0.87</v>
      </c>
      <c r="C188" s="7">
        <v>183.94</v>
      </c>
      <c r="D188" s="7"/>
      <c r="L188" s="3">
        <v>39149</v>
      </c>
      <c r="M188" s="19">
        <v>18242</v>
      </c>
      <c r="N188" s="19">
        <v>18016</v>
      </c>
      <c r="O188" s="19">
        <v>18374</v>
      </c>
      <c r="P188" s="19">
        <v>18007</v>
      </c>
      <c r="Q188" s="19">
        <v>17747</v>
      </c>
      <c r="R188" s="19">
        <v>3265999</v>
      </c>
      <c r="S188" s="19">
        <v>3397156</v>
      </c>
      <c r="T188" s="19">
        <v>2177355</v>
      </c>
      <c r="U188" s="19">
        <v>1543913</v>
      </c>
      <c r="V188" s="19">
        <v>1028576</v>
      </c>
    </row>
    <row r="189" spans="1:22" x14ac:dyDescent="0.2">
      <c r="A189" s="3">
        <v>39148</v>
      </c>
      <c r="B189" s="7">
        <v>0.62</v>
      </c>
      <c r="C189" s="7">
        <v>182.36</v>
      </c>
      <c r="D189" s="7"/>
      <c r="L189" s="3">
        <v>39148</v>
      </c>
      <c r="M189" s="19">
        <v>18087</v>
      </c>
      <c r="N189" s="19">
        <v>18021</v>
      </c>
      <c r="O189" s="19">
        <v>18379</v>
      </c>
      <c r="P189" s="19">
        <v>18000</v>
      </c>
      <c r="Q189" s="19">
        <v>17736</v>
      </c>
      <c r="R189" s="19">
        <v>3742222</v>
      </c>
      <c r="S189" s="19">
        <v>4383360</v>
      </c>
      <c r="T189" s="19">
        <v>2042009</v>
      </c>
      <c r="U189" s="19">
        <v>1507359</v>
      </c>
      <c r="V189" s="19">
        <v>1005300</v>
      </c>
    </row>
    <row r="190" spans="1:22" x14ac:dyDescent="0.2">
      <c r="A190" s="3">
        <v>39147</v>
      </c>
      <c r="B190" s="7">
        <v>1.99</v>
      </c>
      <c r="C190" s="7">
        <v>181.23</v>
      </c>
      <c r="D190" s="7"/>
      <c r="L190" s="3">
        <v>39147</v>
      </c>
      <c r="M190" s="19">
        <v>18000</v>
      </c>
      <c r="N190" s="19">
        <v>18137</v>
      </c>
      <c r="O190" s="19">
        <v>18386</v>
      </c>
      <c r="P190" s="19">
        <v>17996</v>
      </c>
      <c r="Q190" s="19">
        <v>17729</v>
      </c>
      <c r="R190" s="19">
        <v>3019635</v>
      </c>
      <c r="S190" s="19">
        <v>4371233</v>
      </c>
      <c r="T190" s="19">
        <v>1914754</v>
      </c>
      <c r="U190" s="19">
        <v>1462584</v>
      </c>
      <c r="V190" s="19">
        <v>983104</v>
      </c>
    </row>
    <row r="191" spans="1:22" x14ac:dyDescent="0.2">
      <c r="A191" s="3">
        <v>39146</v>
      </c>
      <c r="B191" s="7">
        <v>-2.78</v>
      </c>
      <c r="C191" s="7">
        <v>177.69</v>
      </c>
      <c r="D191" s="7"/>
      <c r="L191" s="3">
        <v>39146</v>
      </c>
      <c r="M191" s="19">
        <v>17650</v>
      </c>
      <c r="N191" s="19">
        <v>18313</v>
      </c>
      <c r="O191" s="19">
        <v>18391</v>
      </c>
      <c r="P191" s="19">
        <v>17995</v>
      </c>
      <c r="Q191" s="19">
        <v>17722</v>
      </c>
      <c r="R191" s="19">
        <v>4648248</v>
      </c>
      <c r="S191" s="19">
        <v>3897273</v>
      </c>
      <c r="T191" s="19">
        <v>1815431</v>
      </c>
      <c r="U191" s="19">
        <v>1418951</v>
      </c>
      <c r="V191" s="19">
        <v>963429</v>
      </c>
    </row>
    <row r="192" spans="1:22" x14ac:dyDescent="0.2">
      <c r="A192" s="3">
        <v>39143</v>
      </c>
      <c r="B192" s="7">
        <v>-0.23</v>
      </c>
      <c r="C192" s="7">
        <v>182.78</v>
      </c>
      <c r="D192" s="7"/>
      <c r="L192" s="3">
        <v>39143</v>
      </c>
      <c r="M192" s="19">
        <v>18102</v>
      </c>
      <c r="N192" s="19">
        <v>18556</v>
      </c>
      <c r="O192" s="19">
        <v>18396</v>
      </c>
      <c r="P192" s="19">
        <v>18002</v>
      </c>
      <c r="Q192" s="19">
        <v>17718</v>
      </c>
      <c r="R192" s="19">
        <v>2309674</v>
      </c>
      <c r="S192" s="19">
        <v>3099526</v>
      </c>
      <c r="T192" s="19">
        <v>1608822</v>
      </c>
      <c r="U192" s="19">
        <v>1346482</v>
      </c>
      <c r="V192" s="19">
        <v>932121</v>
      </c>
    </row>
    <row r="193" spans="1:22" x14ac:dyDescent="0.2">
      <c r="A193" s="3">
        <v>39141</v>
      </c>
      <c r="B193" s="7">
        <v>-2.63</v>
      </c>
      <c r="C193" s="7">
        <v>183.2</v>
      </c>
      <c r="D193" s="7"/>
      <c r="L193" s="3">
        <v>39141</v>
      </c>
      <c r="M193" s="19">
        <v>18267</v>
      </c>
      <c r="N193" s="19">
        <v>18700</v>
      </c>
      <c r="O193" s="19">
        <v>18365</v>
      </c>
      <c r="P193" s="19">
        <v>18002</v>
      </c>
      <c r="Q193" s="19">
        <v>17711</v>
      </c>
      <c r="R193" s="19">
        <v>8197023</v>
      </c>
      <c r="S193" s="19">
        <v>2779502</v>
      </c>
      <c r="T193" s="19">
        <v>1547145</v>
      </c>
      <c r="U193" s="19">
        <v>1311072</v>
      </c>
      <c r="V193" s="19">
        <v>924759</v>
      </c>
    </row>
    <row r="194" spans="1:22" x14ac:dyDescent="0.2">
      <c r="A194" s="3">
        <v>39140</v>
      </c>
      <c r="B194" s="7">
        <v>-1.04</v>
      </c>
      <c r="C194" s="7">
        <v>188.15</v>
      </c>
      <c r="D194" s="7"/>
      <c r="L194" s="3">
        <v>39140</v>
      </c>
      <c r="M194" s="19">
        <v>18669</v>
      </c>
      <c r="N194" s="19">
        <v>18777</v>
      </c>
      <c r="O194" s="19">
        <v>18330</v>
      </c>
      <c r="P194" s="19">
        <v>18000</v>
      </c>
      <c r="Q194" s="19">
        <v>17703</v>
      </c>
      <c r="R194" s="19">
        <v>3681583</v>
      </c>
      <c r="S194" s="19">
        <v>1367546</v>
      </c>
      <c r="T194" s="19">
        <v>1150055</v>
      </c>
      <c r="U194" s="19">
        <v>1183097</v>
      </c>
      <c r="V194" s="19">
        <v>860366</v>
      </c>
    </row>
    <row r="195" spans="1:22" x14ac:dyDescent="0.2">
      <c r="A195" s="3">
        <v>39139</v>
      </c>
      <c r="B195" s="7">
        <v>-0.04</v>
      </c>
      <c r="C195" s="7">
        <v>190.12</v>
      </c>
      <c r="D195" s="7"/>
      <c r="L195" s="3">
        <v>39139</v>
      </c>
      <c r="M195" s="19">
        <v>18878</v>
      </c>
      <c r="N195" s="19">
        <v>18769</v>
      </c>
      <c r="O195" s="19">
        <v>18272</v>
      </c>
      <c r="P195" s="19">
        <v>17988</v>
      </c>
      <c r="Q195" s="19">
        <v>17690</v>
      </c>
      <c r="R195" s="19">
        <v>649839</v>
      </c>
      <c r="S195" s="19">
        <v>1194056</v>
      </c>
      <c r="T195" s="19">
        <v>1022986</v>
      </c>
      <c r="U195" s="19">
        <v>1137845</v>
      </c>
      <c r="V195" s="19">
        <v>831722</v>
      </c>
    </row>
    <row r="196" spans="1:22" x14ac:dyDescent="0.2">
      <c r="A196" s="3">
        <v>39136</v>
      </c>
      <c r="B196" s="7">
        <v>0.25</v>
      </c>
      <c r="C196" s="7">
        <v>190.19</v>
      </c>
      <c r="D196" s="7"/>
      <c r="L196" s="3">
        <v>39136</v>
      </c>
      <c r="M196" s="19">
        <v>18863</v>
      </c>
      <c r="N196" s="19">
        <v>18707</v>
      </c>
      <c r="O196" s="19">
        <v>18207</v>
      </c>
      <c r="P196" s="19">
        <v>17971</v>
      </c>
      <c r="Q196" s="19">
        <v>17676</v>
      </c>
      <c r="R196" s="19">
        <v>659511</v>
      </c>
      <c r="S196" s="19">
        <v>1234483</v>
      </c>
      <c r="T196" s="19">
        <v>1017285</v>
      </c>
      <c r="U196" s="19">
        <v>1146262</v>
      </c>
      <c r="V196" s="19">
        <v>832279</v>
      </c>
    </row>
    <row r="197" spans="1:22" x14ac:dyDescent="0.2">
      <c r="A197" s="3">
        <v>39135</v>
      </c>
      <c r="B197" s="7">
        <v>0.97</v>
      </c>
      <c r="C197" s="7">
        <v>189.72</v>
      </c>
      <c r="D197" s="7"/>
      <c r="L197" s="3">
        <v>39135</v>
      </c>
      <c r="M197" s="19">
        <v>18824</v>
      </c>
      <c r="N197" s="19">
        <v>18639</v>
      </c>
      <c r="O197" s="19">
        <v>18152</v>
      </c>
      <c r="P197" s="19">
        <v>17956</v>
      </c>
      <c r="Q197" s="19">
        <v>17661</v>
      </c>
      <c r="R197" s="19">
        <v>709552</v>
      </c>
      <c r="S197" s="19">
        <v>1406948</v>
      </c>
      <c r="T197" s="19">
        <v>1027268</v>
      </c>
      <c r="U197" s="19">
        <v>1145109</v>
      </c>
      <c r="V197" s="19">
        <v>831652</v>
      </c>
    </row>
    <row r="198" spans="1:22" x14ac:dyDescent="0.2">
      <c r="A198" s="3">
        <v>39134</v>
      </c>
      <c r="B198" s="7">
        <v>-0.12</v>
      </c>
      <c r="C198" s="7">
        <v>187.9</v>
      </c>
      <c r="D198" s="7"/>
      <c r="L198" s="3">
        <v>39134</v>
      </c>
      <c r="M198" s="19">
        <v>18650</v>
      </c>
      <c r="N198" s="19">
        <v>18557</v>
      </c>
      <c r="O198" s="19">
        <v>18099</v>
      </c>
      <c r="P198" s="19">
        <v>17943</v>
      </c>
      <c r="Q198" s="19">
        <v>17646</v>
      </c>
      <c r="R198" s="19">
        <v>1137247</v>
      </c>
      <c r="S198" s="19">
        <v>1401750</v>
      </c>
      <c r="T198" s="19">
        <v>1026963</v>
      </c>
      <c r="U198" s="19">
        <v>1143853</v>
      </c>
      <c r="V198" s="19">
        <v>828062</v>
      </c>
    </row>
    <row r="199" spans="1:22" x14ac:dyDescent="0.2">
      <c r="A199" s="3">
        <v>39133</v>
      </c>
      <c r="B199" s="7">
        <v>0.28999999999999998</v>
      </c>
      <c r="C199" s="7">
        <v>188.12</v>
      </c>
      <c r="D199" s="7"/>
      <c r="L199" s="3">
        <v>39133</v>
      </c>
      <c r="M199" s="19">
        <v>18630</v>
      </c>
      <c r="N199" s="19">
        <v>18465</v>
      </c>
      <c r="O199" s="19">
        <v>18043</v>
      </c>
      <c r="P199" s="19">
        <v>17932</v>
      </c>
      <c r="Q199" s="19">
        <v>17632</v>
      </c>
      <c r="R199" s="19">
        <v>2814133</v>
      </c>
      <c r="S199" s="19">
        <v>1414568</v>
      </c>
      <c r="T199" s="19">
        <v>991338</v>
      </c>
      <c r="U199" s="19">
        <v>1136544</v>
      </c>
      <c r="V199" s="19">
        <v>822510</v>
      </c>
    </row>
    <row r="200" spans="1:22" x14ac:dyDescent="0.2">
      <c r="A200" s="3">
        <v>39129</v>
      </c>
      <c r="B200" s="7">
        <v>0.4</v>
      </c>
      <c r="C200" s="7">
        <v>187.57</v>
      </c>
      <c r="D200" s="7"/>
      <c r="L200" s="3">
        <v>39129</v>
      </c>
      <c r="M200" s="19">
        <v>18567</v>
      </c>
      <c r="N200" s="19">
        <v>18365</v>
      </c>
      <c r="O200" s="19">
        <v>17988</v>
      </c>
      <c r="P200" s="19">
        <v>17921</v>
      </c>
      <c r="Q200" s="19">
        <v>17618</v>
      </c>
      <c r="R200" s="19">
        <v>851970</v>
      </c>
      <c r="S200" s="19">
        <v>1213700</v>
      </c>
      <c r="T200" s="19">
        <v>870876</v>
      </c>
      <c r="U200" s="19">
        <v>1099499</v>
      </c>
      <c r="V200" s="19">
        <v>802161</v>
      </c>
    </row>
    <row r="201" spans="1:22" x14ac:dyDescent="0.2">
      <c r="A201" s="3">
        <v>39128</v>
      </c>
      <c r="B201" s="7">
        <v>0.59</v>
      </c>
      <c r="C201" s="7">
        <v>186.82</v>
      </c>
      <c r="D201" s="7"/>
      <c r="L201" s="3">
        <v>39128</v>
      </c>
      <c r="M201" s="19">
        <v>18524</v>
      </c>
      <c r="N201" s="19">
        <v>18313</v>
      </c>
      <c r="O201" s="19">
        <v>17932</v>
      </c>
      <c r="P201" s="19">
        <v>17909</v>
      </c>
      <c r="Q201" s="19">
        <v>17602</v>
      </c>
      <c r="R201" s="19">
        <v>1521840</v>
      </c>
      <c r="S201" s="19">
        <v>1129371</v>
      </c>
      <c r="T201" s="19">
        <v>864133</v>
      </c>
      <c r="U201" s="19">
        <v>1089759</v>
      </c>
      <c r="V201" s="19">
        <v>798488</v>
      </c>
    </row>
    <row r="202" spans="1:22" x14ac:dyDescent="0.2">
      <c r="A202" s="3">
        <v>39127</v>
      </c>
      <c r="B202" s="7">
        <v>1.33</v>
      </c>
      <c r="C202" s="7">
        <v>185.72</v>
      </c>
      <c r="D202" s="7"/>
      <c r="L202" s="3">
        <v>39127</v>
      </c>
      <c r="M202" s="19">
        <v>18412</v>
      </c>
      <c r="N202" s="19">
        <v>18253</v>
      </c>
      <c r="O202" s="19">
        <v>17891</v>
      </c>
      <c r="P202" s="19">
        <v>17896</v>
      </c>
      <c r="Q202" s="19">
        <v>17588</v>
      </c>
      <c r="R202" s="19">
        <v>683560</v>
      </c>
      <c r="S202" s="19">
        <v>1131131</v>
      </c>
      <c r="T202" s="19">
        <v>839049</v>
      </c>
      <c r="U202" s="19">
        <v>1070465</v>
      </c>
      <c r="V202" s="19">
        <v>788864</v>
      </c>
    </row>
    <row r="203" spans="1:22" x14ac:dyDescent="0.2">
      <c r="A203" s="3">
        <v>39126</v>
      </c>
      <c r="B203" s="7">
        <v>0.27</v>
      </c>
      <c r="C203" s="7">
        <v>183.29</v>
      </c>
      <c r="D203" s="7"/>
      <c r="L203" s="3">
        <v>39126</v>
      </c>
      <c r="M203" s="19">
        <v>18194</v>
      </c>
      <c r="N203" s="19">
        <v>18224</v>
      </c>
      <c r="O203" s="19">
        <v>17852</v>
      </c>
      <c r="P203" s="19">
        <v>17888</v>
      </c>
      <c r="Q203" s="19">
        <v>17576</v>
      </c>
      <c r="R203" s="19">
        <v>1201338</v>
      </c>
      <c r="S203" s="19">
        <v>1131014</v>
      </c>
      <c r="T203" s="19">
        <v>869113</v>
      </c>
      <c r="U203" s="19">
        <v>1065946</v>
      </c>
      <c r="V203" s="19">
        <v>786264</v>
      </c>
    </row>
    <row r="204" spans="1:22" x14ac:dyDescent="0.2">
      <c r="A204" s="3">
        <v>39125</v>
      </c>
      <c r="B204" s="7">
        <v>-1.04</v>
      </c>
      <c r="C204" s="7">
        <v>182.8</v>
      </c>
      <c r="D204" s="7"/>
      <c r="L204" s="3">
        <v>39125</v>
      </c>
      <c r="M204" s="19">
        <v>18126</v>
      </c>
      <c r="N204" s="19">
        <v>18252</v>
      </c>
      <c r="O204" s="19">
        <v>17833</v>
      </c>
      <c r="P204" s="19">
        <v>17882</v>
      </c>
      <c r="Q204" s="19">
        <v>17565</v>
      </c>
      <c r="R204" s="19">
        <v>1809793</v>
      </c>
      <c r="S204" s="19">
        <v>1002561</v>
      </c>
      <c r="T204" s="19">
        <v>864728</v>
      </c>
      <c r="U204" s="19">
        <v>1056830</v>
      </c>
      <c r="V204" s="19">
        <v>779417</v>
      </c>
    </row>
    <row r="205" spans="1:22" x14ac:dyDescent="0.2">
      <c r="A205" s="3">
        <v>39122</v>
      </c>
      <c r="B205" s="7">
        <v>0.26</v>
      </c>
      <c r="C205" s="7">
        <v>184.72</v>
      </c>
      <c r="D205" s="7"/>
      <c r="L205" s="3">
        <v>39122</v>
      </c>
      <c r="M205" s="19">
        <v>18310</v>
      </c>
      <c r="N205" s="19">
        <v>18272</v>
      </c>
      <c r="O205" s="19">
        <v>17816</v>
      </c>
      <c r="P205" s="19">
        <v>17880</v>
      </c>
      <c r="Q205" s="19">
        <v>17555</v>
      </c>
      <c r="R205" s="19">
        <v>430322</v>
      </c>
      <c r="S205" s="19">
        <v>880026</v>
      </c>
      <c r="T205" s="19">
        <v>830778</v>
      </c>
      <c r="U205" s="19">
        <v>1039910</v>
      </c>
      <c r="V205" s="19">
        <v>766422</v>
      </c>
    </row>
    <row r="206" spans="1:22" x14ac:dyDescent="0.2">
      <c r="A206" s="3">
        <v>39121</v>
      </c>
      <c r="B206" s="7">
        <v>-0.23</v>
      </c>
      <c r="C206" s="7">
        <v>184.25</v>
      </c>
      <c r="D206" s="7"/>
      <c r="L206" s="3">
        <v>39121</v>
      </c>
      <c r="M206" s="19">
        <v>18223</v>
      </c>
      <c r="N206" s="19">
        <v>18233</v>
      </c>
      <c r="O206" s="19">
        <v>17787</v>
      </c>
      <c r="P206" s="19">
        <v>17872</v>
      </c>
      <c r="Q206" s="19">
        <v>17543</v>
      </c>
      <c r="R206" s="19">
        <v>1530644</v>
      </c>
      <c r="S206" s="19">
        <v>1000597</v>
      </c>
      <c r="T206" s="19">
        <v>860680</v>
      </c>
      <c r="U206" s="19">
        <v>1038911</v>
      </c>
      <c r="V206" s="19">
        <v>766736</v>
      </c>
    </row>
    <row r="207" spans="1:22" x14ac:dyDescent="0.2">
      <c r="A207" s="3">
        <v>39120</v>
      </c>
      <c r="B207" s="7">
        <v>-0.23</v>
      </c>
      <c r="C207" s="7">
        <v>184.67</v>
      </c>
      <c r="D207" s="7"/>
      <c r="L207" s="3">
        <v>39120</v>
      </c>
      <c r="M207" s="19">
        <v>18267</v>
      </c>
      <c r="N207" s="19">
        <v>18135</v>
      </c>
      <c r="O207" s="19">
        <v>17750</v>
      </c>
      <c r="P207" s="19">
        <v>17863</v>
      </c>
      <c r="Q207" s="19">
        <v>17530</v>
      </c>
      <c r="R207" s="19">
        <v>682975</v>
      </c>
      <c r="S207" s="19">
        <v>797683</v>
      </c>
      <c r="T207" s="19">
        <v>1019915</v>
      </c>
      <c r="U207" s="19">
        <v>1017809</v>
      </c>
      <c r="V207" s="19">
        <v>763992</v>
      </c>
    </row>
    <row r="208" spans="1:22" x14ac:dyDescent="0.2">
      <c r="A208" s="3">
        <v>39119</v>
      </c>
      <c r="B208" s="7">
        <v>0.74</v>
      </c>
      <c r="C208" s="7">
        <v>185.09</v>
      </c>
      <c r="D208" s="7"/>
      <c r="L208" s="3">
        <v>39119</v>
      </c>
      <c r="M208" s="19">
        <v>18334</v>
      </c>
      <c r="N208" s="19">
        <v>17977</v>
      </c>
      <c r="O208" s="19">
        <v>17704</v>
      </c>
      <c r="P208" s="19">
        <v>17854</v>
      </c>
      <c r="Q208" s="19">
        <v>17515</v>
      </c>
      <c r="R208" s="19">
        <v>559072</v>
      </c>
      <c r="S208" s="19">
        <v>876314</v>
      </c>
      <c r="T208" s="19">
        <v>1190551</v>
      </c>
      <c r="U208" s="19">
        <v>1013222</v>
      </c>
      <c r="V208" s="19">
        <v>764699</v>
      </c>
    </row>
    <row r="209" spans="1:22" x14ac:dyDescent="0.2">
      <c r="A209" s="3">
        <v>39118</v>
      </c>
      <c r="B209" s="7">
        <v>0.28999999999999998</v>
      </c>
      <c r="C209" s="7">
        <v>183.73</v>
      </c>
      <c r="D209" s="7"/>
      <c r="L209" s="3">
        <v>39118</v>
      </c>
      <c r="M209" s="19">
        <v>18228</v>
      </c>
      <c r="N209" s="19">
        <v>17825</v>
      </c>
      <c r="O209" s="19">
        <v>17669</v>
      </c>
      <c r="P209" s="19">
        <v>17844</v>
      </c>
      <c r="Q209" s="19">
        <v>17499</v>
      </c>
      <c r="R209" s="19">
        <v>1197116</v>
      </c>
      <c r="S209" s="19">
        <v>815542</v>
      </c>
      <c r="T209" s="19">
        <v>1194137</v>
      </c>
      <c r="U209" s="19">
        <v>1023785</v>
      </c>
      <c r="V209" s="19">
        <v>762795</v>
      </c>
    </row>
    <row r="210" spans="1:22" x14ac:dyDescent="0.2">
      <c r="A210" s="3">
        <v>39115</v>
      </c>
      <c r="B210" s="7">
        <v>2.29</v>
      </c>
      <c r="C210" s="7">
        <v>183.2</v>
      </c>
      <c r="D210" s="7"/>
      <c r="L210" s="3">
        <v>39115</v>
      </c>
      <c r="M210" s="19">
        <v>18111</v>
      </c>
      <c r="N210" s="19">
        <v>17680</v>
      </c>
      <c r="O210" s="19">
        <v>17636</v>
      </c>
      <c r="P210" s="19">
        <v>17832</v>
      </c>
      <c r="Q210" s="19">
        <v>17486</v>
      </c>
      <c r="R210" s="19">
        <v>1033177</v>
      </c>
      <c r="S210" s="19">
        <v>804162</v>
      </c>
      <c r="T210" s="19">
        <v>1205408</v>
      </c>
      <c r="U210" s="19">
        <v>1006658</v>
      </c>
      <c r="V210" s="19">
        <v>762116</v>
      </c>
    </row>
    <row r="211" spans="1:22" x14ac:dyDescent="0.2">
      <c r="A211" s="3">
        <v>39114</v>
      </c>
      <c r="B211" s="7">
        <v>1.77</v>
      </c>
      <c r="C211" s="7">
        <v>179.1</v>
      </c>
      <c r="D211" s="7"/>
      <c r="L211" s="3">
        <v>39114</v>
      </c>
      <c r="M211" s="19">
        <v>17733</v>
      </c>
      <c r="N211" s="19">
        <v>17576</v>
      </c>
      <c r="O211" s="19">
        <v>17618</v>
      </c>
      <c r="P211" s="19">
        <v>17823</v>
      </c>
      <c r="Q211" s="19">
        <v>17474</v>
      </c>
      <c r="R211" s="19">
        <v>516074</v>
      </c>
      <c r="S211" s="19">
        <v>704688</v>
      </c>
      <c r="T211" s="19">
        <v>1242116</v>
      </c>
      <c r="U211" s="19">
        <v>997817</v>
      </c>
      <c r="V211" s="19">
        <v>755689</v>
      </c>
    </row>
    <row r="212" spans="1:22" x14ac:dyDescent="0.2">
      <c r="A212" s="3">
        <v>39113</v>
      </c>
      <c r="B212" s="7">
        <v>-0.82</v>
      </c>
      <c r="C212" s="7">
        <v>175.99</v>
      </c>
      <c r="D212" s="7"/>
      <c r="L212" s="3">
        <v>39113</v>
      </c>
      <c r="M212" s="19">
        <v>17481</v>
      </c>
      <c r="N212" s="19">
        <v>17582</v>
      </c>
      <c r="O212" s="19">
        <v>17626</v>
      </c>
      <c r="P212" s="19">
        <v>17818</v>
      </c>
      <c r="Q212" s="19">
        <v>17465</v>
      </c>
      <c r="R212" s="19">
        <v>1076133</v>
      </c>
      <c r="S212" s="19">
        <v>773310</v>
      </c>
      <c r="T212" s="19">
        <v>1251601</v>
      </c>
      <c r="U212" s="19">
        <v>998729</v>
      </c>
      <c r="V212" s="19">
        <v>754240</v>
      </c>
    </row>
    <row r="213" spans="1:22" x14ac:dyDescent="0.2">
      <c r="A213" s="3">
        <v>39112</v>
      </c>
      <c r="B213" s="7">
        <v>0.59</v>
      </c>
      <c r="C213" s="7">
        <v>177.45</v>
      </c>
      <c r="D213" s="7"/>
      <c r="L213" s="3">
        <v>39112</v>
      </c>
      <c r="M213" s="19">
        <v>17573</v>
      </c>
      <c r="N213" s="19">
        <v>17638</v>
      </c>
      <c r="O213" s="19">
        <v>17659</v>
      </c>
      <c r="P213" s="19">
        <v>17819</v>
      </c>
      <c r="Q213" s="19">
        <v>17456</v>
      </c>
      <c r="R213" s="19">
        <v>255212</v>
      </c>
      <c r="S213" s="19">
        <v>698774</v>
      </c>
      <c r="T213" s="19">
        <v>1239893</v>
      </c>
      <c r="U213" s="19">
        <v>983761</v>
      </c>
      <c r="V213" s="19">
        <v>747989</v>
      </c>
    </row>
    <row r="214" spans="1:22" x14ac:dyDescent="0.2">
      <c r="A214" s="3">
        <v>39111</v>
      </c>
      <c r="B214" s="7">
        <v>-0.66</v>
      </c>
      <c r="C214" s="7">
        <v>176.41</v>
      </c>
      <c r="D214" s="7"/>
      <c r="L214" s="3">
        <v>39111</v>
      </c>
      <c r="M214" s="19">
        <v>17505</v>
      </c>
      <c r="N214" s="19">
        <v>17629</v>
      </c>
      <c r="O214" s="19">
        <v>17701</v>
      </c>
      <c r="P214" s="19">
        <v>17819</v>
      </c>
      <c r="Q214" s="19">
        <v>17448</v>
      </c>
      <c r="R214" s="19">
        <v>1140216</v>
      </c>
      <c r="S214" s="19">
        <v>732681</v>
      </c>
      <c r="T214" s="19">
        <v>1258543</v>
      </c>
      <c r="U214" s="19">
        <v>983829</v>
      </c>
      <c r="V214" s="19">
        <v>748708</v>
      </c>
    </row>
    <row r="215" spans="1:22" x14ac:dyDescent="0.2">
      <c r="A215" s="3">
        <v>39108</v>
      </c>
      <c r="B215" s="7">
        <v>-0.86</v>
      </c>
      <c r="C215" s="7">
        <v>177.58</v>
      </c>
      <c r="D215" s="7"/>
      <c r="L215" s="3">
        <v>39108</v>
      </c>
      <c r="M215" s="19">
        <v>17587</v>
      </c>
      <c r="N215" s="19">
        <v>17634</v>
      </c>
      <c r="O215" s="19">
        <v>17743</v>
      </c>
      <c r="P215" s="19">
        <v>17818</v>
      </c>
      <c r="Q215" s="19">
        <v>17439</v>
      </c>
      <c r="R215" s="19">
        <v>535806</v>
      </c>
      <c r="S215" s="19">
        <v>585615</v>
      </c>
      <c r="T215" s="19">
        <v>1222123</v>
      </c>
      <c r="U215" s="19">
        <v>986722</v>
      </c>
      <c r="V215" s="19">
        <v>741928</v>
      </c>
    </row>
    <row r="216" spans="1:22" x14ac:dyDescent="0.2">
      <c r="A216" s="3">
        <v>39107</v>
      </c>
      <c r="B216" s="7">
        <v>-0.14000000000000001</v>
      </c>
      <c r="C216" s="7">
        <v>179.12</v>
      </c>
      <c r="D216" s="7"/>
      <c r="L216" s="3">
        <v>39107</v>
      </c>
      <c r="M216" s="19">
        <v>17767</v>
      </c>
      <c r="N216" s="19">
        <v>17606</v>
      </c>
      <c r="O216" s="19">
        <v>17779</v>
      </c>
      <c r="P216" s="19">
        <v>17813</v>
      </c>
      <c r="Q216" s="19">
        <v>17429</v>
      </c>
      <c r="R216" s="19">
        <v>859183</v>
      </c>
      <c r="S216" s="19">
        <v>621877</v>
      </c>
      <c r="T216" s="19">
        <v>1213729</v>
      </c>
      <c r="U216" s="19">
        <v>984199</v>
      </c>
      <c r="V216" s="19">
        <v>741473</v>
      </c>
    </row>
    <row r="217" spans="1:22" x14ac:dyDescent="0.2">
      <c r="A217" s="3">
        <v>39106</v>
      </c>
      <c r="B217" s="7">
        <v>1.4</v>
      </c>
      <c r="C217" s="7">
        <v>179.37</v>
      </c>
      <c r="D217" s="7"/>
      <c r="L217" s="3">
        <v>39106</v>
      </c>
      <c r="M217" s="19">
        <v>17757</v>
      </c>
      <c r="N217" s="19">
        <v>17596</v>
      </c>
      <c r="O217" s="19">
        <v>17798</v>
      </c>
      <c r="P217" s="19">
        <v>17804</v>
      </c>
      <c r="Q217" s="19">
        <v>17417</v>
      </c>
      <c r="R217" s="19">
        <v>703455</v>
      </c>
      <c r="S217" s="19">
        <v>654073</v>
      </c>
      <c r="T217" s="19">
        <v>1253476</v>
      </c>
      <c r="U217" s="19">
        <v>978140</v>
      </c>
      <c r="V217" s="19">
        <v>736986</v>
      </c>
    </row>
    <row r="218" spans="1:22" x14ac:dyDescent="0.2">
      <c r="A218" s="3">
        <v>39105</v>
      </c>
      <c r="B218" s="7">
        <v>0.04</v>
      </c>
      <c r="C218" s="7">
        <v>176.9</v>
      </c>
      <c r="D218" s="7"/>
      <c r="L218" s="3">
        <v>39105</v>
      </c>
      <c r="M218" s="19">
        <v>17529</v>
      </c>
      <c r="N218" s="19">
        <v>17571</v>
      </c>
      <c r="O218" s="19">
        <v>17820</v>
      </c>
      <c r="P218" s="19">
        <v>17798</v>
      </c>
      <c r="Q218" s="19">
        <v>17406</v>
      </c>
      <c r="R218" s="19">
        <v>424743</v>
      </c>
      <c r="S218" s="19">
        <v>770349</v>
      </c>
      <c r="T218" s="19">
        <v>1461906</v>
      </c>
      <c r="U218" s="19">
        <v>971838</v>
      </c>
      <c r="V218" s="19">
        <v>734753</v>
      </c>
    </row>
    <row r="219" spans="1:22" x14ac:dyDescent="0.2">
      <c r="A219" s="3">
        <v>39104</v>
      </c>
      <c r="B219" s="7">
        <v>0.34</v>
      </c>
      <c r="C219" s="7">
        <v>176.83</v>
      </c>
      <c r="D219" s="7"/>
      <c r="L219" s="3">
        <v>39104</v>
      </c>
      <c r="M219" s="19">
        <v>17529</v>
      </c>
      <c r="N219" s="19">
        <v>17624</v>
      </c>
      <c r="O219" s="19">
        <v>17854</v>
      </c>
      <c r="P219" s="19">
        <v>17797</v>
      </c>
      <c r="Q219" s="19">
        <v>17397</v>
      </c>
      <c r="R219" s="19">
        <v>404890</v>
      </c>
      <c r="S219" s="19">
        <v>908129</v>
      </c>
      <c r="T219" s="19">
        <v>1482908</v>
      </c>
      <c r="U219" s="19">
        <v>969435</v>
      </c>
      <c r="V219" s="19">
        <v>733194</v>
      </c>
    </row>
    <row r="220" spans="1:22" x14ac:dyDescent="0.2">
      <c r="A220" s="3">
        <v>39101</v>
      </c>
      <c r="B220" s="7">
        <v>-1.61</v>
      </c>
      <c r="C220" s="7">
        <v>176.23</v>
      </c>
      <c r="D220" s="7"/>
      <c r="L220" s="3">
        <v>39101</v>
      </c>
      <c r="M220" s="19">
        <v>17447</v>
      </c>
      <c r="N220" s="19">
        <v>17678</v>
      </c>
      <c r="O220" s="19">
        <v>17891</v>
      </c>
      <c r="P220" s="19">
        <v>17795</v>
      </c>
      <c r="Q220" s="19">
        <v>17388</v>
      </c>
      <c r="R220" s="19">
        <v>717113</v>
      </c>
      <c r="S220" s="19">
        <v>1053307</v>
      </c>
      <c r="T220" s="19">
        <v>1523907</v>
      </c>
      <c r="U220" s="19">
        <v>973861</v>
      </c>
      <c r="V220" s="19">
        <v>732127</v>
      </c>
    </row>
    <row r="221" spans="1:22" x14ac:dyDescent="0.2">
      <c r="A221" s="3">
        <v>39100</v>
      </c>
      <c r="B221" s="7">
        <v>0.35</v>
      </c>
      <c r="C221" s="7">
        <v>179.12</v>
      </c>
      <c r="D221" s="7"/>
      <c r="L221" s="3">
        <v>39100</v>
      </c>
      <c r="M221" s="19">
        <v>17718</v>
      </c>
      <c r="N221" s="19">
        <v>17734</v>
      </c>
      <c r="O221" s="19">
        <v>17921</v>
      </c>
      <c r="P221" s="19">
        <v>17794</v>
      </c>
      <c r="Q221" s="19">
        <v>17378</v>
      </c>
      <c r="R221" s="19">
        <v>1020164</v>
      </c>
      <c r="S221" s="19">
        <v>1115557</v>
      </c>
      <c r="T221" s="19">
        <v>1507777</v>
      </c>
      <c r="U221" s="19">
        <v>968493</v>
      </c>
      <c r="V221" s="19">
        <v>727967</v>
      </c>
    </row>
    <row r="222" spans="1:22" x14ac:dyDescent="0.2">
      <c r="A222" s="3">
        <v>39099</v>
      </c>
      <c r="B222" s="7">
        <v>-0.68</v>
      </c>
      <c r="C222" s="7">
        <v>178.5</v>
      </c>
      <c r="D222" s="7"/>
      <c r="L222" s="3">
        <v>39099</v>
      </c>
      <c r="M222" s="19">
        <v>17631</v>
      </c>
      <c r="N222" s="19">
        <v>17685</v>
      </c>
      <c r="O222" s="19">
        <v>17941</v>
      </c>
      <c r="P222" s="19">
        <v>17788</v>
      </c>
      <c r="Q222" s="19">
        <v>17366</v>
      </c>
      <c r="R222" s="19">
        <v>1284834</v>
      </c>
      <c r="S222" s="19">
        <v>1854595</v>
      </c>
      <c r="T222" s="19">
        <v>1483252</v>
      </c>
      <c r="U222" s="19">
        <v>956778</v>
      </c>
      <c r="V222" s="19">
        <v>721780</v>
      </c>
    </row>
    <row r="223" spans="1:22" x14ac:dyDescent="0.2">
      <c r="A223" s="3">
        <v>39098</v>
      </c>
      <c r="B223" s="7">
        <v>-0.05</v>
      </c>
      <c r="C223" s="7">
        <v>179.73</v>
      </c>
      <c r="D223" s="7"/>
      <c r="L223" s="3">
        <v>39098</v>
      </c>
      <c r="M223" s="19">
        <v>17796</v>
      </c>
      <c r="N223" s="19">
        <v>17629</v>
      </c>
      <c r="O223" s="19">
        <v>17959</v>
      </c>
      <c r="P223" s="19">
        <v>17783</v>
      </c>
      <c r="Q223" s="19">
        <v>17352</v>
      </c>
      <c r="R223" s="19">
        <v>1113646</v>
      </c>
      <c r="S223" s="19">
        <v>2416766</v>
      </c>
      <c r="T223" s="19">
        <v>1438703</v>
      </c>
      <c r="U223" s="19">
        <v>945968</v>
      </c>
      <c r="V223" s="19">
        <v>718381</v>
      </c>
    </row>
    <row r="224" spans="1:22" x14ac:dyDescent="0.2">
      <c r="A224" s="3">
        <v>39097</v>
      </c>
      <c r="B224" s="7">
        <v>0.26</v>
      </c>
      <c r="C224" s="7">
        <v>179.82</v>
      </c>
      <c r="D224" s="7"/>
      <c r="L224" s="3">
        <v>39097</v>
      </c>
      <c r="M224" s="19">
        <v>17796</v>
      </c>
      <c r="N224" s="19">
        <v>17596</v>
      </c>
      <c r="O224" s="19">
        <v>17962</v>
      </c>
      <c r="P224" s="19">
        <v>17774</v>
      </c>
      <c r="Q224" s="19">
        <v>17337</v>
      </c>
      <c r="R224" s="19">
        <v>1130777</v>
      </c>
      <c r="S224" s="19">
        <v>2320194</v>
      </c>
      <c r="T224" s="19">
        <v>1666429</v>
      </c>
      <c r="U224" s="19">
        <v>933629</v>
      </c>
      <c r="V224" s="19">
        <v>710495</v>
      </c>
    </row>
    <row r="225" spans="1:22" x14ac:dyDescent="0.2">
      <c r="A225" s="3">
        <v>39094</v>
      </c>
      <c r="B225" s="7">
        <v>1.76</v>
      </c>
      <c r="C225" s="7">
        <v>179.36</v>
      </c>
      <c r="D225" s="7"/>
      <c r="L225" s="3">
        <v>39094</v>
      </c>
      <c r="M225" s="19">
        <v>17728</v>
      </c>
      <c r="N225" s="19">
        <v>17551</v>
      </c>
      <c r="O225" s="19">
        <v>17948</v>
      </c>
      <c r="P225" s="19">
        <v>17765</v>
      </c>
      <c r="Q225" s="19">
        <v>17323</v>
      </c>
      <c r="R225" s="19">
        <v>1028362</v>
      </c>
      <c r="S225" s="19">
        <v>2378549</v>
      </c>
      <c r="T225" s="19">
        <v>1658128</v>
      </c>
      <c r="U225" s="19">
        <v>921707</v>
      </c>
      <c r="V225" s="19">
        <v>704478</v>
      </c>
    </row>
    <row r="226" spans="1:22" x14ac:dyDescent="0.2">
      <c r="A226" s="3">
        <v>39093</v>
      </c>
      <c r="B226" s="7">
        <v>0.73</v>
      </c>
      <c r="C226" s="7">
        <v>176.26</v>
      </c>
      <c r="D226" s="7"/>
      <c r="L226" s="3">
        <v>39093</v>
      </c>
      <c r="M226" s="19">
        <v>17476</v>
      </c>
      <c r="N226" s="19">
        <v>17557</v>
      </c>
      <c r="O226" s="19">
        <v>17930</v>
      </c>
      <c r="P226" s="19">
        <v>17756</v>
      </c>
      <c r="Q226" s="19">
        <v>17305</v>
      </c>
      <c r="R226" s="19">
        <v>4715357</v>
      </c>
      <c r="S226" s="19">
        <v>2526343</v>
      </c>
      <c r="T226" s="19">
        <v>1627801</v>
      </c>
      <c r="U226" s="19">
        <v>907764</v>
      </c>
      <c r="V226" s="19">
        <v>699405</v>
      </c>
    </row>
    <row r="227" spans="1:22" x14ac:dyDescent="0.2">
      <c r="A227" s="3">
        <v>39092</v>
      </c>
      <c r="B227" s="7">
        <v>-1.43</v>
      </c>
      <c r="C227" s="7">
        <v>174.99</v>
      </c>
      <c r="D227" s="7"/>
      <c r="L227" s="3">
        <v>39092</v>
      </c>
      <c r="M227" s="19">
        <v>17350</v>
      </c>
      <c r="N227" s="19">
        <v>17639</v>
      </c>
      <c r="O227" s="19">
        <v>17933</v>
      </c>
      <c r="P227" s="19">
        <v>17752</v>
      </c>
      <c r="Q227" s="19">
        <v>17290</v>
      </c>
      <c r="R227" s="19">
        <v>4095687</v>
      </c>
      <c r="S227" s="19">
        <v>1724426</v>
      </c>
      <c r="T227" s="19">
        <v>1424812</v>
      </c>
      <c r="U227" s="19">
        <v>834560</v>
      </c>
      <c r="V227" s="19">
        <v>664511</v>
      </c>
    </row>
    <row r="228" spans="1:22" x14ac:dyDescent="0.2">
      <c r="A228" s="3">
        <v>39091</v>
      </c>
      <c r="B228" s="7">
        <v>0.25</v>
      </c>
      <c r="C228" s="7">
        <v>177.52</v>
      </c>
      <c r="D228" s="7"/>
      <c r="L228" s="3">
        <v>39091</v>
      </c>
      <c r="M228" s="19">
        <v>17631</v>
      </c>
      <c r="N228" s="19">
        <v>17798</v>
      </c>
      <c r="O228" s="19">
        <v>17944</v>
      </c>
      <c r="P228" s="19">
        <v>17749</v>
      </c>
      <c r="Q228" s="19">
        <v>17277</v>
      </c>
      <c r="R228" s="19">
        <v>630785</v>
      </c>
      <c r="S228" s="19">
        <v>1073684</v>
      </c>
      <c r="T228" s="19">
        <v>1263834</v>
      </c>
      <c r="U228" s="19">
        <v>771129</v>
      </c>
      <c r="V228" s="19">
        <v>642967</v>
      </c>
    </row>
    <row r="229" spans="1:22" x14ac:dyDescent="0.2">
      <c r="A229" s="3">
        <v>39090</v>
      </c>
      <c r="B229" s="7">
        <v>-1.1299999999999999</v>
      </c>
      <c r="C229" s="7">
        <v>177.08</v>
      </c>
      <c r="D229" s="7"/>
      <c r="L229" s="3">
        <v>39090</v>
      </c>
      <c r="M229" s="19">
        <v>17573</v>
      </c>
      <c r="N229" s="19">
        <v>17953</v>
      </c>
      <c r="O229" s="19">
        <v>17952</v>
      </c>
      <c r="P229" s="19">
        <v>17739</v>
      </c>
      <c r="Q229" s="19">
        <v>17264</v>
      </c>
      <c r="R229" s="19">
        <v>1422555</v>
      </c>
      <c r="S229" s="19">
        <v>1073168</v>
      </c>
      <c r="T229" s="19">
        <v>1285930</v>
      </c>
      <c r="U229" s="19">
        <v>767656</v>
      </c>
      <c r="V229" s="19">
        <v>640815</v>
      </c>
    </row>
    <row r="230" spans="1:22" x14ac:dyDescent="0.2">
      <c r="A230" s="3">
        <v>39087</v>
      </c>
      <c r="B230" s="7">
        <v>-0.79</v>
      </c>
      <c r="C230" s="7">
        <v>179.1</v>
      </c>
      <c r="D230" s="7"/>
      <c r="L230" s="3">
        <v>39087</v>
      </c>
      <c r="M230" s="19">
        <v>17757</v>
      </c>
      <c r="N230" s="19">
        <v>18107</v>
      </c>
      <c r="O230" s="19">
        <v>17966</v>
      </c>
      <c r="P230" s="19">
        <v>17728</v>
      </c>
      <c r="Q230" s="19">
        <v>17255</v>
      </c>
      <c r="R230" s="19">
        <v>1767331</v>
      </c>
      <c r="S230" s="19">
        <v>871022</v>
      </c>
      <c r="T230" s="19">
        <v>1267589</v>
      </c>
      <c r="U230" s="19">
        <v>750153</v>
      </c>
      <c r="V230" s="19">
        <v>631912</v>
      </c>
    </row>
    <row r="231" spans="1:22" x14ac:dyDescent="0.2">
      <c r="A231" s="3">
        <v>39086</v>
      </c>
      <c r="B231" s="7">
        <v>-0.88</v>
      </c>
      <c r="C231" s="7">
        <v>180.52</v>
      </c>
      <c r="D231" s="7"/>
      <c r="L231" s="3">
        <v>39086</v>
      </c>
      <c r="M231" s="19">
        <v>17883</v>
      </c>
      <c r="N231" s="19">
        <v>18220</v>
      </c>
      <c r="O231" s="19">
        <v>17976</v>
      </c>
      <c r="P231" s="19">
        <v>17714</v>
      </c>
      <c r="Q231" s="19">
        <v>17243</v>
      </c>
      <c r="R231" s="19">
        <v>705774</v>
      </c>
      <c r="S231" s="19">
        <v>591139</v>
      </c>
      <c r="T231" s="19">
        <v>1199307</v>
      </c>
      <c r="U231" s="19">
        <v>727701</v>
      </c>
      <c r="V231" s="19">
        <v>618676</v>
      </c>
    </row>
    <row r="232" spans="1:22" x14ac:dyDescent="0.2">
      <c r="A232" s="3">
        <v>39085</v>
      </c>
      <c r="B232" s="7">
        <v>-1.92</v>
      </c>
      <c r="C232" s="7">
        <v>182.13</v>
      </c>
      <c r="D232" s="7"/>
      <c r="L232" s="3">
        <v>39085</v>
      </c>
      <c r="M232" s="19">
        <v>18145</v>
      </c>
      <c r="N232" s="19">
        <v>18272</v>
      </c>
      <c r="O232" s="19">
        <v>17984</v>
      </c>
      <c r="P232" s="19">
        <v>17695</v>
      </c>
      <c r="Q232" s="19">
        <v>17231</v>
      </c>
      <c r="R232" s="19">
        <v>841975</v>
      </c>
      <c r="S232" s="19">
        <v>780808</v>
      </c>
      <c r="T232" s="19">
        <v>1179023</v>
      </c>
      <c r="U232" s="19">
        <v>726943</v>
      </c>
      <c r="V232" s="19">
        <v>615276</v>
      </c>
    </row>
    <row r="233" spans="1:22" x14ac:dyDescent="0.2">
      <c r="A233" s="3">
        <v>39084</v>
      </c>
      <c r="B233" s="7">
        <v>0.17</v>
      </c>
      <c r="C233" s="7">
        <v>185.7</v>
      </c>
      <c r="D233" s="7"/>
      <c r="L233" s="3">
        <v>39084</v>
      </c>
      <c r="M233" s="19">
        <v>18407</v>
      </c>
      <c r="N233" s="19">
        <v>18282</v>
      </c>
      <c r="O233" s="19">
        <v>17982</v>
      </c>
      <c r="P233" s="19">
        <v>17677</v>
      </c>
      <c r="Q233" s="19">
        <v>17214</v>
      </c>
      <c r="R233" s="19">
        <v>628207</v>
      </c>
      <c r="S233" s="19">
        <v>1586825</v>
      </c>
      <c r="T233" s="19">
        <v>1146179</v>
      </c>
      <c r="U233" s="19">
        <v>719281</v>
      </c>
      <c r="V233" s="19">
        <v>613635</v>
      </c>
    </row>
    <row r="234" spans="1:22" x14ac:dyDescent="0.2">
      <c r="B234" s="7"/>
      <c r="C234" s="7"/>
      <c r="M234" s="19"/>
      <c r="N234" s="19"/>
      <c r="O234" s="19"/>
      <c r="P234" s="19"/>
      <c r="Q234" s="19"/>
      <c r="R234" s="19"/>
      <c r="S234" s="19"/>
      <c r="T234" s="19"/>
      <c r="U234" s="19"/>
      <c r="V234" s="19"/>
    </row>
  </sheetData>
  <mergeCells count="1">
    <mergeCell ref="I7:J8"/>
  </mergeCells>
  <phoneticPr fontId="2" type="noConversion"/>
  <pageMargins left="0.75" right="0.75" top="1" bottom="1" header="0.5" footer="0.5"/>
  <pageSetup paperSize="9"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4" r:id="rId4" name="ctlDGR2">
          <controlPr defaultSize="0" print="0" autoLine="0" r:id="rId5">
            <anchor moveWithCells="1" sizeWithCells="1">
              <from>
                <xdr:col>11</xdr:col>
                <xdr:colOff>0</xdr:colOff>
                <xdr:row>0</xdr:row>
                <xdr:rowOff>0</xdr:rowOff>
              </from>
              <to>
                <xdr:col>11</xdr:col>
                <xdr:colOff>581025</xdr:colOff>
                <xdr:row>0</xdr:row>
                <xdr:rowOff>152400</xdr:rowOff>
              </to>
            </anchor>
          </controlPr>
        </control>
      </mc:Choice>
      <mc:Fallback>
        <control shapeId="1034" r:id="rId4" name="ctlDGR2"/>
      </mc:Fallback>
    </mc:AlternateContent>
    <mc:AlternateContent xmlns:mc="http://schemas.openxmlformats.org/markup-compatibility/2006">
      <mc:Choice Requires="x14">
        <control shapeId="1027" r:id="rId6" name="ctlDGR1">
          <controlPr defaultSize="0" print="0" autoLine="0" r:id="rId7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581025</xdr:colOff>
                <xdr:row>0</xdr:row>
                <xdr:rowOff>152400</xdr:rowOff>
              </to>
            </anchor>
          </controlPr>
        </control>
      </mc:Choice>
      <mc:Fallback>
        <control shapeId="1027" r:id="rId6" name="ctlDGR1"/>
      </mc:Fallback>
    </mc:AlternateContent>
    <mc:AlternateContent xmlns:mc="http://schemas.openxmlformats.org/markup-compatibility/2006">
      <mc:Choice Requires="x14">
        <control shapeId="1043" r:id="rId8" name="Button 19">
          <controlPr defaultSize="0" print="0" autoFill="0" autoPict="0" macro="[0]!estvol">
            <anchor moveWithCells="1" sizeWithCells="1">
              <from>
                <xdr:col>5</xdr:col>
                <xdr:colOff>285750</xdr:colOff>
                <xdr:row>7</xdr:row>
                <xdr:rowOff>19050</xdr:rowOff>
              </from>
              <to>
                <xdr:col>6</xdr:col>
                <xdr:colOff>657225</xdr:colOff>
                <xdr:row>9</xdr:row>
                <xdr:rowOff>57150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s</vt:lpstr>
      <vt:lpstr>alpha</vt:lpstr>
    </vt:vector>
  </TitlesOfParts>
  <Company>삼성증권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손병진</dc:creator>
  <cp:lastModifiedBy>Jim Sjoo Kwag</cp:lastModifiedBy>
  <cp:lastPrinted>2004-06-03T06:51:47Z</cp:lastPrinted>
  <dcterms:created xsi:type="dcterms:W3CDTF">2001-11-12T02:12:58Z</dcterms:created>
  <dcterms:modified xsi:type="dcterms:W3CDTF">2017-05-12T13:25:05Z</dcterms:modified>
</cp:coreProperties>
</file>